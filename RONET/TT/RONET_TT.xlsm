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GitHub\RoadAnalytics\RONET\TT\"/>
    </mc:Choice>
  </mc:AlternateContent>
  <bookViews>
    <workbookView xWindow="0" yWindow="0" windowWidth="23040" windowHeight="8976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externalReferences>
    <externalReference r:id="rId5"/>
  </externalReferences>
  <definedNames>
    <definedName name="_xlnm._FilterDatabase" localSheetId="0" hidden="1">'RoADS Sections Data and Results'!$A$30:$EN$270</definedName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B32" i="1"/>
  <c r="C32" i="1"/>
  <c r="P32" i="1"/>
  <c r="Q32" i="1"/>
  <c r="R32" i="1"/>
  <c r="U32" i="1"/>
  <c r="V32" i="1"/>
  <c r="W32" i="1"/>
  <c r="X32" i="1"/>
  <c r="Y32" i="1"/>
  <c r="Z32" i="1"/>
  <c r="AD32" i="1"/>
  <c r="AE32" i="1"/>
  <c r="AK32" i="1"/>
  <c r="AY32" i="1"/>
  <c r="B33" i="1"/>
  <c r="C33" i="1"/>
  <c r="P33" i="1"/>
  <c r="Q33" i="1"/>
  <c r="R33" i="1"/>
  <c r="U33" i="1"/>
  <c r="V33" i="1"/>
  <c r="W33" i="1"/>
  <c r="X33" i="1"/>
  <c r="Y33" i="1"/>
  <c r="Z33" i="1"/>
  <c r="AD33" i="1"/>
  <c r="AE33" i="1"/>
  <c r="AK33" i="1"/>
  <c r="AY33" i="1"/>
  <c r="B34" i="1"/>
  <c r="C34" i="1"/>
  <c r="P34" i="1"/>
  <c r="Q34" i="1"/>
  <c r="R34" i="1"/>
  <c r="U34" i="1"/>
  <c r="V34" i="1"/>
  <c r="W34" i="1"/>
  <c r="X34" i="1"/>
  <c r="Y34" i="1"/>
  <c r="Z34" i="1"/>
  <c r="AD34" i="1"/>
  <c r="AE34" i="1"/>
  <c r="AK34" i="1"/>
  <c r="AY34" i="1"/>
  <c r="B35" i="1"/>
  <c r="C35" i="1"/>
  <c r="P35" i="1"/>
  <c r="Q35" i="1"/>
  <c r="R35" i="1"/>
  <c r="U35" i="1"/>
  <c r="V35" i="1"/>
  <c r="W35" i="1"/>
  <c r="X35" i="1"/>
  <c r="Y35" i="1"/>
  <c r="Z35" i="1"/>
  <c r="AD35" i="1"/>
  <c r="AE35" i="1"/>
  <c r="AK35" i="1"/>
  <c r="AY35" i="1"/>
  <c r="B36" i="1"/>
  <c r="C36" i="1"/>
  <c r="P36" i="1"/>
  <c r="Q36" i="1"/>
  <c r="R36" i="1"/>
  <c r="U36" i="1"/>
  <c r="V36" i="1"/>
  <c r="W36" i="1"/>
  <c r="X36" i="1"/>
  <c r="Y36" i="1"/>
  <c r="Z36" i="1"/>
  <c r="AD36" i="1"/>
  <c r="AE36" i="1"/>
  <c r="AK36" i="1"/>
  <c r="AY36" i="1"/>
  <c r="B37" i="1"/>
  <c r="C37" i="1"/>
  <c r="P37" i="1"/>
  <c r="Q37" i="1"/>
  <c r="R37" i="1"/>
  <c r="U37" i="1"/>
  <c r="V37" i="1"/>
  <c r="W37" i="1"/>
  <c r="X37" i="1"/>
  <c r="Y37" i="1"/>
  <c r="Z37" i="1"/>
  <c r="AD37" i="1"/>
  <c r="AE37" i="1"/>
  <c r="AK37" i="1"/>
  <c r="AY37" i="1"/>
  <c r="B38" i="1"/>
  <c r="C38" i="1"/>
  <c r="P38" i="1"/>
  <c r="Q38" i="1"/>
  <c r="R38" i="1"/>
  <c r="U38" i="1"/>
  <c r="V38" i="1"/>
  <c r="W38" i="1"/>
  <c r="X38" i="1"/>
  <c r="Y38" i="1"/>
  <c r="Z38" i="1"/>
  <c r="AD38" i="1"/>
  <c r="AE38" i="1"/>
  <c r="AK38" i="1"/>
  <c r="AY38" i="1"/>
  <c r="B39" i="1"/>
  <c r="C39" i="1"/>
  <c r="P39" i="1"/>
  <c r="Q39" i="1"/>
  <c r="R39" i="1"/>
  <c r="U39" i="1"/>
  <c r="V39" i="1"/>
  <c r="W39" i="1"/>
  <c r="X39" i="1"/>
  <c r="Y39" i="1"/>
  <c r="Z39" i="1"/>
  <c r="AD39" i="1"/>
  <c r="AE39" i="1"/>
  <c r="AK39" i="1"/>
  <c r="AY39" i="1"/>
  <c r="B40" i="1"/>
  <c r="C40" i="1"/>
  <c r="P40" i="1"/>
  <c r="Q40" i="1"/>
  <c r="R40" i="1"/>
  <c r="U40" i="1"/>
  <c r="V40" i="1"/>
  <c r="W40" i="1"/>
  <c r="X40" i="1"/>
  <c r="Y40" i="1"/>
  <c r="Z40" i="1"/>
  <c r="AD40" i="1"/>
  <c r="AE40" i="1"/>
  <c r="AK40" i="1"/>
  <c r="AY40" i="1"/>
  <c r="B41" i="1"/>
  <c r="C41" i="1"/>
  <c r="P41" i="1"/>
  <c r="Q41" i="1"/>
  <c r="R41" i="1"/>
  <c r="U41" i="1"/>
  <c r="V41" i="1"/>
  <c r="W41" i="1"/>
  <c r="X41" i="1"/>
  <c r="Y41" i="1"/>
  <c r="Z41" i="1"/>
  <c r="AD41" i="1"/>
  <c r="AE41" i="1"/>
  <c r="AK41" i="1"/>
  <c r="AY41" i="1"/>
  <c r="B42" i="1"/>
  <c r="C42" i="1"/>
  <c r="P42" i="1"/>
  <c r="Q42" i="1"/>
  <c r="R42" i="1"/>
  <c r="U42" i="1"/>
  <c r="V42" i="1"/>
  <c r="W42" i="1"/>
  <c r="X42" i="1"/>
  <c r="Y42" i="1"/>
  <c r="Z42" i="1"/>
  <c r="AD42" i="1"/>
  <c r="AE42" i="1"/>
  <c r="AK42" i="1"/>
  <c r="AY42" i="1"/>
  <c r="B43" i="1"/>
  <c r="C43" i="1"/>
  <c r="P43" i="1"/>
  <c r="Q43" i="1"/>
  <c r="R43" i="1"/>
  <c r="U43" i="1"/>
  <c r="V43" i="1"/>
  <c r="W43" i="1"/>
  <c r="X43" i="1"/>
  <c r="Y43" i="1"/>
  <c r="Z43" i="1"/>
  <c r="AD43" i="1"/>
  <c r="AE43" i="1"/>
  <c r="AK43" i="1"/>
  <c r="AY43" i="1"/>
  <c r="B44" i="1"/>
  <c r="C44" i="1"/>
  <c r="P44" i="1"/>
  <c r="Q44" i="1"/>
  <c r="R44" i="1"/>
  <c r="U44" i="1"/>
  <c r="V44" i="1"/>
  <c r="W44" i="1"/>
  <c r="X44" i="1"/>
  <c r="Y44" i="1"/>
  <c r="Z44" i="1"/>
  <c r="AD44" i="1"/>
  <c r="AE44" i="1"/>
  <c r="AK44" i="1"/>
  <c r="AY44" i="1"/>
  <c r="B45" i="1"/>
  <c r="C45" i="1"/>
  <c r="P45" i="1"/>
  <c r="Q45" i="1"/>
  <c r="R45" i="1"/>
  <c r="U45" i="1"/>
  <c r="V45" i="1"/>
  <c r="W45" i="1"/>
  <c r="X45" i="1"/>
  <c r="Y45" i="1"/>
  <c r="Z45" i="1"/>
  <c r="AD45" i="1"/>
  <c r="AE45" i="1"/>
  <c r="AK45" i="1"/>
  <c r="AY45" i="1"/>
  <c r="B46" i="1"/>
  <c r="C46" i="1"/>
  <c r="P46" i="1"/>
  <c r="Q46" i="1"/>
  <c r="R46" i="1"/>
  <c r="U46" i="1"/>
  <c r="V46" i="1"/>
  <c r="W46" i="1"/>
  <c r="X46" i="1"/>
  <c r="Y46" i="1"/>
  <c r="Z46" i="1"/>
  <c r="AD46" i="1"/>
  <c r="AE46" i="1"/>
  <c r="AK46" i="1"/>
  <c r="AY46" i="1"/>
  <c r="B47" i="1"/>
  <c r="C47" i="1"/>
  <c r="P47" i="1"/>
  <c r="Q47" i="1"/>
  <c r="R47" i="1"/>
  <c r="U47" i="1"/>
  <c r="V47" i="1"/>
  <c r="W47" i="1"/>
  <c r="X47" i="1"/>
  <c r="Y47" i="1"/>
  <c r="Z47" i="1"/>
  <c r="AD47" i="1"/>
  <c r="AE47" i="1"/>
  <c r="AK47" i="1"/>
  <c r="AY47" i="1"/>
  <c r="B48" i="1"/>
  <c r="C48" i="1"/>
  <c r="P48" i="1"/>
  <c r="Q48" i="1"/>
  <c r="R48" i="1"/>
  <c r="U48" i="1"/>
  <c r="V48" i="1"/>
  <c r="W48" i="1"/>
  <c r="X48" i="1"/>
  <c r="Y48" i="1"/>
  <c r="Z48" i="1"/>
  <c r="AD48" i="1"/>
  <c r="AE48" i="1"/>
  <c r="AK48" i="1"/>
  <c r="AY48" i="1"/>
  <c r="B49" i="1"/>
  <c r="C49" i="1"/>
  <c r="P49" i="1"/>
  <c r="Q49" i="1"/>
  <c r="R49" i="1"/>
  <c r="U49" i="1"/>
  <c r="V49" i="1"/>
  <c r="W49" i="1"/>
  <c r="X49" i="1"/>
  <c r="Y49" i="1"/>
  <c r="Z49" i="1"/>
  <c r="AD49" i="1"/>
  <c r="AE49" i="1"/>
  <c r="AK49" i="1"/>
  <c r="AY49" i="1"/>
  <c r="B50" i="1"/>
  <c r="C50" i="1"/>
  <c r="P50" i="1"/>
  <c r="Q50" i="1"/>
  <c r="R50" i="1"/>
  <c r="U50" i="1"/>
  <c r="V50" i="1"/>
  <c r="W50" i="1"/>
  <c r="X50" i="1"/>
  <c r="Y50" i="1"/>
  <c r="Z50" i="1"/>
  <c r="AD50" i="1"/>
  <c r="AE50" i="1"/>
  <c r="AK50" i="1"/>
  <c r="AY50" i="1"/>
  <c r="B51" i="1"/>
  <c r="C51" i="1"/>
  <c r="P51" i="1"/>
  <c r="Q51" i="1"/>
  <c r="R51" i="1"/>
  <c r="U51" i="1"/>
  <c r="V51" i="1"/>
  <c r="W51" i="1"/>
  <c r="X51" i="1"/>
  <c r="Y51" i="1"/>
  <c r="Z51" i="1"/>
  <c r="AD51" i="1"/>
  <c r="AE51" i="1"/>
  <c r="AK51" i="1"/>
  <c r="AY51" i="1"/>
  <c r="B52" i="1"/>
  <c r="C52" i="1"/>
  <c r="P52" i="1"/>
  <c r="Q52" i="1"/>
  <c r="R52" i="1"/>
  <c r="U52" i="1"/>
  <c r="V52" i="1"/>
  <c r="W52" i="1"/>
  <c r="X52" i="1"/>
  <c r="Y52" i="1"/>
  <c r="Z52" i="1"/>
  <c r="AD52" i="1"/>
  <c r="AE52" i="1"/>
  <c r="AK52" i="1"/>
  <c r="AY52" i="1"/>
  <c r="B53" i="1"/>
  <c r="C53" i="1"/>
  <c r="P53" i="1"/>
  <c r="Q53" i="1"/>
  <c r="R53" i="1"/>
  <c r="U53" i="1"/>
  <c r="V53" i="1"/>
  <c r="W53" i="1"/>
  <c r="X53" i="1"/>
  <c r="Y53" i="1"/>
  <c r="Z53" i="1"/>
  <c r="AD53" i="1"/>
  <c r="AE53" i="1"/>
  <c r="AK53" i="1"/>
  <c r="AY53" i="1"/>
  <c r="B54" i="1"/>
  <c r="C54" i="1"/>
  <c r="P54" i="1"/>
  <c r="Q54" i="1"/>
  <c r="R54" i="1"/>
  <c r="U54" i="1"/>
  <c r="V54" i="1"/>
  <c r="W54" i="1"/>
  <c r="X54" i="1"/>
  <c r="Y54" i="1"/>
  <c r="Z54" i="1"/>
  <c r="AD54" i="1"/>
  <c r="AE54" i="1"/>
  <c r="AK54" i="1"/>
  <c r="AY54" i="1"/>
  <c r="B55" i="1"/>
  <c r="C55" i="1"/>
  <c r="P55" i="1"/>
  <c r="Q55" i="1"/>
  <c r="R55" i="1"/>
  <c r="U55" i="1"/>
  <c r="V55" i="1"/>
  <c r="W55" i="1"/>
  <c r="X55" i="1"/>
  <c r="Y55" i="1"/>
  <c r="Z55" i="1"/>
  <c r="AD55" i="1"/>
  <c r="AE55" i="1"/>
  <c r="AK55" i="1"/>
  <c r="AY55" i="1"/>
  <c r="B56" i="1"/>
  <c r="C56" i="1"/>
  <c r="P56" i="1"/>
  <c r="Q56" i="1"/>
  <c r="R56" i="1"/>
  <c r="U56" i="1"/>
  <c r="V56" i="1"/>
  <c r="W56" i="1"/>
  <c r="X56" i="1"/>
  <c r="Y56" i="1"/>
  <c r="Z56" i="1"/>
  <c r="AD56" i="1"/>
  <c r="AE56" i="1"/>
  <c r="AK56" i="1"/>
  <c r="AY56" i="1"/>
  <c r="B57" i="1"/>
  <c r="C57" i="1"/>
  <c r="P57" i="1"/>
  <c r="Q57" i="1"/>
  <c r="R57" i="1"/>
  <c r="U57" i="1"/>
  <c r="V57" i="1"/>
  <c r="W57" i="1"/>
  <c r="X57" i="1"/>
  <c r="Y57" i="1"/>
  <c r="Z57" i="1"/>
  <c r="AD57" i="1"/>
  <c r="AE57" i="1"/>
  <c r="AK57" i="1"/>
  <c r="AY57" i="1"/>
  <c r="B58" i="1"/>
  <c r="C58" i="1"/>
  <c r="P58" i="1"/>
  <c r="Q58" i="1"/>
  <c r="R58" i="1"/>
  <c r="U58" i="1"/>
  <c r="V58" i="1"/>
  <c r="W58" i="1"/>
  <c r="X58" i="1"/>
  <c r="Y58" i="1"/>
  <c r="Z58" i="1"/>
  <c r="AD58" i="1"/>
  <c r="AE58" i="1"/>
  <c r="AK58" i="1"/>
  <c r="AY58" i="1"/>
  <c r="B59" i="1"/>
  <c r="C59" i="1"/>
  <c r="P59" i="1"/>
  <c r="Q59" i="1"/>
  <c r="R59" i="1"/>
  <c r="U59" i="1"/>
  <c r="V59" i="1"/>
  <c r="W59" i="1"/>
  <c r="X59" i="1"/>
  <c r="Y59" i="1"/>
  <c r="Z59" i="1"/>
  <c r="AD59" i="1"/>
  <c r="AE59" i="1"/>
  <c r="AK59" i="1"/>
  <c r="AY59" i="1"/>
  <c r="B60" i="1"/>
  <c r="C60" i="1"/>
  <c r="P60" i="1"/>
  <c r="Q60" i="1"/>
  <c r="R60" i="1"/>
  <c r="U60" i="1"/>
  <c r="V60" i="1"/>
  <c r="W60" i="1"/>
  <c r="X60" i="1"/>
  <c r="Y60" i="1"/>
  <c r="Z60" i="1"/>
  <c r="AD60" i="1"/>
  <c r="AE60" i="1"/>
  <c r="AK60" i="1"/>
  <c r="AY60" i="1"/>
  <c r="B61" i="1"/>
  <c r="C61" i="1"/>
  <c r="P61" i="1"/>
  <c r="Q61" i="1"/>
  <c r="R61" i="1"/>
  <c r="U61" i="1"/>
  <c r="V61" i="1"/>
  <c r="W61" i="1"/>
  <c r="X61" i="1"/>
  <c r="Y61" i="1"/>
  <c r="Z61" i="1"/>
  <c r="AD61" i="1"/>
  <c r="AE61" i="1"/>
  <c r="AK61" i="1"/>
  <c r="AY61" i="1"/>
  <c r="B62" i="1"/>
  <c r="C62" i="1"/>
  <c r="P62" i="1"/>
  <c r="Q62" i="1"/>
  <c r="R62" i="1"/>
  <c r="U62" i="1"/>
  <c r="V62" i="1"/>
  <c r="W62" i="1"/>
  <c r="X62" i="1"/>
  <c r="Y62" i="1"/>
  <c r="Z62" i="1"/>
  <c r="AD62" i="1"/>
  <c r="AE62" i="1"/>
  <c r="AK62" i="1"/>
  <c r="AY62" i="1"/>
  <c r="B63" i="1"/>
  <c r="C63" i="1"/>
  <c r="P63" i="1"/>
  <c r="Q63" i="1"/>
  <c r="R63" i="1"/>
  <c r="U63" i="1"/>
  <c r="V63" i="1"/>
  <c r="W63" i="1"/>
  <c r="X63" i="1"/>
  <c r="Y63" i="1"/>
  <c r="Z63" i="1"/>
  <c r="AD63" i="1"/>
  <c r="AE63" i="1"/>
  <c r="AK63" i="1"/>
  <c r="AY63" i="1"/>
  <c r="B64" i="1"/>
  <c r="C64" i="1"/>
  <c r="P64" i="1"/>
  <c r="Q64" i="1"/>
  <c r="R64" i="1"/>
  <c r="U64" i="1"/>
  <c r="V64" i="1"/>
  <c r="W64" i="1"/>
  <c r="X64" i="1"/>
  <c r="Y64" i="1"/>
  <c r="Z64" i="1"/>
  <c r="AD64" i="1"/>
  <c r="AE64" i="1"/>
  <c r="AK64" i="1"/>
  <c r="AY64" i="1"/>
  <c r="B65" i="1"/>
  <c r="C65" i="1"/>
  <c r="P65" i="1"/>
  <c r="Q65" i="1"/>
  <c r="R65" i="1"/>
  <c r="U65" i="1"/>
  <c r="V65" i="1"/>
  <c r="W65" i="1"/>
  <c r="X65" i="1"/>
  <c r="Y65" i="1"/>
  <c r="Z65" i="1"/>
  <c r="AD65" i="1"/>
  <c r="AE65" i="1"/>
  <c r="AK65" i="1"/>
  <c r="AY65" i="1"/>
  <c r="B66" i="1"/>
  <c r="C66" i="1"/>
  <c r="P66" i="1"/>
  <c r="Q66" i="1"/>
  <c r="R66" i="1"/>
  <c r="U66" i="1"/>
  <c r="V66" i="1"/>
  <c r="W66" i="1"/>
  <c r="X66" i="1"/>
  <c r="Y66" i="1"/>
  <c r="Z66" i="1"/>
  <c r="AD66" i="1"/>
  <c r="AE66" i="1"/>
  <c r="AK66" i="1"/>
  <c r="AY66" i="1"/>
  <c r="B67" i="1"/>
  <c r="C67" i="1"/>
  <c r="P67" i="1"/>
  <c r="Q67" i="1"/>
  <c r="R67" i="1"/>
  <c r="U67" i="1"/>
  <c r="V67" i="1"/>
  <c r="W67" i="1"/>
  <c r="X67" i="1"/>
  <c r="Y67" i="1"/>
  <c r="Z67" i="1"/>
  <c r="AD67" i="1"/>
  <c r="AE67" i="1"/>
  <c r="AK67" i="1"/>
  <c r="AY67" i="1"/>
  <c r="B68" i="1"/>
  <c r="C68" i="1"/>
  <c r="P68" i="1"/>
  <c r="Q68" i="1"/>
  <c r="R68" i="1"/>
  <c r="U68" i="1"/>
  <c r="V68" i="1"/>
  <c r="W68" i="1"/>
  <c r="X68" i="1"/>
  <c r="Y68" i="1"/>
  <c r="Z68" i="1"/>
  <c r="AD68" i="1"/>
  <c r="AE68" i="1"/>
  <c r="AK68" i="1"/>
  <c r="AY68" i="1"/>
  <c r="B69" i="1"/>
  <c r="C69" i="1"/>
  <c r="P69" i="1"/>
  <c r="Q69" i="1"/>
  <c r="R69" i="1"/>
  <c r="U69" i="1"/>
  <c r="V69" i="1"/>
  <c r="W69" i="1"/>
  <c r="X69" i="1"/>
  <c r="Y69" i="1"/>
  <c r="Z69" i="1"/>
  <c r="AD69" i="1"/>
  <c r="AE69" i="1"/>
  <c r="AK69" i="1"/>
  <c r="AY69" i="1"/>
  <c r="B70" i="1"/>
  <c r="C70" i="1"/>
  <c r="P70" i="1"/>
  <c r="Q70" i="1"/>
  <c r="R70" i="1"/>
  <c r="U70" i="1"/>
  <c r="V70" i="1"/>
  <c r="W70" i="1"/>
  <c r="X70" i="1"/>
  <c r="Y70" i="1"/>
  <c r="Z70" i="1"/>
  <c r="AD70" i="1"/>
  <c r="AE70" i="1"/>
  <c r="AK70" i="1"/>
  <c r="AY70" i="1"/>
  <c r="B71" i="1"/>
  <c r="C71" i="1"/>
  <c r="P71" i="1"/>
  <c r="Q71" i="1"/>
  <c r="R71" i="1"/>
  <c r="U71" i="1"/>
  <c r="V71" i="1"/>
  <c r="W71" i="1"/>
  <c r="X71" i="1"/>
  <c r="Y71" i="1"/>
  <c r="Z71" i="1"/>
  <c r="AD71" i="1"/>
  <c r="AE71" i="1"/>
  <c r="AK71" i="1"/>
  <c r="AY71" i="1"/>
  <c r="B72" i="1"/>
  <c r="C72" i="1"/>
  <c r="P72" i="1"/>
  <c r="Q72" i="1"/>
  <c r="R72" i="1"/>
  <c r="U72" i="1"/>
  <c r="V72" i="1"/>
  <c r="W72" i="1"/>
  <c r="X72" i="1"/>
  <c r="Y72" i="1"/>
  <c r="Z72" i="1"/>
  <c r="AD72" i="1"/>
  <c r="AE72" i="1"/>
  <c r="AK72" i="1"/>
  <c r="AY72" i="1"/>
  <c r="B73" i="1"/>
  <c r="C73" i="1"/>
  <c r="P73" i="1"/>
  <c r="Q73" i="1"/>
  <c r="R73" i="1"/>
  <c r="U73" i="1"/>
  <c r="V73" i="1"/>
  <c r="W73" i="1"/>
  <c r="X73" i="1"/>
  <c r="Y73" i="1"/>
  <c r="Z73" i="1"/>
  <c r="AD73" i="1"/>
  <c r="AE73" i="1"/>
  <c r="AK73" i="1"/>
  <c r="AY73" i="1"/>
  <c r="B74" i="1"/>
  <c r="C74" i="1"/>
  <c r="P74" i="1"/>
  <c r="Q74" i="1"/>
  <c r="R74" i="1"/>
  <c r="U74" i="1"/>
  <c r="V74" i="1"/>
  <c r="W74" i="1"/>
  <c r="X74" i="1"/>
  <c r="Y74" i="1"/>
  <c r="Z74" i="1"/>
  <c r="AD74" i="1"/>
  <c r="AE74" i="1"/>
  <c r="AK74" i="1"/>
  <c r="AY74" i="1"/>
  <c r="B75" i="1"/>
  <c r="C75" i="1"/>
  <c r="P75" i="1"/>
  <c r="Q75" i="1"/>
  <c r="R75" i="1"/>
  <c r="U75" i="1"/>
  <c r="V75" i="1"/>
  <c r="W75" i="1"/>
  <c r="X75" i="1"/>
  <c r="Y75" i="1"/>
  <c r="Z75" i="1"/>
  <c r="AD75" i="1"/>
  <c r="AE75" i="1"/>
  <c r="AK75" i="1"/>
  <c r="AY75" i="1"/>
  <c r="B76" i="1"/>
  <c r="C76" i="1"/>
  <c r="P76" i="1"/>
  <c r="Q76" i="1"/>
  <c r="R76" i="1"/>
  <c r="U76" i="1"/>
  <c r="V76" i="1"/>
  <c r="W76" i="1"/>
  <c r="X76" i="1"/>
  <c r="Y76" i="1"/>
  <c r="Z76" i="1"/>
  <c r="AD76" i="1"/>
  <c r="AE76" i="1"/>
  <c r="AK76" i="1"/>
  <c r="AY76" i="1"/>
  <c r="B77" i="1"/>
  <c r="C77" i="1"/>
  <c r="P77" i="1"/>
  <c r="Q77" i="1"/>
  <c r="R77" i="1"/>
  <c r="U77" i="1"/>
  <c r="V77" i="1"/>
  <c r="W77" i="1"/>
  <c r="X77" i="1"/>
  <c r="Y77" i="1"/>
  <c r="Z77" i="1"/>
  <c r="AD77" i="1"/>
  <c r="AE77" i="1"/>
  <c r="AK77" i="1"/>
  <c r="AY77" i="1"/>
  <c r="B78" i="1"/>
  <c r="C78" i="1"/>
  <c r="P78" i="1"/>
  <c r="Q78" i="1"/>
  <c r="R78" i="1"/>
  <c r="U78" i="1"/>
  <c r="V78" i="1"/>
  <c r="W78" i="1"/>
  <c r="X78" i="1"/>
  <c r="Y78" i="1"/>
  <c r="Z78" i="1"/>
  <c r="AD78" i="1"/>
  <c r="AE78" i="1"/>
  <c r="AK78" i="1"/>
  <c r="AY78" i="1"/>
  <c r="B79" i="1"/>
  <c r="C79" i="1"/>
  <c r="P79" i="1"/>
  <c r="Q79" i="1"/>
  <c r="R79" i="1"/>
  <c r="U79" i="1"/>
  <c r="V79" i="1"/>
  <c r="W79" i="1"/>
  <c r="X79" i="1"/>
  <c r="Y79" i="1"/>
  <c r="Z79" i="1"/>
  <c r="AD79" i="1"/>
  <c r="AE79" i="1"/>
  <c r="AK79" i="1"/>
  <c r="AY79" i="1"/>
  <c r="B80" i="1"/>
  <c r="C80" i="1"/>
  <c r="P80" i="1"/>
  <c r="Q80" i="1"/>
  <c r="R80" i="1"/>
  <c r="U80" i="1"/>
  <c r="V80" i="1"/>
  <c r="W80" i="1"/>
  <c r="X80" i="1"/>
  <c r="Y80" i="1"/>
  <c r="Z80" i="1"/>
  <c r="AD80" i="1"/>
  <c r="AE80" i="1"/>
  <c r="AK80" i="1"/>
  <c r="AY80" i="1"/>
  <c r="B81" i="1"/>
  <c r="C81" i="1"/>
  <c r="P81" i="1"/>
  <c r="Q81" i="1"/>
  <c r="R81" i="1"/>
  <c r="U81" i="1"/>
  <c r="V81" i="1"/>
  <c r="W81" i="1"/>
  <c r="X81" i="1"/>
  <c r="Y81" i="1"/>
  <c r="Z81" i="1"/>
  <c r="AD81" i="1"/>
  <c r="AE81" i="1"/>
  <c r="AK81" i="1"/>
  <c r="AY81" i="1"/>
  <c r="B82" i="1"/>
  <c r="C82" i="1"/>
  <c r="P82" i="1"/>
  <c r="Q82" i="1"/>
  <c r="R82" i="1"/>
  <c r="U82" i="1"/>
  <c r="V82" i="1"/>
  <c r="W82" i="1"/>
  <c r="X82" i="1"/>
  <c r="Y82" i="1"/>
  <c r="Z82" i="1"/>
  <c r="AD82" i="1"/>
  <c r="AE82" i="1"/>
  <c r="AK82" i="1"/>
  <c r="AY82" i="1"/>
  <c r="B83" i="1"/>
  <c r="C83" i="1"/>
  <c r="P83" i="1"/>
  <c r="Q83" i="1"/>
  <c r="R83" i="1"/>
  <c r="U83" i="1"/>
  <c r="V83" i="1"/>
  <c r="W83" i="1"/>
  <c r="X83" i="1"/>
  <c r="Y83" i="1"/>
  <c r="Z83" i="1"/>
  <c r="AD83" i="1"/>
  <c r="AE83" i="1"/>
  <c r="AK83" i="1"/>
  <c r="AY83" i="1"/>
  <c r="B84" i="1"/>
  <c r="C84" i="1"/>
  <c r="P84" i="1"/>
  <c r="Q84" i="1"/>
  <c r="R84" i="1"/>
  <c r="U84" i="1"/>
  <c r="V84" i="1"/>
  <c r="W84" i="1"/>
  <c r="X84" i="1"/>
  <c r="Y84" i="1"/>
  <c r="Z84" i="1"/>
  <c r="AD84" i="1"/>
  <c r="AE84" i="1"/>
  <c r="AK84" i="1"/>
  <c r="AY84" i="1"/>
  <c r="B85" i="1"/>
  <c r="C85" i="1"/>
  <c r="P85" i="1"/>
  <c r="Q85" i="1"/>
  <c r="R85" i="1"/>
  <c r="U85" i="1"/>
  <c r="V85" i="1"/>
  <c r="W85" i="1"/>
  <c r="X85" i="1"/>
  <c r="Y85" i="1"/>
  <c r="Z85" i="1"/>
  <c r="AD85" i="1"/>
  <c r="AE85" i="1"/>
  <c r="AK85" i="1"/>
  <c r="AY85" i="1"/>
  <c r="B86" i="1"/>
  <c r="C86" i="1"/>
  <c r="P86" i="1"/>
  <c r="Q86" i="1"/>
  <c r="R86" i="1"/>
  <c r="U86" i="1"/>
  <c r="V86" i="1"/>
  <c r="W86" i="1"/>
  <c r="X86" i="1"/>
  <c r="Y86" i="1"/>
  <c r="Z86" i="1"/>
  <c r="AD86" i="1"/>
  <c r="AE86" i="1"/>
  <c r="AK86" i="1"/>
  <c r="AY86" i="1"/>
  <c r="B87" i="1"/>
  <c r="C87" i="1"/>
  <c r="P87" i="1"/>
  <c r="Q87" i="1"/>
  <c r="R87" i="1"/>
  <c r="U87" i="1"/>
  <c r="V87" i="1"/>
  <c r="W87" i="1"/>
  <c r="X87" i="1"/>
  <c r="Y87" i="1"/>
  <c r="Z87" i="1"/>
  <c r="AD87" i="1"/>
  <c r="AE87" i="1"/>
  <c r="AK87" i="1"/>
  <c r="AY87" i="1"/>
  <c r="B88" i="1"/>
  <c r="C88" i="1"/>
  <c r="P88" i="1"/>
  <c r="Q88" i="1"/>
  <c r="R88" i="1"/>
  <c r="U88" i="1"/>
  <c r="V88" i="1"/>
  <c r="W88" i="1"/>
  <c r="X88" i="1"/>
  <c r="Y88" i="1"/>
  <c r="Z88" i="1"/>
  <c r="AD88" i="1"/>
  <c r="AE88" i="1"/>
  <c r="AK88" i="1"/>
  <c r="AY88" i="1"/>
  <c r="B89" i="1"/>
  <c r="C89" i="1"/>
  <c r="P89" i="1"/>
  <c r="Q89" i="1"/>
  <c r="R89" i="1"/>
  <c r="U89" i="1"/>
  <c r="V89" i="1"/>
  <c r="W89" i="1"/>
  <c r="X89" i="1"/>
  <c r="Y89" i="1"/>
  <c r="Z89" i="1"/>
  <c r="AD89" i="1"/>
  <c r="AE89" i="1"/>
  <c r="AK89" i="1"/>
  <c r="AY89" i="1"/>
  <c r="B90" i="1"/>
  <c r="C90" i="1"/>
  <c r="P90" i="1"/>
  <c r="Q90" i="1"/>
  <c r="R90" i="1"/>
  <c r="U90" i="1"/>
  <c r="V90" i="1"/>
  <c r="W90" i="1"/>
  <c r="X90" i="1"/>
  <c r="Y90" i="1"/>
  <c r="Z90" i="1"/>
  <c r="AD90" i="1"/>
  <c r="AE90" i="1"/>
  <c r="AK90" i="1"/>
  <c r="AY90" i="1"/>
  <c r="B91" i="1"/>
  <c r="C91" i="1"/>
  <c r="P91" i="1"/>
  <c r="Q91" i="1"/>
  <c r="R91" i="1"/>
  <c r="U91" i="1"/>
  <c r="V91" i="1"/>
  <c r="W91" i="1"/>
  <c r="X91" i="1"/>
  <c r="Y91" i="1"/>
  <c r="Z91" i="1"/>
  <c r="AD91" i="1"/>
  <c r="AE91" i="1"/>
  <c r="AK91" i="1"/>
  <c r="AY91" i="1"/>
  <c r="B92" i="1"/>
  <c r="C92" i="1"/>
  <c r="P92" i="1"/>
  <c r="Q92" i="1"/>
  <c r="R92" i="1"/>
  <c r="U92" i="1"/>
  <c r="V92" i="1"/>
  <c r="W92" i="1"/>
  <c r="X92" i="1"/>
  <c r="Y92" i="1"/>
  <c r="Z92" i="1"/>
  <c r="AD92" i="1"/>
  <c r="AE92" i="1"/>
  <c r="AK92" i="1"/>
  <c r="AY92" i="1"/>
  <c r="B93" i="1"/>
  <c r="C93" i="1"/>
  <c r="P93" i="1"/>
  <c r="Q93" i="1"/>
  <c r="R93" i="1"/>
  <c r="U93" i="1"/>
  <c r="V93" i="1"/>
  <c r="W93" i="1"/>
  <c r="X93" i="1"/>
  <c r="Y93" i="1"/>
  <c r="Z93" i="1"/>
  <c r="AD93" i="1"/>
  <c r="AE93" i="1"/>
  <c r="AK93" i="1"/>
  <c r="AY93" i="1"/>
  <c r="B94" i="1"/>
  <c r="C94" i="1"/>
  <c r="P94" i="1"/>
  <c r="Q94" i="1"/>
  <c r="R94" i="1"/>
  <c r="U94" i="1"/>
  <c r="V94" i="1"/>
  <c r="W94" i="1"/>
  <c r="X94" i="1"/>
  <c r="Y94" i="1"/>
  <c r="Z94" i="1"/>
  <c r="AD94" i="1"/>
  <c r="AE94" i="1"/>
  <c r="AK94" i="1"/>
  <c r="AY94" i="1"/>
  <c r="B95" i="1"/>
  <c r="C95" i="1"/>
  <c r="P95" i="1"/>
  <c r="Q95" i="1"/>
  <c r="R95" i="1"/>
  <c r="U95" i="1"/>
  <c r="V95" i="1"/>
  <c r="W95" i="1"/>
  <c r="X95" i="1"/>
  <c r="Y95" i="1"/>
  <c r="Z95" i="1"/>
  <c r="AD95" i="1"/>
  <c r="AE95" i="1"/>
  <c r="AK95" i="1"/>
  <c r="AY95" i="1"/>
  <c r="B96" i="1"/>
  <c r="C96" i="1"/>
  <c r="P96" i="1"/>
  <c r="Q96" i="1"/>
  <c r="R96" i="1"/>
  <c r="U96" i="1"/>
  <c r="V96" i="1"/>
  <c r="W96" i="1"/>
  <c r="X96" i="1"/>
  <c r="Y96" i="1"/>
  <c r="Z96" i="1"/>
  <c r="AD96" i="1"/>
  <c r="AE96" i="1"/>
  <c r="AK96" i="1"/>
  <c r="AY96" i="1"/>
  <c r="B97" i="1"/>
  <c r="C97" i="1"/>
  <c r="P97" i="1"/>
  <c r="Q97" i="1"/>
  <c r="R97" i="1"/>
  <c r="U97" i="1"/>
  <c r="V97" i="1"/>
  <c r="W97" i="1"/>
  <c r="X97" i="1"/>
  <c r="Y97" i="1"/>
  <c r="Z97" i="1"/>
  <c r="AD97" i="1"/>
  <c r="AE97" i="1"/>
  <c r="AK97" i="1"/>
  <c r="AY97" i="1"/>
  <c r="B98" i="1"/>
  <c r="C98" i="1"/>
  <c r="P98" i="1"/>
  <c r="Q98" i="1"/>
  <c r="R98" i="1"/>
  <c r="U98" i="1"/>
  <c r="V98" i="1"/>
  <c r="W98" i="1"/>
  <c r="X98" i="1"/>
  <c r="Y98" i="1"/>
  <c r="Z98" i="1"/>
  <c r="AD98" i="1"/>
  <c r="AE98" i="1"/>
  <c r="AK98" i="1"/>
  <c r="AY98" i="1"/>
  <c r="B99" i="1"/>
  <c r="C99" i="1"/>
  <c r="P99" i="1"/>
  <c r="Q99" i="1"/>
  <c r="R99" i="1"/>
  <c r="U99" i="1"/>
  <c r="V99" i="1"/>
  <c r="W99" i="1"/>
  <c r="X99" i="1"/>
  <c r="Y99" i="1"/>
  <c r="Z99" i="1"/>
  <c r="AD99" i="1"/>
  <c r="AE99" i="1"/>
  <c r="AK99" i="1"/>
  <c r="AY99" i="1"/>
  <c r="B100" i="1"/>
  <c r="C100" i="1"/>
  <c r="P100" i="1"/>
  <c r="Q100" i="1"/>
  <c r="R100" i="1"/>
  <c r="U100" i="1"/>
  <c r="V100" i="1"/>
  <c r="W100" i="1"/>
  <c r="X100" i="1"/>
  <c r="Y100" i="1"/>
  <c r="Z100" i="1"/>
  <c r="AD100" i="1"/>
  <c r="AE100" i="1"/>
  <c r="AK100" i="1"/>
  <c r="AY100" i="1"/>
  <c r="B101" i="1"/>
  <c r="C101" i="1"/>
  <c r="P101" i="1"/>
  <c r="Q101" i="1"/>
  <c r="R101" i="1"/>
  <c r="U101" i="1"/>
  <c r="V101" i="1"/>
  <c r="W101" i="1"/>
  <c r="X101" i="1"/>
  <c r="Y101" i="1"/>
  <c r="Z101" i="1"/>
  <c r="AD101" i="1"/>
  <c r="AE101" i="1"/>
  <c r="AK101" i="1"/>
  <c r="AY101" i="1"/>
  <c r="B102" i="1"/>
  <c r="C102" i="1"/>
  <c r="P102" i="1"/>
  <c r="Q102" i="1"/>
  <c r="R102" i="1"/>
  <c r="U102" i="1"/>
  <c r="V102" i="1"/>
  <c r="W102" i="1"/>
  <c r="X102" i="1"/>
  <c r="Y102" i="1"/>
  <c r="Z102" i="1"/>
  <c r="AD102" i="1"/>
  <c r="AE102" i="1"/>
  <c r="AK102" i="1"/>
  <c r="AY102" i="1"/>
  <c r="B103" i="1"/>
  <c r="C103" i="1"/>
  <c r="P103" i="1"/>
  <c r="Q103" i="1"/>
  <c r="R103" i="1"/>
  <c r="U103" i="1"/>
  <c r="V103" i="1"/>
  <c r="W103" i="1"/>
  <c r="X103" i="1"/>
  <c r="Y103" i="1"/>
  <c r="Z103" i="1"/>
  <c r="AD103" i="1"/>
  <c r="AE103" i="1"/>
  <c r="AK103" i="1"/>
  <c r="AY103" i="1"/>
  <c r="B104" i="1"/>
  <c r="C104" i="1"/>
  <c r="P104" i="1"/>
  <c r="Q104" i="1"/>
  <c r="R104" i="1"/>
  <c r="U104" i="1"/>
  <c r="V104" i="1"/>
  <c r="W104" i="1"/>
  <c r="X104" i="1"/>
  <c r="Y104" i="1"/>
  <c r="Z104" i="1"/>
  <c r="AD104" i="1"/>
  <c r="AE104" i="1"/>
  <c r="AK104" i="1"/>
  <c r="AY104" i="1"/>
  <c r="B105" i="1"/>
  <c r="C105" i="1"/>
  <c r="P105" i="1"/>
  <c r="Q105" i="1"/>
  <c r="R105" i="1"/>
  <c r="U105" i="1"/>
  <c r="V105" i="1"/>
  <c r="W105" i="1"/>
  <c r="X105" i="1"/>
  <c r="Y105" i="1"/>
  <c r="Z105" i="1"/>
  <c r="AD105" i="1"/>
  <c r="AE105" i="1"/>
  <c r="AK105" i="1"/>
  <c r="AY105" i="1"/>
  <c r="B106" i="1"/>
  <c r="C106" i="1"/>
  <c r="P106" i="1"/>
  <c r="Q106" i="1"/>
  <c r="R106" i="1"/>
  <c r="U106" i="1"/>
  <c r="V106" i="1"/>
  <c r="W106" i="1"/>
  <c r="X106" i="1"/>
  <c r="Y106" i="1"/>
  <c r="Z106" i="1"/>
  <c r="AD106" i="1"/>
  <c r="AE106" i="1"/>
  <c r="AK106" i="1"/>
  <c r="AY106" i="1"/>
  <c r="B107" i="1"/>
  <c r="C107" i="1"/>
  <c r="P107" i="1"/>
  <c r="Q107" i="1"/>
  <c r="R107" i="1"/>
  <c r="U107" i="1"/>
  <c r="V107" i="1"/>
  <c r="W107" i="1"/>
  <c r="X107" i="1"/>
  <c r="Y107" i="1"/>
  <c r="Z107" i="1"/>
  <c r="AD107" i="1"/>
  <c r="AE107" i="1"/>
  <c r="AK107" i="1"/>
  <c r="AY107" i="1"/>
  <c r="B108" i="1"/>
  <c r="C108" i="1"/>
  <c r="P108" i="1"/>
  <c r="Q108" i="1"/>
  <c r="R108" i="1"/>
  <c r="U108" i="1"/>
  <c r="V108" i="1"/>
  <c r="W108" i="1"/>
  <c r="X108" i="1"/>
  <c r="Y108" i="1"/>
  <c r="Z108" i="1"/>
  <c r="AD108" i="1"/>
  <c r="AE108" i="1"/>
  <c r="AK108" i="1"/>
  <c r="AY108" i="1"/>
  <c r="B109" i="1"/>
  <c r="C109" i="1"/>
  <c r="P109" i="1"/>
  <c r="Q109" i="1"/>
  <c r="R109" i="1"/>
  <c r="U109" i="1"/>
  <c r="V109" i="1"/>
  <c r="W109" i="1"/>
  <c r="X109" i="1"/>
  <c r="Y109" i="1"/>
  <c r="Z109" i="1"/>
  <c r="AD109" i="1"/>
  <c r="AE109" i="1"/>
  <c r="AK109" i="1"/>
  <c r="AY109" i="1"/>
  <c r="B110" i="1"/>
  <c r="C110" i="1"/>
  <c r="P110" i="1"/>
  <c r="Q110" i="1"/>
  <c r="R110" i="1"/>
  <c r="U110" i="1"/>
  <c r="V110" i="1"/>
  <c r="W110" i="1"/>
  <c r="X110" i="1"/>
  <c r="Y110" i="1"/>
  <c r="Z110" i="1"/>
  <c r="AD110" i="1"/>
  <c r="AE110" i="1"/>
  <c r="AK110" i="1"/>
  <c r="AY110" i="1"/>
  <c r="B111" i="1"/>
  <c r="C111" i="1"/>
  <c r="P111" i="1"/>
  <c r="Q111" i="1"/>
  <c r="R111" i="1"/>
  <c r="U111" i="1"/>
  <c r="V111" i="1"/>
  <c r="W111" i="1"/>
  <c r="X111" i="1"/>
  <c r="Y111" i="1"/>
  <c r="Z111" i="1"/>
  <c r="AD111" i="1"/>
  <c r="AE111" i="1"/>
  <c r="AK111" i="1"/>
  <c r="AY111" i="1"/>
  <c r="B112" i="1"/>
  <c r="C112" i="1"/>
  <c r="P112" i="1"/>
  <c r="Q112" i="1"/>
  <c r="R112" i="1"/>
  <c r="U112" i="1"/>
  <c r="V112" i="1"/>
  <c r="W112" i="1"/>
  <c r="X112" i="1"/>
  <c r="Y112" i="1"/>
  <c r="Z112" i="1"/>
  <c r="AD112" i="1"/>
  <c r="AE112" i="1"/>
  <c r="AK112" i="1"/>
  <c r="AY112" i="1"/>
  <c r="B113" i="1"/>
  <c r="C113" i="1"/>
  <c r="P113" i="1"/>
  <c r="Q113" i="1"/>
  <c r="R113" i="1"/>
  <c r="U113" i="1"/>
  <c r="V113" i="1"/>
  <c r="W113" i="1"/>
  <c r="X113" i="1"/>
  <c r="Y113" i="1"/>
  <c r="Z113" i="1"/>
  <c r="AD113" i="1"/>
  <c r="AE113" i="1"/>
  <c r="AK113" i="1"/>
  <c r="AY113" i="1"/>
  <c r="B114" i="1"/>
  <c r="C114" i="1"/>
  <c r="P114" i="1"/>
  <c r="Q114" i="1"/>
  <c r="R114" i="1"/>
  <c r="U114" i="1"/>
  <c r="V114" i="1"/>
  <c r="W114" i="1"/>
  <c r="X114" i="1"/>
  <c r="Y114" i="1"/>
  <c r="Z114" i="1"/>
  <c r="AD114" i="1"/>
  <c r="AE114" i="1"/>
  <c r="AK114" i="1"/>
  <c r="AY114" i="1"/>
  <c r="B115" i="1"/>
  <c r="C115" i="1"/>
  <c r="P115" i="1"/>
  <c r="Q115" i="1"/>
  <c r="R115" i="1"/>
  <c r="U115" i="1"/>
  <c r="V115" i="1"/>
  <c r="W115" i="1"/>
  <c r="X115" i="1"/>
  <c r="Y115" i="1"/>
  <c r="Z115" i="1"/>
  <c r="AD115" i="1"/>
  <c r="AE115" i="1"/>
  <c r="AK115" i="1"/>
  <c r="AY115" i="1"/>
  <c r="B116" i="1"/>
  <c r="C116" i="1"/>
  <c r="P116" i="1"/>
  <c r="Q116" i="1"/>
  <c r="R116" i="1"/>
  <c r="U116" i="1"/>
  <c r="V116" i="1"/>
  <c r="W116" i="1"/>
  <c r="X116" i="1"/>
  <c r="Y116" i="1"/>
  <c r="Z116" i="1"/>
  <c r="AD116" i="1"/>
  <c r="AE116" i="1"/>
  <c r="AK116" i="1"/>
  <c r="AY116" i="1"/>
  <c r="B117" i="1"/>
  <c r="C117" i="1"/>
  <c r="P117" i="1"/>
  <c r="Q117" i="1"/>
  <c r="R117" i="1"/>
  <c r="U117" i="1"/>
  <c r="V117" i="1"/>
  <c r="W117" i="1"/>
  <c r="X117" i="1"/>
  <c r="Y117" i="1"/>
  <c r="Z117" i="1"/>
  <c r="AD117" i="1"/>
  <c r="AE117" i="1"/>
  <c r="AK117" i="1"/>
  <c r="AY117" i="1"/>
  <c r="B118" i="1"/>
  <c r="C118" i="1"/>
  <c r="P118" i="1"/>
  <c r="Q118" i="1"/>
  <c r="R118" i="1"/>
  <c r="U118" i="1"/>
  <c r="V118" i="1"/>
  <c r="W118" i="1"/>
  <c r="X118" i="1"/>
  <c r="Y118" i="1"/>
  <c r="Z118" i="1"/>
  <c r="AD118" i="1"/>
  <c r="AE118" i="1"/>
  <c r="AK118" i="1"/>
  <c r="AY118" i="1"/>
  <c r="B119" i="1"/>
  <c r="C119" i="1"/>
  <c r="P119" i="1"/>
  <c r="Q119" i="1"/>
  <c r="R119" i="1"/>
  <c r="U119" i="1"/>
  <c r="V119" i="1"/>
  <c r="W119" i="1"/>
  <c r="X119" i="1"/>
  <c r="Y119" i="1"/>
  <c r="Z119" i="1"/>
  <c r="AD119" i="1"/>
  <c r="AE119" i="1"/>
  <c r="AK119" i="1"/>
  <c r="AY119" i="1"/>
  <c r="B120" i="1"/>
  <c r="C120" i="1"/>
  <c r="P120" i="1"/>
  <c r="Q120" i="1"/>
  <c r="R120" i="1"/>
  <c r="U120" i="1"/>
  <c r="V120" i="1"/>
  <c r="W120" i="1"/>
  <c r="X120" i="1"/>
  <c r="Y120" i="1"/>
  <c r="Z120" i="1"/>
  <c r="AD120" i="1"/>
  <c r="AE120" i="1"/>
  <c r="AK120" i="1"/>
  <c r="AY120" i="1"/>
  <c r="B121" i="1"/>
  <c r="C121" i="1"/>
  <c r="P121" i="1"/>
  <c r="Q121" i="1"/>
  <c r="R121" i="1"/>
  <c r="U121" i="1"/>
  <c r="V121" i="1"/>
  <c r="W121" i="1"/>
  <c r="X121" i="1"/>
  <c r="Y121" i="1"/>
  <c r="Z121" i="1"/>
  <c r="AD121" i="1"/>
  <c r="AE121" i="1"/>
  <c r="AK121" i="1"/>
  <c r="AY121" i="1"/>
  <c r="B122" i="1"/>
  <c r="C122" i="1"/>
  <c r="P122" i="1"/>
  <c r="Q122" i="1"/>
  <c r="R122" i="1"/>
  <c r="U122" i="1"/>
  <c r="V122" i="1"/>
  <c r="W122" i="1"/>
  <c r="X122" i="1"/>
  <c r="Y122" i="1"/>
  <c r="Z122" i="1"/>
  <c r="AD122" i="1"/>
  <c r="AE122" i="1"/>
  <c r="AK122" i="1"/>
  <c r="AY122" i="1"/>
  <c r="B123" i="1"/>
  <c r="C123" i="1"/>
  <c r="P123" i="1"/>
  <c r="Q123" i="1"/>
  <c r="R123" i="1"/>
  <c r="U123" i="1"/>
  <c r="V123" i="1"/>
  <c r="W123" i="1"/>
  <c r="X123" i="1"/>
  <c r="Y123" i="1"/>
  <c r="Z123" i="1"/>
  <c r="AD123" i="1"/>
  <c r="AE123" i="1"/>
  <c r="AK123" i="1"/>
  <c r="AY123" i="1"/>
  <c r="B124" i="1"/>
  <c r="C124" i="1"/>
  <c r="P124" i="1"/>
  <c r="Q124" i="1"/>
  <c r="R124" i="1"/>
  <c r="U124" i="1"/>
  <c r="V124" i="1"/>
  <c r="W124" i="1"/>
  <c r="X124" i="1"/>
  <c r="Y124" i="1"/>
  <c r="Z124" i="1"/>
  <c r="AD124" i="1"/>
  <c r="AE124" i="1"/>
  <c r="AK124" i="1"/>
  <c r="AY124" i="1"/>
  <c r="B125" i="1"/>
  <c r="C125" i="1"/>
  <c r="P125" i="1"/>
  <c r="Q125" i="1"/>
  <c r="R125" i="1"/>
  <c r="U125" i="1"/>
  <c r="V125" i="1"/>
  <c r="W125" i="1"/>
  <c r="X125" i="1"/>
  <c r="Y125" i="1"/>
  <c r="Z125" i="1"/>
  <c r="AD125" i="1"/>
  <c r="AE125" i="1"/>
  <c r="AK125" i="1"/>
  <c r="AY125" i="1"/>
  <c r="B126" i="1"/>
  <c r="C126" i="1"/>
  <c r="P126" i="1"/>
  <c r="Q126" i="1"/>
  <c r="R126" i="1"/>
  <c r="U126" i="1"/>
  <c r="V126" i="1"/>
  <c r="W126" i="1"/>
  <c r="X126" i="1"/>
  <c r="Y126" i="1"/>
  <c r="Z126" i="1"/>
  <c r="AD126" i="1"/>
  <c r="AE126" i="1"/>
  <c r="AK126" i="1"/>
  <c r="AY126" i="1"/>
  <c r="B127" i="1"/>
  <c r="C127" i="1"/>
  <c r="P127" i="1"/>
  <c r="Q127" i="1"/>
  <c r="R127" i="1"/>
  <c r="U127" i="1"/>
  <c r="V127" i="1"/>
  <c r="W127" i="1"/>
  <c r="X127" i="1"/>
  <c r="Y127" i="1"/>
  <c r="Z127" i="1"/>
  <c r="AD127" i="1"/>
  <c r="AE127" i="1"/>
  <c r="AK127" i="1"/>
  <c r="AY127" i="1"/>
  <c r="B128" i="1"/>
  <c r="C128" i="1"/>
  <c r="P128" i="1"/>
  <c r="Q128" i="1"/>
  <c r="R128" i="1"/>
  <c r="U128" i="1"/>
  <c r="V128" i="1"/>
  <c r="W128" i="1"/>
  <c r="X128" i="1"/>
  <c r="Y128" i="1"/>
  <c r="Z128" i="1"/>
  <c r="AD128" i="1"/>
  <c r="AE128" i="1"/>
  <c r="AK128" i="1"/>
  <c r="AY128" i="1"/>
  <c r="B129" i="1"/>
  <c r="C129" i="1"/>
  <c r="P129" i="1"/>
  <c r="Q129" i="1"/>
  <c r="R129" i="1"/>
  <c r="U129" i="1"/>
  <c r="V129" i="1"/>
  <c r="W129" i="1"/>
  <c r="X129" i="1"/>
  <c r="Y129" i="1"/>
  <c r="Z129" i="1"/>
  <c r="AD129" i="1"/>
  <c r="AE129" i="1"/>
  <c r="AK129" i="1"/>
  <c r="AY129" i="1"/>
  <c r="B130" i="1"/>
  <c r="C130" i="1"/>
  <c r="P130" i="1"/>
  <c r="Q130" i="1"/>
  <c r="R130" i="1"/>
  <c r="U130" i="1"/>
  <c r="V130" i="1"/>
  <c r="W130" i="1"/>
  <c r="X130" i="1"/>
  <c r="Y130" i="1"/>
  <c r="Z130" i="1"/>
  <c r="AD130" i="1"/>
  <c r="AE130" i="1"/>
  <c r="AK130" i="1"/>
  <c r="AY130" i="1"/>
  <c r="B131" i="1"/>
  <c r="C131" i="1"/>
  <c r="P131" i="1"/>
  <c r="Q131" i="1"/>
  <c r="R131" i="1"/>
  <c r="U131" i="1"/>
  <c r="V131" i="1"/>
  <c r="W131" i="1"/>
  <c r="X131" i="1"/>
  <c r="Y131" i="1"/>
  <c r="Z131" i="1"/>
  <c r="AD131" i="1"/>
  <c r="AE131" i="1"/>
  <c r="AK131" i="1"/>
  <c r="AY131" i="1"/>
  <c r="B132" i="1"/>
  <c r="C132" i="1"/>
  <c r="P132" i="1"/>
  <c r="Q132" i="1"/>
  <c r="R132" i="1"/>
  <c r="U132" i="1"/>
  <c r="V132" i="1"/>
  <c r="W132" i="1"/>
  <c r="X132" i="1"/>
  <c r="Y132" i="1"/>
  <c r="Z132" i="1"/>
  <c r="AD132" i="1"/>
  <c r="AE132" i="1"/>
  <c r="AK132" i="1"/>
  <c r="AY132" i="1"/>
  <c r="B133" i="1"/>
  <c r="C133" i="1"/>
  <c r="P133" i="1"/>
  <c r="Q133" i="1"/>
  <c r="R133" i="1"/>
  <c r="U133" i="1"/>
  <c r="V133" i="1"/>
  <c r="W133" i="1"/>
  <c r="X133" i="1"/>
  <c r="Y133" i="1"/>
  <c r="Z133" i="1"/>
  <c r="AD133" i="1"/>
  <c r="AE133" i="1"/>
  <c r="AK133" i="1"/>
  <c r="AY133" i="1"/>
  <c r="B134" i="1"/>
  <c r="C134" i="1"/>
  <c r="P134" i="1"/>
  <c r="Q134" i="1"/>
  <c r="R134" i="1"/>
  <c r="U134" i="1"/>
  <c r="V134" i="1"/>
  <c r="W134" i="1"/>
  <c r="X134" i="1"/>
  <c r="Y134" i="1"/>
  <c r="Z134" i="1"/>
  <c r="AD134" i="1"/>
  <c r="AE134" i="1"/>
  <c r="AK134" i="1"/>
  <c r="AY134" i="1"/>
  <c r="B135" i="1"/>
  <c r="C135" i="1"/>
  <c r="P135" i="1"/>
  <c r="Q135" i="1"/>
  <c r="R135" i="1"/>
  <c r="U135" i="1"/>
  <c r="V135" i="1"/>
  <c r="W135" i="1"/>
  <c r="X135" i="1"/>
  <c r="Y135" i="1"/>
  <c r="Z135" i="1"/>
  <c r="AD135" i="1"/>
  <c r="AE135" i="1"/>
  <c r="AK135" i="1"/>
  <c r="AY135" i="1"/>
  <c r="B136" i="1"/>
  <c r="C136" i="1"/>
  <c r="P136" i="1"/>
  <c r="Q136" i="1"/>
  <c r="R136" i="1"/>
  <c r="U136" i="1"/>
  <c r="V136" i="1"/>
  <c r="W136" i="1"/>
  <c r="X136" i="1"/>
  <c r="Y136" i="1"/>
  <c r="Z136" i="1"/>
  <c r="AD136" i="1"/>
  <c r="AE136" i="1"/>
  <c r="AK136" i="1"/>
  <c r="AY136" i="1"/>
  <c r="B137" i="1"/>
  <c r="C137" i="1"/>
  <c r="P137" i="1"/>
  <c r="Q137" i="1"/>
  <c r="R137" i="1"/>
  <c r="U137" i="1"/>
  <c r="V137" i="1"/>
  <c r="W137" i="1"/>
  <c r="X137" i="1"/>
  <c r="Y137" i="1"/>
  <c r="Z137" i="1"/>
  <c r="AD137" i="1"/>
  <c r="AE137" i="1"/>
  <c r="AK137" i="1"/>
  <c r="AY137" i="1"/>
  <c r="B138" i="1"/>
  <c r="C138" i="1"/>
  <c r="P138" i="1"/>
  <c r="Q138" i="1"/>
  <c r="R138" i="1"/>
  <c r="U138" i="1"/>
  <c r="V138" i="1"/>
  <c r="W138" i="1"/>
  <c r="X138" i="1"/>
  <c r="Y138" i="1"/>
  <c r="Z138" i="1"/>
  <c r="AD138" i="1"/>
  <c r="AE138" i="1"/>
  <c r="AK138" i="1"/>
  <c r="AY138" i="1"/>
  <c r="B139" i="1"/>
  <c r="C139" i="1"/>
  <c r="P139" i="1"/>
  <c r="Q139" i="1"/>
  <c r="R139" i="1"/>
  <c r="U139" i="1"/>
  <c r="V139" i="1"/>
  <c r="W139" i="1"/>
  <c r="X139" i="1"/>
  <c r="Y139" i="1"/>
  <c r="Z139" i="1"/>
  <c r="AD139" i="1"/>
  <c r="AE139" i="1"/>
  <c r="AK139" i="1"/>
  <c r="AY139" i="1"/>
  <c r="B140" i="1"/>
  <c r="C140" i="1"/>
  <c r="P140" i="1"/>
  <c r="Q140" i="1"/>
  <c r="R140" i="1"/>
  <c r="U140" i="1"/>
  <c r="V140" i="1"/>
  <c r="W140" i="1"/>
  <c r="X140" i="1"/>
  <c r="Y140" i="1"/>
  <c r="Z140" i="1"/>
  <c r="AD140" i="1"/>
  <c r="AE140" i="1"/>
  <c r="AK140" i="1"/>
  <c r="AY140" i="1"/>
  <c r="B141" i="1"/>
  <c r="C141" i="1"/>
  <c r="P141" i="1"/>
  <c r="Q141" i="1"/>
  <c r="R141" i="1"/>
  <c r="U141" i="1"/>
  <c r="V141" i="1"/>
  <c r="W141" i="1"/>
  <c r="X141" i="1"/>
  <c r="Y141" i="1"/>
  <c r="Z141" i="1"/>
  <c r="AD141" i="1"/>
  <c r="AE141" i="1"/>
  <c r="AK141" i="1"/>
  <c r="AY141" i="1"/>
  <c r="B142" i="1"/>
  <c r="C142" i="1"/>
  <c r="P142" i="1"/>
  <c r="Q142" i="1"/>
  <c r="R142" i="1"/>
  <c r="U142" i="1"/>
  <c r="V142" i="1"/>
  <c r="W142" i="1"/>
  <c r="X142" i="1"/>
  <c r="Y142" i="1"/>
  <c r="Z142" i="1"/>
  <c r="AD142" i="1"/>
  <c r="AE142" i="1"/>
  <c r="AK142" i="1"/>
  <c r="AY142" i="1"/>
  <c r="B143" i="1"/>
  <c r="C143" i="1"/>
  <c r="P143" i="1"/>
  <c r="Q143" i="1"/>
  <c r="R143" i="1"/>
  <c r="U143" i="1"/>
  <c r="V143" i="1"/>
  <c r="W143" i="1"/>
  <c r="X143" i="1"/>
  <c r="Y143" i="1"/>
  <c r="Z143" i="1"/>
  <c r="AD143" i="1"/>
  <c r="AE143" i="1"/>
  <c r="AK143" i="1"/>
  <c r="AY143" i="1"/>
  <c r="B144" i="1"/>
  <c r="C144" i="1"/>
  <c r="P144" i="1"/>
  <c r="Q144" i="1"/>
  <c r="R144" i="1"/>
  <c r="U144" i="1"/>
  <c r="V144" i="1"/>
  <c r="W144" i="1"/>
  <c r="X144" i="1"/>
  <c r="Y144" i="1"/>
  <c r="Z144" i="1"/>
  <c r="AD144" i="1"/>
  <c r="AE144" i="1"/>
  <c r="AK144" i="1"/>
  <c r="AY144" i="1"/>
  <c r="B145" i="1"/>
  <c r="C145" i="1"/>
  <c r="P145" i="1"/>
  <c r="Q145" i="1"/>
  <c r="R145" i="1"/>
  <c r="U145" i="1"/>
  <c r="V145" i="1"/>
  <c r="W145" i="1"/>
  <c r="X145" i="1"/>
  <c r="Y145" i="1"/>
  <c r="Z145" i="1"/>
  <c r="AD145" i="1"/>
  <c r="AE145" i="1"/>
  <c r="AK145" i="1"/>
  <c r="AY145" i="1"/>
  <c r="B146" i="1"/>
  <c r="C146" i="1"/>
  <c r="P146" i="1"/>
  <c r="Q146" i="1"/>
  <c r="R146" i="1"/>
  <c r="U146" i="1"/>
  <c r="V146" i="1"/>
  <c r="W146" i="1"/>
  <c r="X146" i="1"/>
  <c r="Y146" i="1"/>
  <c r="Z146" i="1"/>
  <c r="AD146" i="1"/>
  <c r="AE146" i="1"/>
  <c r="AK146" i="1"/>
  <c r="AY146" i="1"/>
  <c r="B147" i="1"/>
  <c r="C147" i="1"/>
  <c r="P147" i="1"/>
  <c r="Q147" i="1"/>
  <c r="R147" i="1"/>
  <c r="U147" i="1"/>
  <c r="V147" i="1"/>
  <c r="W147" i="1"/>
  <c r="X147" i="1"/>
  <c r="Y147" i="1"/>
  <c r="Z147" i="1"/>
  <c r="AD147" i="1"/>
  <c r="AE147" i="1"/>
  <c r="AK147" i="1"/>
  <c r="AY147" i="1"/>
  <c r="B148" i="1"/>
  <c r="C148" i="1"/>
  <c r="P148" i="1"/>
  <c r="Q148" i="1"/>
  <c r="R148" i="1"/>
  <c r="U148" i="1"/>
  <c r="V148" i="1"/>
  <c r="W148" i="1"/>
  <c r="X148" i="1"/>
  <c r="Y148" i="1"/>
  <c r="Z148" i="1"/>
  <c r="AD148" i="1"/>
  <c r="AE148" i="1"/>
  <c r="AK148" i="1"/>
  <c r="AY148" i="1"/>
  <c r="B149" i="1"/>
  <c r="C149" i="1"/>
  <c r="P149" i="1"/>
  <c r="Q149" i="1"/>
  <c r="R149" i="1"/>
  <c r="U149" i="1"/>
  <c r="V149" i="1"/>
  <c r="W149" i="1"/>
  <c r="X149" i="1"/>
  <c r="Y149" i="1"/>
  <c r="Z149" i="1"/>
  <c r="AD149" i="1"/>
  <c r="AE149" i="1"/>
  <c r="AK149" i="1"/>
  <c r="AY149" i="1"/>
  <c r="B150" i="1"/>
  <c r="C150" i="1"/>
  <c r="P150" i="1"/>
  <c r="Q150" i="1"/>
  <c r="R150" i="1"/>
  <c r="U150" i="1"/>
  <c r="V150" i="1"/>
  <c r="W150" i="1"/>
  <c r="X150" i="1"/>
  <c r="Y150" i="1"/>
  <c r="Z150" i="1"/>
  <c r="AD150" i="1"/>
  <c r="AE150" i="1"/>
  <c r="AK150" i="1"/>
  <c r="AY150" i="1"/>
  <c r="B151" i="1"/>
  <c r="C151" i="1"/>
  <c r="P151" i="1"/>
  <c r="Q151" i="1"/>
  <c r="R151" i="1"/>
  <c r="U151" i="1"/>
  <c r="V151" i="1"/>
  <c r="W151" i="1"/>
  <c r="X151" i="1"/>
  <c r="Y151" i="1"/>
  <c r="Z151" i="1"/>
  <c r="AD151" i="1"/>
  <c r="AE151" i="1"/>
  <c r="AK151" i="1"/>
  <c r="AY151" i="1"/>
  <c r="B152" i="1"/>
  <c r="C152" i="1"/>
  <c r="P152" i="1"/>
  <c r="Q152" i="1"/>
  <c r="R152" i="1"/>
  <c r="U152" i="1"/>
  <c r="V152" i="1"/>
  <c r="W152" i="1"/>
  <c r="X152" i="1"/>
  <c r="Y152" i="1"/>
  <c r="Z152" i="1"/>
  <c r="AD152" i="1"/>
  <c r="AE152" i="1"/>
  <c r="AK152" i="1"/>
  <c r="AY152" i="1"/>
  <c r="B153" i="1"/>
  <c r="C153" i="1"/>
  <c r="P153" i="1"/>
  <c r="Q153" i="1"/>
  <c r="R153" i="1"/>
  <c r="U153" i="1"/>
  <c r="V153" i="1"/>
  <c r="W153" i="1"/>
  <c r="X153" i="1"/>
  <c r="Y153" i="1"/>
  <c r="Z153" i="1"/>
  <c r="AD153" i="1"/>
  <c r="AE153" i="1"/>
  <c r="AK153" i="1"/>
  <c r="AY153" i="1"/>
  <c r="B154" i="1"/>
  <c r="C154" i="1"/>
  <c r="P154" i="1"/>
  <c r="Q154" i="1"/>
  <c r="R154" i="1"/>
  <c r="U154" i="1"/>
  <c r="V154" i="1"/>
  <c r="W154" i="1"/>
  <c r="X154" i="1"/>
  <c r="Y154" i="1"/>
  <c r="Z154" i="1"/>
  <c r="AD154" i="1"/>
  <c r="AE154" i="1"/>
  <c r="AK154" i="1"/>
  <c r="AY154" i="1"/>
  <c r="B155" i="1"/>
  <c r="C155" i="1"/>
  <c r="P155" i="1"/>
  <c r="Q155" i="1"/>
  <c r="R155" i="1"/>
  <c r="U155" i="1"/>
  <c r="V155" i="1"/>
  <c r="W155" i="1"/>
  <c r="X155" i="1"/>
  <c r="Y155" i="1"/>
  <c r="Z155" i="1"/>
  <c r="AD155" i="1"/>
  <c r="AE155" i="1"/>
  <c r="AK155" i="1"/>
  <c r="AY155" i="1"/>
  <c r="B156" i="1"/>
  <c r="C156" i="1"/>
  <c r="P156" i="1"/>
  <c r="Q156" i="1"/>
  <c r="R156" i="1"/>
  <c r="U156" i="1"/>
  <c r="V156" i="1"/>
  <c r="W156" i="1"/>
  <c r="X156" i="1"/>
  <c r="Y156" i="1"/>
  <c r="Z156" i="1"/>
  <c r="AD156" i="1"/>
  <c r="AE156" i="1"/>
  <c r="AK156" i="1"/>
  <c r="AY156" i="1"/>
  <c r="B157" i="1"/>
  <c r="C157" i="1"/>
  <c r="P157" i="1"/>
  <c r="Q157" i="1"/>
  <c r="R157" i="1"/>
  <c r="U157" i="1"/>
  <c r="V157" i="1"/>
  <c r="W157" i="1"/>
  <c r="X157" i="1"/>
  <c r="Y157" i="1"/>
  <c r="Z157" i="1"/>
  <c r="AD157" i="1"/>
  <c r="AE157" i="1"/>
  <c r="AK157" i="1"/>
  <c r="AY157" i="1"/>
  <c r="B158" i="1"/>
  <c r="C158" i="1"/>
  <c r="P158" i="1"/>
  <c r="Q158" i="1"/>
  <c r="R158" i="1"/>
  <c r="U158" i="1"/>
  <c r="V158" i="1"/>
  <c r="W158" i="1"/>
  <c r="X158" i="1"/>
  <c r="Y158" i="1"/>
  <c r="Z158" i="1"/>
  <c r="AD158" i="1"/>
  <c r="AE158" i="1"/>
  <c r="AK158" i="1"/>
  <c r="AY158" i="1"/>
  <c r="B159" i="1"/>
  <c r="C159" i="1"/>
  <c r="P159" i="1"/>
  <c r="Q159" i="1"/>
  <c r="R159" i="1"/>
  <c r="U159" i="1"/>
  <c r="V159" i="1"/>
  <c r="W159" i="1"/>
  <c r="X159" i="1"/>
  <c r="Y159" i="1"/>
  <c r="Z159" i="1"/>
  <c r="AD159" i="1"/>
  <c r="AE159" i="1"/>
  <c r="AK159" i="1"/>
  <c r="AY159" i="1"/>
  <c r="B160" i="1"/>
  <c r="C160" i="1"/>
  <c r="P160" i="1"/>
  <c r="Q160" i="1"/>
  <c r="R160" i="1"/>
  <c r="U160" i="1"/>
  <c r="V160" i="1"/>
  <c r="W160" i="1"/>
  <c r="X160" i="1"/>
  <c r="Y160" i="1"/>
  <c r="Z160" i="1"/>
  <c r="AD160" i="1"/>
  <c r="AE160" i="1"/>
  <c r="AK160" i="1"/>
  <c r="AY160" i="1"/>
  <c r="B161" i="1"/>
  <c r="C161" i="1"/>
  <c r="P161" i="1"/>
  <c r="Q161" i="1"/>
  <c r="R161" i="1"/>
  <c r="U161" i="1"/>
  <c r="V161" i="1"/>
  <c r="W161" i="1"/>
  <c r="X161" i="1"/>
  <c r="Y161" i="1"/>
  <c r="Z161" i="1"/>
  <c r="AD161" i="1"/>
  <c r="AE161" i="1"/>
  <c r="AK161" i="1"/>
  <c r="AY161" i="1"/>
  <c r="B162" i="1"/>
  <c r="C162" i="1"/>
  <c r="P162" i="1"/>
  <c r="Q162" i="1"/>
  <c r="R162" i="1"/>
  <c r="U162" i="1"/>
  <c r="V162" i="1"/>
  <c r="W162" i="1"/>
  <c r="X162" i="1"/>
  <c r="Y162" i="1"/>
  <c r="Z162" i="1"/>
  <c r="AD162" i="1"/>
  <c r="AE162" i="1"/>
  <c r="AK162" i="1"/>
  <c r="AY162" i="1"/>
  <c r="B163" i="1"/>
  <c r="C163" i="1"/>
  <c r="P163" i="1"/>
  <c r="Q163" i="1"/>
  <c r="R163" i="1"/>
  <c r="U163" i="1"/>
  <c r="V163" i="1"/>
  <c r="W163" i="1"/>
  <c r="X163" i="1"/>
  <c r="Y163" i="1"/>
  <c r="Z163" i="1"/>
  <c r="AD163" i="1"/>
  <c r="AE163" i="1"/>
  <c r="AK163" i="1"/>
  <c r="AY163" i="1"/>
  <c r="B164" i="1"/>
  <c r="C164" i="1"/>
  <c r="P164" i="1"/>
  <c r="Q164" i="1"/>
  <c r="R164" i="1"/>
  <c r="U164" i="1"/>
  <c r="V164" i="1"/>
  <c r="W164" i="1"/>
  <c r="X164" i="1"/>
  <c r="Y164" i="1"/>
  <c r="Z164" i="1"/>
  <c r="AD164" i="1"/>
  <c r="AE164" i="1"/>
  <c r="AK164" i="1"/>
  <c r="AY164" i="1"/>
  <c r="B165" i="1"/>
  <c r="C165" i="1"/>
  <c r="P165" i="1"/>
  <c r="Q165" i="1"/>
  <c r="R165" i="1"/>
  <c r="U165" i="1"/>
  <c r="V165" i="1"/>
  <c r="W165" i="1"/>
  <c r="X165" i="1"/>
  <c r="Y165" i="1"/>
  <c r="Z165" i="1"/>
  <c r="AD165" i="1"/>
  <c r="AE165" i="1"/>
  <c r="AK165" i="1"/>
  <c r="AY165" i="1"/>
  <c r="B166" i="1"/>
  <c r="C166" i="1"/>
  <c r="P166" i="1"/>
  <c r="Q166" i="1"/>
  <c r="R166" i="1"/>
  <c r="U166" i="1"/>
  <c r="V166" i="1"/>
  <c r="W166" i="1"/>
  <c r="X166" i="1"/>
  <c r="Y166" i="1"/>
  <c r="Z166" i="1"/>
  <c r="AD166" i="1"/>
  <c r="AE166" i="1"/>
  <c r="AK166" i="1"/>
  <c r="AY166" i="1"/>
  <c r="B167" i="1"/>
  <c r="C167" i="1"/>
  <c r="P167" i="1"/>
  <c r="Q167" i="1"/>
  <c r="R167" i="1"/>
  <c r="U167" i="1"/>
  <c r="V167" i="1"/>
  <c r="W167" i="1"/>
  <c r="X167" i="1"/>
  <c r="Y167" i="1"/>
  <c r="Z167" i="1"/>
  <c r="AD167" i="1"/>
  <c r="AE167" i="1"/>
  <c r="AK167" i="1"/>
  <c r="AY167" i="1"/>
  <c r="B168" i="1"/>
  <c r="C168" i="1"/>
  <c r="P168" i="1"/>
  <c r="Q168" i="1"/>
  <c r="R168" i="1"/>
  <c r="U168" i="1"/>
  <c r="V168" i="1"/>
  <c r="W168" i="1"/>
  <c r="X168" i="1"/>
  <c r="Y168" i="1"/>
  <c r="Z168" i="1"/>
  <c r="AD168" i="1"/>
  <c r="AE168" i="1"/>
  <c r="AK168" i="1"/>
  <c r="AY168" i="1"/>
  <c r="B169" i="1"/>
  <c r="C169" i="1"/>
  <c r="P169" i="1"/>
  <c r="Q169" i="1"/>
  <c r="R169" i="1"/>
  <c r="U169" i="1"/>
  <c r="V169" i="1"/>
  <c r="W169" i="1"/>
  <c r="X169" i="1"/>
  <c r="Y169" i="1"/>
  <c r="Z169" i="1"/>
  <c r="AD169" i="1"/>
  <c r="AE169" i="1"/>
  <c r="AK169" i="1"/>
  <c r="AY169" i="1"/>
  <c r="B170" i="1"/>
  <c r="C170" i="1"/>
  <c r="P170" i="1"/>
  <c r="Q170" i="1"/>
  <c r="R170" i="1"/>
  <c r="U170" i="1"/>
  <c r="V170" i="1"/>
  <c r="W170" i="1"/>
  <c r="X170" i="1"/>
  <c r="Y170" i="1"/>
  <c r="Z170" i="1"/>
  <c r="AD170" i="1"/>
  <c r="AE170" i="1"/>
  <c r="AK170" i="1"/>
  <c r="AY170" i="1"/>
  <c r="B171" i="1"/>
  <c r="C171" i="1"/>
  <c r="P171" i="1"/>
  <c r="Q171" i="1"/>
  <c r="R171" i="1"/>
  <c r="U171" i="1"/>
  <c r="V171" i="1"/>
  <c r="W171" i="1"/>
  <c r="X171" i="1"/>
  <c r="Y171" i="1"/>
  <c r="Z171" i="1"/>
  <c r="AD171" i="1"/>
  <c r="AE171" i="1"/>
  <c r="AK171" i="1"/>
  <c r="AY171" i="1"/>
  <c r="B172" i="1"/>
  <c r="C172" i="1"/>
  <c r="P172" i="1"/>
  <c r="Q172" i="1"/>
  <c r="R172" i="1"/>
  <c r="U172" i="1"/>
  <c r="V172" i="1"/>
  <c r="W172" i="1"/>
  <c r="X172" i="1"/>
  <c r="Y172" i="1"/>
  <c r="Z172" i="1"/>
  <c r="AD172" i="1"/>
  <c r="AE172" i="1"/>
  <c r="AK172" i="1"/>
  <c r="AY172" i="1"/>
  <c r="B173" i="1"/>
  <c r="C173" i="1"/>
  <c r="P173" i="1"/>
  <c r="Q173" i="1"/>
  <c r="R173" i="1"/>
  <c r="U173" i="1"/>
  <c r="V173" i="1"/>
  <c r="W173" i="1"/>
  <c r="X173" i="1"/>
  <c r="Y173" i="1"/>
  <c r="Z173" i="1"/>
  <c r="AD173" i="1"/>
  <c r="AE173" i="1"/>
  <c r="AK173" i="1"/>
  <c r="AY173" i="1"/>
  <c r="B174" i="1"/>
  <c r="C174" i="1"/>
  <c r="P174" i="1"/>
  <c r="Q174" i="1"/>
  <c r="R174" i="1"/>
  <c r="U174" i="1"/>
  <c r="V174" i="1"/>
  <c r="W174" i="1"/>
  <c r="X174" i="1"/>
  <c r="Y174" i="1"/>
  <c r="Z174" i="1"/>
  <c r="AD174" i="1"/>
  <c r="AE174" i="1"/>
  <c r="AK174" i="1"/>
  <c r="AY174" i="1"/>
  <c r="B175" i="1"/>
  <c r="C175" i="1"/>
  <c r="P175" i="1"/>
  <c r="Q175" i="1"/>
  <c r="R175" i="1"/>
  <c r="U175" i="1"/>
  <c r="V175" i="1"/>
  <c r="W175" i="1"/>
  <c r="X175" i="1"/>
  <c r="Y175" i="1"/>
  <c r="Z175" i="1"/>
  <c r="AD175" i="1"/>
  <c r="AE175" i="1"/>
  <c r="AK175" i="1"/>
  <c r="AY175" i="1"/>
  <c r="B176" i="1"/>
  <c r="C176" i="1"/>
  <c r="P176" i="1"/>
  <c r="Q176" i="1"/>
  <c r="R176" i="1"/>
  <c r="U176" i="1"/>
  <c r="V176" i="1"/>
  <c r="W176" i="1"/>
  <c r="X176" i="1"/>
  <c r="Y176" i="1"/>
  <c r="Z176" i="1"/>
  <c r="AD176" i="1"/>
  <c r="AE176" i="1"/>
  <c r="AK176" i="1"/>
  <c r="AY176" i="1"/>
  <c r="B177" i="1"/>
  <c r="C177" i="1"/>
  <c r="P177" i="1"/>
  <c r="Q177" i="1"/>
  <c r="R177" i="1"/>
  <c r="U177" i="1"/>
  <c r="V177" i="1"/>
  <c r="W177" i="1"/>
  <c r="X177" i="1"/>
  <c r="Y177" i="1"/>
  <c r="Z177" i="1"/>
  <c r="AD177" i="1"/>
  <c r="AE177" i="1"/>
  <c r="AK177" i="1"/>
  <c r="AY177" i="1"/>
  <c r="B178" i="1"/>
  <c r="C178" i="1"/>
  <c r="P178" i="1"/>
  <c r="Q178" i="1"/>
  <c r="R178" i="1"/>
  <c r="U178" i="1"/>
  <c r="V178" i="1"/>
  <c r="W178" i="1"/>
  <c r="X178" i="1"/>
  <c r="Y178" i="1"/>
  <c r="Z178" i="1"/>
  <c r="AD178" i="1"/>
  <c r="AE178" i="1"/>
  <c r="AK178" i="1"/>
  <c r="AY178" i="1"/>
  <c r="B179" i="1"/>
  <c r="C179" i="1"/>
  <c r="P179" i="1"/>
  <c r="Q179" i="1"/>
  <c r="R179" i="1"/>
  <c r="U179" i="1"/>
  <c r="V179" i="1"/>
  <c r="W179" i="1"/>
  <c r="X179" i="1"/>
  <c r="Y179" i="1"/>
  <c r="Z179" i="1"/>
  <c r="AD179" i="1"/>
  <c r="AE179" i="1"/>
  <c r="AK179" i="1"/>
  <c r="AY179" i="1"/>
  <c r="B180" i="1"/>
  <c r="C180" i="1"/>
  <c r="P180" i="1"/>
  <c r="Q180" i="1"/>
  <c r="R180" i="1"/>
  <c r="U180" i="1"/>
  <c r="V180" i="1"/>
  <c r="W180" i="1"/>
  <c r="X180" i="1"/>
  <c r="Y180" i="1"/>
  <c r="Z180" i="1"/>
  <c r="AD180" i="1"/>
  <c r="AE180" i="1"/>
  <c r="AK180" i="1"/>
  <c r="AY180" i="1"/>
  <c r="B181" i="1"/>
  <c r="C181" i="1"/>
  <c r="P181" i="1"/>
  <c r="Q181" i="1"/>
  <c r="R181" i="1"/>
  <c r="U181" i="1"/>
  <c r="V181" i="1"/>
  <c r="W181" i="1"/>
  <c r="X181" i="1"/>
  <c r="Y181" i="1"/>
  <c r="Z181" i="1"/>
  <c r="AD181" i="1"/>
  <c r="AE181" i="1"/>
  <c r="AK181" i="1"/>
  <c r="AY181" i="1"/>
  <c r="B182" i="1"/>
  <c r="C182" i="1"/>
  <c r="P182" i="1"/>
  <c r="Q182" i="1"/>
  <c r="R182" i="1"/>
  <c r="U182" i="1"/>
  <c r="V182" i="1"/>
  <c r="W182" i="1"/>
  <c r="X182" i="1"/>
  <c r="Y182" i="1"/>
  <c r="Z182" i="1"/>
  <c r="AD182" i="1"/>
  <c r="AE182" i="1"/>
  <c r="AK182" i="1"/>
  <c r="AY182" i="1"/>
  <c r="B183" i="1"/>
  <c r="C183" i="1"/>
  <c r="P183" i="1"/>
  <c r="Q183" i="1"/>
  <c r="R183" i="1"/>
  <c r="U183" i="1"/>
  <c r="V183" i="1"/>
  <c r="W183" i="1"/>
  <c r="X183" i="1"/>
  <c r="Y183" i="1"/>
  <c r="Z183" i="1"/>
  <c r="AD183" i="1"/>
  <c r="AE183" i="1"/>
  <c r="AK183" i="1"/>
  <c r="AY183" i="1"/>
  <c r="B184" i="1"/>
  <c r="C184" i="1"/>
  <c r="P184" i="1"/>
  <c r="Q184" i="1"/>
  <c r="R184" i="1"/>
  <c r="U184" i="1"/>
  <c r="V184" i="1"/>
  <c r="W184" i="1"/>
  <c r="X184" i="1"/>
  <c r="Y184" i="1"/>
  <c r="Z184" i="1"/>
  <c r="AD184" i="1"/>
  <c r="AE184" i="1"/>
  <c r="AK184" i="1"/>
  <c r="AY184" i="1"/>
  <c r="B185" i="1"/>
  <c r="C185" i="1"/>
  <c r="P185" i="1"/>
  <c r="Q185" i="1"/>
  <c r="R185" i="1"/>
  <c r="U185" i="1"/>
  <c r="V185" i="1"/>
  <c r="W185" i="1"/>
  <c r="X185" i="1"/>
  <c r="Y185" i="1"/>
  <c r="Z185" i="1"/>
  <c r="AD185" i="1"/>
  <c r="AE185" i="1"/>
  <c r="AK185" i="1"/>
  <c r="AY185" i="1"/>
  <c r="B186" i="1"/>
  <c r="C186" i="1"/>
  <c r="P186" i="1"/>
  <c r="Q186" i="1"/>
  <c r="R186" i="1"/>
  <c r="U186" i="1"/>
  <c r="V186" i="1"/>
  <c r="W186" i="1"/>
  <c r="X186" i="1"/>
  <c r="Y186" i="1"/>
  <c r="Z186" i="1"/>
  <c r="AD186" i="1"/>
  <c r="AE186" i="1"/>
  <c r="AK186" i="1"/>
  <c r="AY186" i="1"/>
  <c r="B187" i="1"/>
  <c r="C187" i="1"/>
  <c r="P187" i="1"/>
  <c r="Q187" i="1"/>
  <c r="R187" i="1"/>
  <c r="U187" i="1"/>
  <c r="V187" i="1"/>
  <c r="W187" i="1"/>
  <c r="X187" i="1"/>
  <c r="Y187" i="1"/>
  <c r="Z187" i="1"/>
  <c r="AD187" i="1"/>
  <c r="AE187" i="1"/>
  <c r="AK187" i="1"/>
  <c r="AY187" i="1"/>
  <c r="B188" i="1"/>
  <c r="C188" i="1"/>
  <c r="P188" i="1"/>
  <c r="Q188" i="1"/>
  <c r="R188" i="1"/>
  <c r="U188" i="1"/>
  <c r="V188" i="1"/>
  <c r="W188" i="1"/>
  <c r="X188" i="1"/>
  <c r="Y188" i="1"/>
  <c r="Z188" i="1"/>
  <c r="AD188" i="1"/>
  <c r="AE188" i="1"/>
  <c r="AK188" i="1"/>
  <c r="AY188" i="1"/>
  <c r="B189" i="1"/>
  <c r="C189" i="1"/>
  <c r="P189" i="1"/>
  <c r="Q189" i="1"/>
  <c r="R189" i="1"/>
  <c r="U189" i="1"/>
  <c r="V189" i="1"/>
  <c r="W189" i="1"/>
  <c r="X189" i="1"/>
  <c r="Y189" i="1"/>
  <c r="Z189" i="1"/>
  <c r="AD189" i="1"/>
  <c r="AE189" i="1"/>
  <c r="AK189" i="1"/>
  <c r="AY189" i="1"/>
  <c r="B190" i="1"/>
  <c r="C190" i="1"/>
  <c r="P190" i="1"/>
  <c r="Q190" i="1"/>
  <c r="R190" i="1"/>
  <c r="U190" i="1"/>
  <c r="V190" i="1"/>
  <c r="W190" i="1"/>
  <c r="X190" i="1"/>
  <c r="Y190" i="1"/>
  <c r="Z190" i="1"/>
  <c r="AD190" i="1"/>
  <c r="AE190" i="1"/>
  <c r="AK190" i="1"/>
  <c r="AY190" i="1"/>
  <c r="B191" i="1"/>
  <c r="C191" i="1"/>
  <c r="P191" i="1"/>
  <c r="Q191" i="1"/>
  <c r="R191" i="1"/>
  <c r="U191" i="1"/>
  <c r="V191" i="1"/>
  <c r="W191" i="1"/>
  <c r="X191" i="1"/>
  <c r="Y191" i="1"/>
  <c r="Z191" i="1"/>
  <c r="AD191" i="1"/>
  <c r="AE191" i="1"/>
  <c r="AK191" i="1"/>
  <c r="AY191" i="1"/>
  <c r="B192" i="1"/>
  <c r="C192" i="1"/>
  <c r="P192" i="1"/>
  <c r="Q192" i="1"/>
  <c r="R192" i="1"/>
  <c r="U192" i="1"/>
  <c r="V192" i="1"/>
  <c r="W192" i="1"/>
  <c r="X192" i="1"/>
  <c r="Y192" i="1"/>
  <c r="Z192" i="1"/>
  <c r="AD192" i="1"/>
  <c r="AE192" i="1"/>
  <c r="AK192" i="1"/>
  <c r="AY192" i="1"/>
  <c r="B193" i="1"/>
  <c r="C193" i="1"/>
  <c r="P193" i="1"/>
  <c r="Q193" i="1"/>
  <c r="R193" i="1"/>
  <c r="U193" i="1"/>
  <c r="V193" i="1"/>
  <c r="W193" i="1"/>
  <c r="X193" i="1"/>
  <c r="Y193" i="1"/>
  <c r="Z193" i="1"/>
  <c r="AD193" i="1"/>
  <c r="AE193" i="1"/>
  <c r="AK193" i="1"/>
  <c r="AY193" i="1"/>
  <c r="B194" i="1"/>
  <c r="C194" i="1"/>
  <c r="P194" i="1"/>
  <c r="Q194" i="1"/>
  <c r="R194" i="1"/>
  <c r="U194" i="1"/>
  <c r="V194" i="1"/>
  <c r="W194" i="1"/>
  <c r="X194" i="1"/>
  <c r="Y194" i="1"/>
  <c r="Z194" i="1"/>
  <c r="AD194" i="1"/>
  <c r="AE194" i="1"/>
  <c r="AK194" i="1"/>
  <c r="AY194" i="1"/>
  <c r="B195" i="1"/>
  <c r="C195" i="1"/>
  <c r="P195" i="1"/>
  <c r="Q195" i="1"/>
  <c r="R195" i="1"/>
  <c r="U195" i="1"/>
  <c r="V195" i="1"/>
  <c r="W195" i="1"/>
  <c r="X195" i="1"/>
  <c r="Y195" i="1"/>
  <c r="Z195" i="1"/>
  <c r="AD195" i="1"/>
  <c r="AE195" i="1"/>
  <c r="AK195" i="1"/>
  <c r="AY195" i="1"/>
  <c r="B196" i="1"/>
  <c r="C196" i="1"/>
  <c r="P196" i="1"/>
  <c r="Q196" i="1"/>
  <c r="R196" i="1"/>
  <c r="U196" i="1"/>
  <c r="V196" i="1"/>
  <c r="W196" i="1"/>
  <c r="X196" i="1"/>
  <c r="Y196" i="1"/>
  <c r="Z196" i="1"/>
  <c r="AD196" i="1"/>
  <c r="AE196" i="1"/>
  <c r="AK196" i="1"/>
  <c r="AY196" i="1"/>
  <c r="B197" i="1"/>
  <c r="C197" i="1"/>
  <c r="P197" i="1"/>
  <c r="Q197" i="1"/>
  <c r="R197" i="1"/>
  <c r="U197" i="1"/>
  <c r="V197" i="1"/>
  <c r="W197" i="1"/>
  <c r="X197" i="1"/>
  <c r="Y197" i="1"/>
  <c r="Z197" i="1"/>
  <c r="AD197" i="1"/>
  <c r="AE197" i="1"/>
  <c r="AK197" i="1"/>
  <c r="AY197" i="1"/>
  <c r="B198" i="1"/>
  <c r="C198" i="1"/>
  <c r="P198" i="1"/>
  <c r="Q198" i="1"/>
  <c r="R198" i="1"/>
  <c r="U198" i="1"/>
  <c r="V198" i="1"/>
  <c r="W198" i="1"/>
  <c r="X198" i="1"/>
  <c r="Y198" i="1"/>
  <c r="Z198" i="1"/>
  <c r="AD198" i="1"/>
  <c r="AE198" i="1"/>
  <c r="AK198" i="1"/>
  <c r="AY198" i="1"/>
  <c r="B199" i="1"/>
  <c r="C199" i="1"/>
  <c r="P199" i="1"/>
  <c r="Q199" i="1"/>
  <c r="R199" i="1"/>
  <c r="U199" i="1"/>
  <c r="V199" i="1"/>
  <c r="W199" i="1"/>
  <c r="X199" i="1"/>
  <c r="Y199" i="1"/>
  <c r="Z199" i="1"/>
  <c r="AD199" i="1"/>
  <c r="AE199" i="1"/>
  <c r="AK199" i="1"/>
  <c r="AY199" i="1"/>
  <c r="B200" i="1"/>
  <c r="C200" i="1"/>
  <c r="P200" i="1"/>
  <c r="Q200" i="1"/>
  <c r="R200" i="1"/>
  <c r="U200" i="1"/>
  <c r="V200" i="1"/>
  <c r="W200" i="1"/>
  <c r="X200" i="1"/>
  <c r="Y200" i="1"/>
  <c r="Z200" i="1"/>
  <c r="AD200" i="1"/>
  <c r="AE200" i="1"/>
  <c r="AK200" i="1"/>
  <c r="AY200" i="1"/>
  <c r="B201" i="1"/>
  <c r="C201" i="1"/>
  <c r="P201" i="1"/>
  <c r="Q201" i="1"/>
  <c r="R201" i="1"/>
  <c r="U201" i="1"/>
  <c r="V201" i="1"/>
  <c r="W201" i="1"/>
  <c r="X201" i="1"/>
  <c r="Y201" i="1"/>
  <c r="Z201" i="1"/>
  <c r="AD201" i="1"/>
  <c r="AE201" i="1"/>
  <c r="AK201" i="1"/>
  <c r="AY201" i="1"/>
  <c r="B202" i="1"/>
  <c r="C202" i="1"/>
  <c r="P202" i="1"/>
  <c r="Q202" i="1"/>
  <c r="R202" i="1"/>
  <c r="U202" i="1"/>
  <c r="V202" i="1"/>
  <c r="W202" i="1"/>
  <c r="X202" i="1"/>
  <c r="Y202" i="1"/>
  <c r="Z202" i="1"/>
  <c r="AD202" i="1"/>
  <c r="AE202" i="1"/>
  <c r="AK202" i="1"/>
  <c r="AY202" i="1"/>
  <c r="B203" i="1"/>
  <c r="C203" i="1"/>
  <c r="P203" i="1"/>
  <c r="Q203" i="1"/>
  <c r="R203" i="1"/>
  <c r="U203" i="1"/>
  <c r="V203" i="1"/>
  <c r="W203" i="1"/>
  <c r="X203" i="1"/>
  <c r="Y203" i="1"/>
  <c r="Z203" i="1"/>
  <c r="AD203" i="1"/>
  <c r="AE203" i="1"/>
  <c r="AK203" i="1"/>
  <c r="AY203" i="1"/>
  <c r="B204" i="1"/>
  <c r="C204" i="1"/>
  <c r="P204" i="1"/>
  <c r="Q204" i="1"/>
  <c r="R204" i="1"/>
  <c r="U204" i="1"/>
  <c r="V204" i="1"/>
  <c r="W204" i="1"/>
  <c r="X204" i="1"/>
  <c r="Y204" i="1"/>
  <c r="Z204" i="1"/>
  <c r="AD204" i="1"/>
  <c r="AE204" i="1"/>
  <c r="AK204" i="1"/>
  <c r="AY204" i="1"/>
  <c r="B205" i="1"/>
  <c r="C205" i="1"/>
  <c r="P205" i="1"/>
  <c r="Q205" i="1"/>
  <c r="R205" i="1"/>
  <c r="U205" i="1"/>
  <c r="V205" i="1"/>
  <c r="W205" i="1"/>
  <c r="X205" i="1"/>
  <c r="Y205" i="1"/>
  <c r="Z205" i="1"/>
  <c r="AD205" i="1"/>
  <c r="AE205" i="1"/>
  <c r="AK205" i="1"/>
  <c r="AY205" i="1"/>
  <c r="B206" i="1"/>
  <c r="C206" i="1"/>
  <c r="P206" i="1"/>
  <c r="Q206" i="1"/>
  <c r="R206" i="1"/>
  <c r="U206" i="1"/>
  <c r="V206" i="1"/>
  <c r="W206" i="1"/>
  <c r="X206" i="1"/>
  <c r="Y206" i="1"/>
  <c r="Z206" i="1"/>
  <c r="AD206" i="1"/>
  <c r="AE206" i="1"/>
  <c r="AK206" i="1"/>
  <c r="AY206" i="1"/>
  <c r="B207" i="1"/>
  <c r="C207" i="1"/>
  <c r="P207" i="1"/>
  <c r="Q207" i="1"/>
  <c r="R207" i="1"/>
  <c r="U207" i="1"/>
  <c r="V207" i="1"/>
  <c r="W207" i="1"/>
  <c r="X207" i="1"/>
  <c r="Y207" i="1"/>
  <c r="Z207" i="1"/>
  <c r="AD207" i="1"/>
  <c r="AE207" i="1"/>
  <c r="AK207" i="1"/>
  <c r="AY207" i="1"/>
  <c r="B208" i="1"/>
  <c r="C208" i="1"/>
  <c r="P208" i="1"/>
  <c r="Q208" i="1"/>
  <c r="R208" i="1"/>
  <c r="U208" i="1"/>
  <c r="V208" i="1"/>
  <c r="W208" i="1"/>
  <c r="X208" i="1"/>
  <c r="Y208" i="1"/>
  <c r="Z208" i="1"/>
  <c r="AD208" i="1"/>
  <c r="AE208" i="1"/>
  <c r="AK208" i="1"/>
  <c r="AY208" i="1"/>
  <c r="B209" i="1"/>
  <c r="C209" i="1"/>
  <c r="P209" i="1"/>
  <c r="Q209" i="1"/>
  <c r="R209" i="1"/>
  <c r="U209" i="1"/>
  <c r="V209" i="1"/>
  <c r="W209" i="1"/>
  <c r="X209" i="1"/>
  <c r="Y209" i="1"/>
  <c r="Z209" i="1"/>
  <c r="AD209" i="1"/>
  <c r="AE209" i="1"/>
  <c r="AK209" i="1"/>
  <c r="AY209" i="1"/>
  <c r="B210" i="1"/>
  <c r="C210" i="1"/>
  <c r="P210" i="1"/>
  <c r="Q210" i="1"/>
  <c r="R210" i="1"/>
  <c r="U210" i="1"/>
  <c r="V210" i="1"/>
  <c r="W210" i="1"/>
  <c r="X210" i="1"/>
  <c r="Y210" i="1"/>
  <c r="Z210" i="1"/>
  <c r="AD210" i="1"/>
  <c r="AE210" i="1"/>
  <c r="AK210" i="1"/>
  <c r="AY210" i="1"/>
  <c r="B211" i="1"/>
  <c r="C211" i="1"/>
  <c r="P211" i="1"/>
  <c r="Q211" i="1"/>
  <c r="R211" i="1"/>
  <c r="U211" i="1"/>
  <c r="V211" i="1"/>
  <c r="W211" i="1"/>
  <c r="X211" i="1"/>
  <c r="Y211" i="1"/>
  <c r="Z211" i="1"/>
  <c r="AD211" i="1"/>
  <c r="AE211" i="1"/>
  <c r="AK211" i="1"/>
  <c r="AY211" i="1"/>
  <c r="B212" i="1"/>
  <c r="C212" i="1"/>
  <c r="P212" i="1"/>
  <c r="Q212" i="1"/>
  <c r="R212" i="1"/>
  <c r="U212" i="1"/>
  <c r="V212" i="1"/>
  <c r="W212" i="1"/>
  <c r="X212" i="1"/>
  <c r="Y212" i="1"/>
  <c r="Z212" i="1"/>
  <c r="AD212" i="1"/>
  <c r="AE212" i="1"/>
  <c r="AK212" i="1"/>
  <c r="AY212" i="1"/>
  <c r="B213" i="1"/>
  <c r="C213" i="1"/>
  <c r="P213" i="1"/>
  <c r="Q213" i="1"/>
  <c r="R213" i="1"/>
  <c r="U213" i="1"/>
  <c r="V213" i="1"/>
  <c r="W213" i="1"/>
  <c r="X213" i="1"/>
  <c r="Y213" i="1"/>
  <c r="Z213" i="1"/>
  <c r="AD213" i="1"/>
  <c r="AE213" i="1"/>
  <c r="AK213" i="1"/>
  <c r="AY213" i="1"/>
  <c r="B214" i="1"/>
  <c r="C214" i="1"/>
  <c r="P214" i="1"/>
  <c r="Q214" i="1"/>
  <c r="R214" i="1"/>
  <c r="U214" i="1"/>
  <c r="V214" i="1"/>
  <c r="W214" i="1"/>
  <c r="X214" i="1"/>
  <c r="Y214" i="1"/>
  <c r="Z214" i="1"/>
  <c r="AD214" i="1"/>
  <c r="AE214" i="1"/>
  <c r="AK214" i="1"/>
  <c r="AY214" i="1"/>
  <c r="B215" i="1"/>
  <c r="C215" i="1"/>
  <c r="P215" i="1"/>
  <c r="Q215" i="1"/>
  <c r="R215" i="1"/>
  <c r="U215" i="1"/>
  <c r="V215" i="1"/>
  <c r="W215" i="1"/>
  <c r="X215" i="1"/>
  <c r="Y215" i="1"/>
  <c r="Z215" i="1"/>
  <c r="AD215" i="1"/>
  <c r="AE215" i="1"/>
  <c r="AK215" i="1"/>
  <c r="AY215" i="1"/>
  <c r="B216" i="1"/>
  <c r="C216" i="1"/>
  <c r="P216" i="1"/>
  <c r="Q216" i="1"/>
  <c r="R216" i="1"/>
  <c r="U216" i="1"/>
  <c r="V216" i="1"/>
  <c r="W216" i="1"/>
  <c r="X216" i="1"/>
  <c r="Y216" i="1"/>
  <c r="Z216" i="1"/>
  <c r="AD216" i="1"/>
  <c r="AE216" i="1"/>
  <c r="AK216" i="1"/>
  <c r="AY216" i="1"/>
  <c r="B217" i="1"/>
  <c r="C217" i="1"/>
  <c r="P217" i="1"/>
  <c r="Q217" i="1"/>
  <c r="R217" i="1"/>
  <c r="U217" i="1"/>
  <c r="V217" i="1"/>
  <c r="W217" i="1"/>
  <c r="X217" i="1"/>
  <c r="Y217" i="1"/>
  <c r="Z217" i="1"/>
  <c r="AD217" i="1"/>
  <c r="AE217" i="1"/>
  <c r="AK217" i="1"/>
  <c r="AY217" i="1"/>
  <c r="B218" i="1"/>
  <c r="C218" i="1"/>
  <c r="P218" i="1"/>
  <c r="Q218" i="1"/>
  <c r="R218" i="1"/>
  <c r="U218" i="1"/>
  <c r="V218" i="1"/>
  <c r="W218" i="1"/>
  <c r="X218" i="1"/>
  <c r="Y218" i="1"/>
  <c r="Z218" i="1"/>
  <c r="AD218" i="1"/>
  <c r="AE218" i="1"/>
  <c r="AK218" i="1"/>
  <c r="AY218" i="1"/>
  <c r="B219" i="1"/>
  <c r="C219" i="1"/>
  <c r="P219" i="1"/>
  <c r="Q219" i="1"/>
  <c r="R219" i="1"/>
  <c r="U219" i="1"/>
  <c r="V219" i="1"/>
  <c r="W219" i="1"/>
  <c r="X219" i="1"/>
  <c r="Y219" i="1"/>
  <c r="Z219" i="1"/>
  <c r="AD219" i="1"/>
  <c r="AE219" i="1"/>
  <c r="AK219" i="1"/>
  <c r="AY219" i="1"/>
  <c r="B220" i="1"/>
  <c r="C220" i="1"/>
  <c r="P220" i="1"/>
  <c r="Q220" i="1"/>
  <c r="R220" i="1"/>
  <c r="U220" i="1"/>
  <c r="V220" i="1"/>
  <c r="W220" i="1"/>
  <c r="X220" i="1"/>
  <c r="Y220" i="1"/>
  <c r="Z220" i="1"/>
  <c r="AD220" i="1"/>
  <c r="AE220" i="1"/>
  <c r="AK220" i="1"/>
  <c r="AY220" i="1"/>
  <c r="B221" i="1"/>
  <c r="C221" i="1"/>
  <c r="P221" i="1"/>
  <c r="Q221" i="1"/>
  <c r="R221" i="1"/>
  <c r="U221" i="1"/>
  <c r="V221" i="1"/>
  <c r="W221" i="1"/>
  <c r="X221" i="1"/>
  <c r="Y221" i="1"/>
  <c r="Z221" i="1"/>
  <c r="AD221" i="1"/>
  <c r="AE221" i="1"/>
  <c r="AK221" i="1"/>
  <c r="AY221" i="1"/>
  <c r="B222" i="1"/>
  <c r="C222" i="1"/>
  <c r="P222" i="1"/>
  <c r="Q222" i="1"/>
  <c r="R222" i="1"/>
  <c r="U222" i="1"/>
  <c r="V222" i="1"/>
  <c r="W222" i="1"/>
  <c r="X222" i="1"/>
  <c r="Y222" i="1"/>
  <c r="Z222" i="1"/>
  <c r="AD222" i="1"/>
  <c r="AE222" i="1"/>
  <c r="AK222" i="1"/>
  <c r="AY222" i="1"/>
  <c r="B223" i="1"/>
  <c r="C223" i="1"/>
  <c r="P223" i="1"/>
  <c r="Q223" i="1"/>
  <c r="R223" i="1"/>
  <c r="U223" i="1"/>
  <c r="V223" i="1"/>
  <c r="W223" i="1"/>
  <c r="X223" i="1"/>
  <c r="Y223" i="1"/>
  <c r="Z223" i="1"/>
  <c r="AD223" i="1"/>
  <c r="AE223" i="1"/>
  <c r="AK223" i="1"/>
  <c r="AY223" i="1"/>
  <c r="B224" i="1"/>
  <c r="C224" i="1"/>
  <c r="P224" i="1"/>
  <c r="Q224" i="1"/>
  <c r="R224" i="1"/>
  <c r="U224" i="1"/>
  <c r="V224" i="1"/>
  <c r="W224" i="1"/>
  <c r="X224" i="1"/>
  <c r="Y224" i="1"/>
  <c r="Z224" i="1"/>
  <c r="AD224" i="1"/>
  <c r="AE224" i="1"/>
  <c r="AK224" i="1"/>
  <c r="AY224" i="1"/>
  <c r="B225" i="1"/>
  <c r="C225" i="1"/>
  <c r="P225" i="1"/>
  <c r="Q225" i="1"/>
  <c r="R225" i="1"/>
  <c r="U225" i="1"/>
  <c r="V225" i="1"/>
  <c r="W225" i="1"/>
  <c r="X225" i="1"/>
  <c r="Y225" i="1"/>
  <c r="Z225" i="1"/>
  <c r="AD225" i="1"/>
  <c r="AE225" i="1"/>
  <c r="AK225" i="1"/>
  <c r="AY225" i="1"/>
  <c r="B226" i="1"/>
  <c r="C226" i="1"/>
  <c r="P226" i="1"/>
  <c r="Q226" i="1"/>
  <c r="R226" i="1"/>
  <c r="U226" i="1"/>
  <c r="V226" i="1"/>
  <c r="W226" i="1"/>
  <c r="X226" i="1"/>
  <c r="Y226" i="1"/>
  <c r="Z226" i="1"/>
  <c r="AD226" i="1"/>
  <c r="AE226" i="1"/>
  <c r="AK226" i="1"/>
  <c r="AY226" i="1"/>
  <c r="B227" i="1"/>
  <c r="C227" i="1"/>
  <c r="P227" i="1"/>
  <c r="Q227" i="1"/>
  <c r="R227" i="1"/>
  <c r="U227" i="1"/>
  <c r="V227" i="1"/>
  <c r="W227" i="1"/>
  <c r="X227" i="1"/>
  <c r="Y227" i="1"/>
  <c r="Z227" i="1"/>
  <c r="AD227" i="1"/>
  <c r="AE227" i="1"/>
  <c r="AK227" i="1"/>
  <c r="AY227" i="1"/>
  <c r="B228" i="1"/>
  <c r="C228" i="1"/>
  <c r="P228" i="1"/>
  <c r="Q228" i="1"/>
  <c r="R228" i="1"/>
  <c r="U228" i="1"/>
  <c r="V228" i="1"/>
  <c r="W228" i="1"/>
  <c r="X228" i="1"/>
  <c r="Y228" i="1"/>
  <c r="Z228" i="1"/>
  <c r="AD228" i="1"/>
  <c r="AE228" i="1"/>
  <c r="AK228" i="1"/>
  <c r="AY228" i="1"/>
  <c r="B229" i="1"/>
  <c r="C229" i="1"/>
  <c r="P229" i="1"/>
  <c r="Q229" i="1"/>
  <c r="R229" i="1"/>
  <c r="U229" i="1"/>
  <c r="V229" i="1"/>
  <c r="W229" i="1"/>
  <c r="X229" i="1"/>
  <c r="Y229" i="1"/>
  <c r="Z229" i="1"/>
  <c r="AD229" i="1"/>
  <c r="AE229" i="1"/>
  <c r="AK229" i="1"/>
  <c r="AY229" i="1"/>
  <c r="B230" i="1"/>
  <c r="C230" i="1"/>
  <c r="P230" i="1"/>
  <c r="Q230" i="1"/>
  <c r="R230" i="1"/>
  <c r="U230" i="1"/>
  <c r="V230" i="1"/>
  <c r="W230" i="1"/>
  <c r="X230" i="1"/>
  <c r="Y230" i="1"/>
  <c r="Z230" i="1"/>
  <c r="AD230" i="1"/>
  <c r="AE230" i="1"/>
  <c r="AK230" i="1"/>
  <c r="AY230" i="1"/>
  <c r="B231" i="1"/>
  <c r="C231" i="1"/>
  <c r="P231" i="1"/>
  <c r="Q231" i="1"/>
  <c r="R231" i="1"/>
  <c r="U231" i="1"/>
  <c r="V231" i="1"/>
  <c r="W231" i="1"/>
  <c r="X231" i="1"/>
  <c r="Y231" i="1"/>
  <c r="Z231" i="1"/>
  <c r="AD231" i="1"/>
  <c r="AE231" i="1"/>
  <c r="AK231" i="1"/>
  <c r="AY231" i="1"/>
  <c r="B232" i="1"/>
  <c r="C232" i="1"/>
  <c r="P232" i="1"/>
  <c r="Q232" i="1"/>
  <c r="R232" i="1"/>
  <c r="U232" i="1"/>
  <c r="V232" i="1"/>
  <c r="W232" i="1"/>
  <c r="X232" i="1"/>
  <c r="Y232" i="1"/>
  <c r="Z232" i="1"/>
  <c r="AD232" i="1"/>
  <c r="AE232" i="1"/>
  <c r="AK232" i="1"/>
  <c r="AY232" i="1"/>
  <c r="B233" i="1"/>
  <c r="C233" i="1"/>
  <c r="P233" i="1"/>
  <c r="Q233" i="1"/>
  <c r="R233" i="1"/>
  <c r="U233" i="1"/>
  <c r="V233" i="1"/>
  <c r="W233" i="1"/>
  <c r="X233" i="1"/>
  <c r="Y233" i="1"/>
  <c r="Z233" i="1"/>
  <c r="AD233" i="1"/>
  <c r="AE233" i="1"/>
  <c r="AK233" i="1"/>
  <c r="AY233" i="1"/>
  <c r="B234" i="1"/>
  <c r="C234" i="1"/>
  <c r="P234" i="1"/>
  <c r="Q234" i="1"/>
  <c r="R234" i="1"/>
  <c r="U234" i="1"/>
  <c r="V234" i="1"/>
  <c r="W234" i="1"/>
  <c r="X234" i="1"/>
  <c r="Y234" i="1"/>
  <c r="Z234" i="1"/>
  <c r="AD234" i="1"/>
  <c r="AE234" i="1"/>
  <c r="AK234" i="1"/>
  <c r="AY234" i="1"/>
  <c r="B235" i="1"/>
  <c r="C235" i="1"/>
  <c r="P235" i="1"/>
  <c r="Q235" i="1"/>
  <c r="R235" i="1"/>
  <c r="U235" i="1"/>
  <c r="V235" i="1"/>
  <c r="W235" i="1"/>
  <c r="X235" i="1"/>
  <c r="Y235" i="1"/>
  <c r="Z235" i="1"/>
  <c r="AD235" i="1"/>
  <c r="AE235" i="1"/>
  <c r="AK235" i="1"/>
  <c r="AY235" i="1"/>
  <c r="B236" i="1"/>
  <c r="C236" i="1"/>
  <c r="P236" i="1"/>
  <c r="Q236" i="1"/>
  <c r="R236" i="1"/>
  <c r="U236" i="1"/>
  <c r="V236" i="1"/>
  <c r="W236" i="1"/>
  <c r="X236" i="1"/>
  <c r="Y236" i="1"/>
  <c r="Z236" i="1"/>
  <c r="AD236" i="1"/>
  <c r="AE236" i="1"/>
  <c r="AK236" i="1"/>
  <c r="AY236" i="1"/>
  <c r="B237" i="1"/>
  <c r="C237" i="1"/>
  <c r="P237" i="1"/>
  <c r="Q237" i="1"/>
  <c r="R237" i="1"/>
  <c r="U237" i="1"/>
  <c r="V237" i="1"/>
  <c r="W237" i="1"/>
  <c r="X237" i="1"/>
  <c r="Y237" i="1"/>
  <c r="Z237" i="1"/>
  <c r="AD237" i="1"/>
  <c r="AE237" i="1"/>
  <c r="AK237" i="1"/>
  <c r="AY237" i="1"/>
  <c r="B238" i="1"/>
  <c r="C238" i="1"/>
  <c r="P238" i="1"/>
  <c r="Q238" i="1"/>
  <c r="R238" i="1"/>
  <c r="U238" i="1"/>
  <c r="V238" i="1"/>
  <c r="W238" i="1"/>
  <c r="X238" i="1"/>
  <c r="Y238" i="1"/>
  <c r="Z238" i="1"/>
  <c r="AD238" i="1"/>
  <c r="AE238" i="1"/>
  <c r="AK238" i="1"/>
  <c r="AY238" i="1"/>
  <c r="B239" i="1"/>
  <c r="C239" i="1"/>
  <c r="P239" i="1"/>
  <c r="Q239" i="1"/>
  <c r="R239" i="1"/>
  <c r="U239" i="1"/>
  <c r="V239" i="1"/>
  <c r="W239" i="1"/>
  <c r="X239" i="1"/>
  <c r="Y239" i="1"/>
  <c r="Z239" i="1"/>
  <c r="AD239" i="1"/>
  <c r="AE239" i="1"/>
  <c r="AK239" i="1"/>
  <c r="AY239" i="1"/>
  <c r="B240" i="1"/>
  <c r="C240" i="1"/>
  <c r="P240" i="1"/>
  <c r="Q240" i="1"/>
  <c r="R240" i="1"/>
  <c r="U240" i="1"/>
  <c r="V240" i="1"/>
  <c r="W240" i="1"/>
  <c r="X240" i="1"/>
  <c r="Y240" i="1"/>
  <c r="Z240" i="1"/>
  <c r="AD240" i="1"/>
  <c r="AE240" i="1"/>
  <c r="AK240" i="1"/>
  <c r="AY240" i="1"/>
  <c r="B241" i="1"/>
  <c r="C241" i="1"/>
  <c r="P241" i="1"/>
  <c r="Q241" i="1"/>
  <c r="R241" i="1"/>
  <c r="U241" i="1"/>
  <c r="V241" i="1"/>
  <c r="W241" i="1"/>
  <c r="X241" i="1"/>
  <c r="Y241" i="1"/>
  <c r="Z241" i="1"/>
  <c r="AD241" i="1"/>
  <c r="AE241" i="1"/>
  <c r="AK241" i="1"/>
  <c r="AY241" i="1"/>
  <c r="B242" i="1"/>
  <c r="C242" i="1"/>
  <c r="P242" i="1"/>
  <c r="Q242" i="1"/>
  <c r="R242" i="1"/>
  <c r="U242" i="1"/>
  <c r="V242" i="1"/>
  <c r="W242" i="1"/>
  <c r="X242" i="1"/>
  <c r="Y242" i="1"/>
  <c r="Z242" i="1"/>
  <c r="AD242" i="1"/>
  <c r="AE242" i="1"/>
  <c r="AK242" i="1"/>
  <c r="AY242" i="1"/>
  <c r="B243" i="1"/>
  <c r="C243" i="1"/>
  <c r="P243" i="1"/>
  <c r="Q243" i="1"/>
  <c r="R243" i="1"/>
  <c r="U243" i="1"/>
  <c r="V243" i="1"/>
  <c r="W243" i="1"/>
  <c r="X243" i="1"/>
  <c r="Y243" i="1"/>
  <c r="Z243" i="1"/>
  <c r="AD243" i="1"/>
  <c r="AE243" i="1"/>
  <c r="AK243" i="1"/>
  <c r="AY243" i="1"/>
  <c r="B244" i="1"/>
  <c r="C244" i="1"/>
  <c r="P244" i="1"/>
  <c r="Q244" i="1"/>
  <c r="R244" i="1"/>
  <c r="U244" i="1"/>
  <c r="V244" i="1"/>
  <c r="W244" i="1"/>
  <c r="X244" i="1"/>
  <c r="Y244" i="1"/>
  <c r="Z244" i="1"/>
  <c r="AD244" i="1"/>
  <c r="AE244" i="1"/>
  <c r="AK244" i="1"/>
  <c r="AY244" i="1"/>
  <c r="B245" i="1"/>
  <c r="C245" i="1"/>
  <c r="P245" i="1"/>
  <c r="Q245" i="1"/>
  <c r="R245" i="1"/>
  <c r="U245" i="1"/>
  <c r="V245" i="1"/>
  <c r="W245" i="1"/>
  <c r="X245" i="1"/>
  <c r="Y245" i="1"/>
  <c r="Z245" i="1"/>
  <c r="AD245" i="1"/>
  <c r="AE245" i="1"/>
  <c r="AK245" i="1"/>
  <c r="AY245" i="1"/>
  <c r="B246" i="1"/>
  <c r="C246" i="1"/>
  <c r="P246" i="1"/>
  <c r="Q246" i="1"/>
  <c r="R246" i="1"/>
  <c r="U246" i="1"/>
  <c r="V246" i="1"/>
  <c r="W246" i="1"/>
  <c r="X246" i="1"/>
  <c r="Y246" i="1"/>
  <c r="Z246" i="1"/>
  <c r="AD246" i="1"/>
  <c r="AE246" i="1"/>
  <c r="AK246" i="1"/>
  <c r="AY246" i="1"/>
  <c r="B247" i="1"/>
  <c r="C247" i="1"/>
  <c r="P247" i="1"/>
  <c r="Q247" i="1"/>
  <c r="R247" i="1"/>
  <c r="U247" i="1"/>
  <c r="V247" i="1"/>
  <c r="W247" i="1"/>
  <c r="X247" i="1"/>
  <c r="Y247" i="1"/>
  <c r="Z247" i="1"/>
  <c r="AD247" i="1"/>
  <c r="AE247" i="1"/>
  <c r="AK247" i="1"/>
  <c r="AY247" i="1"/>
  <c r="B248" i="1"/>
  <c r="C248" i="1"/>
  <c r="P248" i="1"/>
  <c r="Q248" i="1"/>
  <c r="R248" i="1"/>
  <c r="U248" i="1"/>
  <c r="V248" i="1"/>
  <c r="W248" i="1"/>
  <c r="X248" i="1"/>
  <c r="Y248" i="1"/>
  <c r="Z248" i="1"/>
  <c r="AD248" i="1"/>
  <c r="AE248" i="1"/>
  <c r="AK248" i="1"/>
  <c r="AY248" i="1"/>
  <c r="B249" i="1"/>
  <c r="C249" i="1"/>
  <c r="P249" i="1"/>
  <c r="Q249" i="1"/>
  <c r="R249" i="1"/>
  <c r="U249" i="1"/>
  <c r="V249" i="1"/>
  <c r="W249" i="1"/>
  <c r="X249" i="1"/>
  <c r="Y249" i="1"/>
  <c r="Z249" i="1"/>
  <c r="AD249" i="1"/>
  <c r="AE249" i="1"/>
  <c r="AK249" i="1"/>
  <c r="AY249" i="1"/>
  <c r="B250" i="1"/>
  <c r="C250" i="1"/>
  <c r="P250" i="1"/>
  <c r="Q250" i="1"/>
  <c r="R250" i="1"/>
  <c r="U250" i="1"/>
  <c r="V250" i="1"/>
  <c r="W250" i="1"/>
  <c r="X250" i="1"/>
  <c r="Y250" i="1"/>
  <c r="Z250" i="1"/>
  <c r="AD250" i="1"/>
  <c r="AE250" i="1"/>
  <c r="AK250" i="1"/>
  <c r="AY250" i="1"/>
  <c r="B251" i="1"/>
  <c r="C251" i="1"/>
  <c r="P251" i="1"/>
  <c r="Q251" i="1"/>
  <c r="R251" i="1"/>
  <c r="U251" i="1"/>
  <c r="V251" i="1"/>
  <c r="W251" i="1"/>
  <c r="X251" i="1"/>
  <c r="Y251" i="1"/>
  <c r="Z251" i="1"/>
  <c r="AD251" i="1"/>
  <c r="AE251" i="1"/>
  <c r="AK251" i="1"/>
  <c r="AY251" i="1"/>
  <c r="B252" i="1"/>
  <c r="C252" i="1"/>
  <c r="P252" i="1"/>
  <c r="Q252" i="1"/>
  <c r="R252" i="1"/>
  <c r="U252" i="1"/>
  <c r="V252" i="1"/>
  <c r="W252" i="1"/>
  <c r="X252" i="1"/>
  <c r="Y252" i="1"/>
  <c r="Z252" i="1"/>
  <c r="AD252" i="1"/>
  <c r="AE252" i="1"/>
  <c r="AK252" i="1"/>
  <c r="AY252" i="1"/>
  <c r="B253" i="1"/>
  <c r="C253" i="1"/>
  <c r="P253" i="1"/>
  <c r="Q253" i="1"/>
  <c r="R253" i="1"/>
  <c r="U253" i="1"/>
  <c r="V253" i="1"/>
  <c r="W253" i="1"/>
  <c r="X253" i="1"/>
  <c r="Y253" i="1"/>
  <c r="Z253" i="1"/>
  <c r="AD253" i="1"/>
  <c r="AE253" i="1"/>
  <c r="AK253" i="1"/>
  <c r="AY253" i="1"/>
  <c r="B254" i="1"/>
  <c r="C254" i="1"/>
  <c r="P254" i="1"/>
  <c r="Q254" i="1"/>
  <c r="R254" i="1"/>
  <c r="U254" i="1"/>
  <c r="V254" i="1"/>
  <c r="W254" i="1"/>
  <c r="X254" i="1"/>
  <c r="Y254" i="1"/>
  <c r="Z254" i="1"/>
  <c r="AD254" i="1"/>
  <c r="AE254" i="1"/>
  <c r="AK254" i="1"/>
  <c r="AY254" i="1"/>
  <c r="B255" i="1"/>
  <c r="C255" i="1"/>
  <c r="P255" i="1"/>
  <c r="Q255" i="1"/>
  <c r="R255" i="1"/>
  <c r="U255" i="1"/>
  <c r="V255" i="1"/>
  <c r="W255" i="1"/>
  <c r="X255" i="1"/>
  <c r="Y255" i="1"/>
  <c r="Z255" i="1"/>
  <c r="AD255" i="1"/>
  <c r="AE255" i="1"/>
  <c r="AK255" i="1"/>
  <c r="AY255" i="1"/>
  <c r="B256" i="1"/>
  <c r="C256" i="1"/>
  <c r="P256" i="1"/>
  <c r="Q256" i="1"/>
  <c r="R256" i="1"/>
  <c r="U256" i="1"/>
  <c r="V256" i="1"/>
  <c r="W256" i="1"/>
  <c r="X256" i="1"/>
  <c r="Y256" i="1"/>
  <c r="Z256" i="1"/>
  <c r="AD256" i="1"/>
  <c r="AE256" i="1"/>
  <c r="AK256" i="1"/>
  <c r="AY256" i="1"/>
  <c r="B257" i="1"/>
  <c r="C257" i="1"/>
  <c r="P257" i="1"/>
  <c r="Q257" i="1"/>
  <c r="R257" i="1"/>
  <c r="U257" i="1"/>
  <c r="V257" i="1"/>
  <c r="W257" i="1"/>
  <c r="X257" i="1"/>
  <c r="Y257" i="1"/>
  <c r="Z257" i="1"/>
  <c r="AD257" i="1"/>
  <c r="AE257" i="1"/>
  <c r="AK257" i="1"/>
  <c r="AY257" i="1"/>
  <c r="B258" i="1"/>
  <c r="C258" i="1"/>
  <c r="P258" i="1"/>
  <c r="Q258" i="1"/>
  <c r="R258" i="1"/>
  <c r="U258" i="1"/>
  <c r="V258" i="1"/>
  <c r="W258" i="1"/>
  <c r="X258" i="1"/>
  <c r="Y258" i="1"/>
  <c r="Z258" i="1"/>
  <c r="AD258" i="1"/>
  <c r="AE258" i="1"/>
  <c r="AK258" i="1"/>
  <c r="AY258" i="1"/>
  <c r="B259" i="1"/>
  <c r="C259" i="1"/>
  <c r="P259" i="1"/>
  <c r="Q259" i="1"/>
  <c r="R259" i="1"/>
  <c r="U259" i="1"/>
  <c r="V259" i="1"/>
  <c r="W259" i="1"/>
  <c r="X259" i="1"/>
  <c r="Y259" i="1"/>
  <c r="Z259" i="1"/>
  <c r="AD259" i="1"/>
  <c r="AE259" i="1"/>
  <c r="AK259" i="1"/>
  <c r="AY259" i="1"/>
  <c r="B260" i="1"/>
  <c r="C260" i="1"/>
  <c r="P260" i="1"/>
  <c r="Q260" i="1"/>
  <c r="R260" i="1"/>
  <c r="U260" i="1"/>
  <c r="V260" i="1"/>
  <c r="W260" i="1"/>
  <c r="X260" i="1"/>
  <c r="Y260" i="1"/>
  <c r="Z260" i="1"/>
  <c r="AD260" i="1"/>
  <c r="AE260" i="1"/>
  <c r="AK260" i="1"/>
  <c r="AY260" i="1"/>
  <c r="B261" i="1"/>
  <c r="C261" i="1"/>
  <c r="P261" i="1"/>
  <c r="Q261" i="1"/>
  <c r="R261" i="1"/>
  <c r="U261" i="1"/>
  <c r="V261" i="1"/>
  <c r="W261" i="1"/>
  <c r="X261" i="1"/>
  <c r="Y261" i="1"/>
  <c r="Z261" i="1"/>
  <c r="AD261" i="1"/>
  <c r="AE261" i="1"/>
  <c r="AK261" i="1"/>
  <c r="AY261" i="1"/>
  <c r="B262" i="1"/>
  <c r="C262" i="1"/>
  <c r="P262" i="1"/>
  <c r="Q262" i="1"/>
  <c r="R262" i="1"/>
  <c r="U262" i="1"/>
  <c r="V262" i="1"/>
  <c r="W262" i="1"/>
  <c r="X262" i="1"/>
  <c r="Y262" i="1"/>
  <c r="Z262" i="1"/>
  <c r="AD262" i="1"/>
  <c r="AE262" i="1"/>
  <c r="AK262" i="1"/>
  <c r="AY262" i="1"/>
  <c r="B263" i="1"/>
  <c r="C263" i="1"/>
  <c r="P263" i="1"/>
  <c r="Q263" i="1"/>
  <c r="R263" i="1"/>
  <c r="U263" i="1"/>
  <c r="V263" i="1"/>
  <c r="W263" i="1"/>
  <c r="X263" i="1"/>
  <c r="Y263" i="1"/>
  <c r="Z263" i="1"/>
  <c r="AD263" i="1"/>
  <c r="AE263" i="1"/>
  <c r="AK263" i="1"/>
  <c r="AY263" i="1"/>
  <c r="B264" i="1"/>
  <c r="C264" i="1"/>
  <c r="P264" i="1"/>
  <c r="Q264" i="1"/>
  <c r="R264" i="1"/>
  <c r="U264" i="1"/>
  <c r="V264" i="1"/>
  <c r="W264" i="1"/>
  <c r="X264" i="1"/>
  <c r="Y264" i="1"/>
  <c r="Z264" i="1"/>
  <c r="AD264" i="1"/>
  <c r="AE264" i="1"/>
  <c r="AK264" i="1"/>
  <c r="AY264" i="1"/>
  <c r="B265" i="1"/>
  <c r="C265" i="1"/>
  <c r="P265" i="1"/>
  <c r="Q265" i="1"/>
  <c r="R265" i="1"/>
  <c r="U265" i="1"/>
  <c r="V265" i="1"/>
  <c r="W265" i="1"/>
  <c r="X265" i="1"/>
  <c r="Y265" i="1"/>
  <c r="Z265" i="1"/>
  <c r="AD265" i="1"/>
  <c r="AE265" i="1"/>
  <c r="AK265" i="1"/>
  <c r="AY265" i="1"/>
  <c r="B266" i="1"/>
  <c r="C266" i="1"/>
  <c r="P266" i="1"/>
  <c r="Q266" i="1"/>
  <c r="R266" i="1"/>
  <c r="U266" i="1"/>
  <c r="V266" i="1"/>
  <c r="W266" i="1"/>
  <c r="X266" i="1"/>
  <c r="Y266" i="1"/>
  <c r="Z266" i="1"/>
  <c r="AD266" i="1"/>
  <c r="AE266" i="1"/>
  <c r="AK266" i="1"/>
  <c r="AY266" i="1"/>
  <c r="B267" i="1"/>
  <c r="C267" i="1"/>
  <c r="P267" i="1"/>
  <c r="Q267" i="1"/>
  <c r="R267" i="1"/>
  <c r="U267" i="1"/>
  <c r="V267" i="1"/>
  <c r="W267" i="1"/>
  <c r="X267" i="1"/>
  <c r="Y267" i="1"/>
  <c r="Z267" i="1"/>
  <c r="AD267" i="1"/>
  <c r="AE267" i="1"/>
  <c r="AK267" i="1"/>
  <c r="AY267" i="1"/>
  <c r="B268" i="1"/>
  <c r="C268" i="1"/>
  <c r="P268" i="1"/>
  <c r="Q268" i="1"/>
  <c r="R268" i="1"/>
  <c r="U268" i="1"/>
  <c r="V268" i="1"/>
  <c r="W268" i="1"/>
  <c r="X268" i="1"/>
  <c r="Y268" i="1"/>
  <c r="Z268" i="1"/>
  <c r="AD268" i="1"/>
  <c r="AE268" i="1"/>
  <c r="AK268" i="1"/>
  <c r="AY268" i="1"/>
  <c r="B269" i="1"/>
  <c r="C269" i="1"/>
  <c r="P269" i="1"/>
  <c r="Q269" i="1"/>
  <c r="R269" i="1"/>
  <c r="U269" i="1"/>
  <c r="V269" i="1"/>
  <c r="W269" i="1"/>
  <c r="X269" i="1"/>
  <c r="Y269" i="1"/>
  <c r="Z269" i="1"/>
  <c r="AD269" i="1"/>
  <c r="AE269" i="1"/>
  <c r="AK269" i="1"/>
  <c r="AY269" i="1"/>
  <c r="B270" i="1"/>
  <c r="C270" i="1"/>
  <c r="P270" i="1"/>
  <c r="Q270" i="1"/>
  <c r="R270" i="1"/>
  <c r="U270" i="1"/>
  <c r="V270" i="1"/>
  <c r="W270" i="1"/>
  <c r="X270" i="1"/>
  <c r="Y270" i="1"/>
  <c r="Z270" i="1"/>
  <c r="AD270" i="1"/>
  <c r="AE270" i="1"/>
  <c r="AK270" i="1"/>
  <c r="AY270" i="1"/>
  <c r="B271" i="1"/>
  <c r="C271" i="1"/>
  <c r="P271" i="1"/>
  <c r="Q271" i="1"/>
  <c r="R271" i="1"/>
  <c r="U271" i="1"/>
  <c r="V271" i="1"/>
  <c r="W271" i="1"/>
  <c r="X271" i="1"/>
  <c r="Y271" i="1"/>
  <c r="Z271" i="1"/>
  <c r="AD271" i="1"/>
  <c r="AE271" i="1"/>
  <c r="AK271" i="1"/>
  <c r="AY271" i="1"/>
  <c r="B272" i="1"/>
  <c r="C272" i="1"/>
  <c r="P272" i="1"/>
  <c r="Q272" i="1"/>
  <c r="R272" i="1"/>
  <c r="U272" i="1"/>
  <c r="V272" i="1"/>
  <c r="W272" i="1"/>
  <c r="X272" i="1"/>
  <c r="Y272" i="1"/>
  <c r="Z272" i="1"/>
  <c r="AD272" i="1"/>
  <c r="AE272" i="1"/>
  <c r="AK272" i="1"/>
  <c r="AY272" i="1"/>
  <c r="B273" i="1"/>
  <c r="C273" i="1"/>
  <c r="P273" i="1"/>
  <c r="Q273" i="1"/>
  <c r="R273" i="1"/>
  <c r="U273" i="1"/>
  <c r="V273" i="1"/>
  <c r="W273" i="1"/>
  <c r="X273" i="1"/>
  <c r="Y273" i="1"/>
  <c r="Z273" i="1"/>
  <c r="AD273" i="1"/>
  <c r="AE273" i="1"/>
  <c r="AK273" i="1"/>
  <c r="AY273" i="1"/>
  <c r="B274" i="1"/>
  <c r="C274" i="1"/>
  <c r="P274" i="1"/>
  <c r="Q274" i="1"/>
  <c r="R274" i="1"/>
  <c r="U274" i="1"/>
  <c r="V274" i="1"/>
  <c r="W274" i="1"/>
  <c r="X274" i="1"/>
  <c r="Y274" i="1"/>
  <c r="Z274" i="1"/>
  <c r="AD274" i="1"/>
  <c r="AE274" i="1"/>
  <c r="AK274" i="1"/>
  <c r="AY274" i="1"/>
  <c r="B275" i="1"/>
  <c r="C275" i="1"/>
  <c r="P275" i="1"/>
  <c r="Q275" i="1"/>
  <c r="R275" i="1"/>
  <c r="U275" i="1"/>
  <c r="V275" i="1"/>
  <c r="W275" i="1"/>
  <c r="X275" i="1"/>
  <c r="Y275" i="1"/>
  <c r="Z275" i="1"/>
  <c r="AD275" i="1"/>
  <c r="AE275" i="1"/>
  <c r="AK275" i="1"/>
  <c r="AY275" i="1"/>
  <c r="B276" i="1"/>
  <c r="C276" i="1"/>
  <c r="P276" i="1"/>
  <c r="Q276" i="1"/>
  <c r="R276" i="1"/>
  <c r="U276" i="1"/>
  <c r="V276" i="1"/>
  <c r="W276" i="1"/>
  <c r="X276" i="1"/>
  <c r="Y276" i="1"/>
  <c r="Z276" i="1"/>
  <c r="AD276" i="1"/>
  <c r="AE276" i="1"/>
  <c r="AK276" i="1"/>
  <c r="AY276" i="1"/>
  <c r="B277" i="1"/>
  <c r="C277" i="1"/>
  <c r="P277" i="1"/>
  <c r="Q277" i="1"/>
  <c r="R277" i="1"/>
  <c r="U277" i="1"/>
  <c r="V277" i="1"/>
  <c r="W277" i="1"/>
  <c r="X277" i="1"/>
  <c r="Y277" i="1"/>
  <c r="Z277" i="1"/>
  <c r="AD277" i="1"/>
  <c r="AE277" i="1"/>
  <c r="AK277" i="1"/>
  <c r="AY277" i="1"/>
  <c r="B278" i="1"/>
  <c r="C278" i="1"/>
  <c r="P278" i="1"/>
  <c r="Q278" i="1"/>
  <c r="R278" i="1"/>
  <c r="U278" i="1"/>
  <c r="V278" i="1"/>
  <c r="W278" i="1"/>
  <c r="X278" i="1"/>
  <c r="Y278" i="1"/>
  <c r="Z278" i="1"/>
  <c r="AD278" i="1"/>
  <c r="AE278" i="1"/>
  <c r="AK278" i="1"/>
  <c r="AY278" i="1"/>
  <c r="B279" i="1"/>
  <c r="C279" i="1"/>
  <c r="P279" i="1"/>
  <c r="Q279" i="1"/>
  <c r="R279" i="1"/>
  <c r="U279" i="1"/>
  <c r="V279" i="1"/>
  <c r="W279" i="1"/>
  <c r="X279" i="1"/>
  <c r="Y279" i="1"/>
  <c r="Z279" i="1"/>
  <c r="AD279" i="1"/>
  <c r="AE279" i="1"/>
  <c r="AK279" i="1"/>
  <c r="AY279" i="1"/>
  <c r="AY31" i="1"/>
  <c r="AK31" i="1"/>
  <c r="AE31" i="1"/>
  <c r="AD31" i="1"/>
  <c r="Z31" i="1"/>
  <c r="Y31" i="1"/>
  <c r="X31" i="1"/>
  <c r="W31" i="1"/>
  <c r="V31" i="1"/>
  <c r="U31" i="1"/>
  <c r="R31" i="1"/>
  <c r="Q31" i="1"/>
  <c r="P31" i="1"/>
  <c r="C31" i="1"/>
  <c r="B31" i="1"/>
  <c r="B29" i="1" l="1"/>
  <c r="C29" i="1" s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<sst xmlns="http://schemas.openxmlformats.org/spreadsheetml/2006/main" count="2875" uniqueCount="851">
  <si>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</si>
  <si>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</si>
  <si>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</si>
  <si>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</si>
  <si>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</si>
  <si>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</si>
  <si>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</si>
  <si>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</si>
  <si>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</si>
  <si>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</si>
  <si>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</si>
  <si>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</si>
  <si>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</si>
  <si>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</si>
  <si>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</si>
  <si>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</si>
  <si>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</si>
  <si>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</si>
  <si>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</si>
  <si>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</si>
  <si>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</si>
  <si>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</si>
  <si>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</si>
  <si>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</si>
  <si>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</si>
  <si>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</si>
  <si>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</si>
  <si>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</si>
  <si>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</si>
  <si>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</si>
  <si>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</si>
  <si>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</si>
  <si>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</si>
  <si>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</si>
  <si>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</si>
  <si>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</si>
  <si>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</si>
  <si>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</si>
  <si>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</si>
  <si>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</si>
  <si>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</si>
  <si>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</si>
  <si>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</si>
  <si>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</si>
  <si>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</si>
  <si>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</si>
  <si>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</si>
  <si>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</si>
  <si>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</si>
  <si>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</si>
  <si>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</si>
  <si>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</si>
  <si>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</si>
  <si>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</si>
  <si>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</si>
  <si>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</si>
  <si>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</si>
  <si>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</si>
  <si>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</si>
  <si>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</si>
  <si>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</si>
  <si>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</si>
  <si>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</si>
  <si>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</si>
  <si>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</si>
  <si>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</si>
  <si>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</si>
  <si>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</si>
  <si>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</si>
  <si>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</si>
  <si>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</si>
  <si>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</si>
  <si>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</si>
  <si>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</si>
  <si>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</si>
  <si>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</si>
  <si>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</si>
  <si>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</si>
  <si>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</si>
  <si>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</si>
  <si>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</si>
  <si>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</si>
  <si>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</si>
  <si>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</si>
  <si>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</si>
  <si>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</si>
  <si>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</si>
  <si>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</si>
  <si>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</si>
  <si>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</si>
  <si>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</si>
  <si>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</si>
  <si>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</si>
  <si>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</si>
  <si>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</si>
  <si>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</si>
  <si>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</si>
  <si>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</si>
  <si>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</si>
  <si>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</si>
  <si>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</si>
  <si>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</si>
  <si>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</si>
  <si>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</si>
  <si>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</si>
  <si>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</si>
  <si>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</si>
  <si>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</si>
  <si>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</si>
  <si>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</si>
  <si>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</si>
  <si>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</si>
  <si>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</si>
  <si>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</si>
  <si>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</si>
  <si>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</si>
  <si>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</si>
  <si>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</si>
  <si>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</si>
  <si>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</si>
  <si>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</si>
  <si>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</si>
  <si>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</si>
  <si>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</si>
  <si>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</si>
  <si>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</si>
  <si>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</si>
  <si>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</si>
  <si>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</si>
  <si>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</si>
  <si>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</si>
  <si>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</si>
  <si>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</si>
  <si>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</si>
  <si>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</si>
  <si>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</si>
  <si>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</si>
  <si>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</si>
  <si>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</si>
  <si>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</si>
  <si>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</si>
  <si>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</si>
  <si>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</si>
  <si>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</si>
  <si>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</si>
  <si>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</si>
  <si>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</si>
  <si>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</si>
  <si>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</si>
  <si>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</si>
  <si>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</si>
  <si>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</si>
  <si>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</si>
  <si>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</si>
  <si>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</si>
  <si>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</si>
  <si>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</si>
  <si>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</si>
  <si>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</si>
  <si>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</si>
  <si>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</si>
  <si>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</si>
  <si>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</si>
  <si>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</si>
  <si>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</si>
  <si>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</si>
  <si>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</si>
  <si>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</si>
  <si>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</si>
  <si>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</si>
  <si>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</si>
  <si>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</si>
  <si>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</si>
  <si>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</si>
  <si>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</si>
  <si>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</si>
  <si>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</si>
  <si>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</si>
  <si>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</si>
  <si>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</si>
  <si>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</si>
  <si>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</si>
  <si>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</si>
  <si>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</si>
  <si>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</si>
  <si>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</si>
  <si>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</si>
  <si>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</si>
  <si>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</si>
  <si>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</si>
  <si>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</si>
  <si>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</si>
  <si>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</si>
  <si>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</si>
  <si>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</si>
  <si>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</si>
  <si>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</si>
  <si>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</si>
  <si>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</si>
  <si>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</si>
  <si>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</si>
  <si>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</si>
  <si>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</si>
  <si>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</si>
  <si>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</si>
  <si>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</si>
  <si>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</si>
  <si>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</si>
  <si>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</si>
  <si>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</si>
  <si>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</si>
  <si>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</si>
  <si>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</si>
  <si>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</si>
  <si>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</si>
  <si>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</si>
  <si>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</si>
  <si>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</si>
  <si>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</si>
  <si>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</si>
  <si>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</si>
  <si>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</si>
  <si>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</si>
  <si>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</si>
  <si>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</si>
  <si>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</si>
  <si>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</si>
  <si>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</si>
  <si>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</si>
  <si>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</si>
  <si>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</si>
  <si>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</si>
  <si>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</si>
  <si>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</si>
  <si>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</si>
  <si>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</si>
  <si>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</si>
  <si>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</si>
  <si>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</si>
  <si>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</si>
  <si>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</si>
  <si>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</si>
  <si>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</si>
  <si>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</si>
  <si>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</si>
  <si>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</si>
  <si>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</si>
  <si>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</si>
  <si>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</si>
  <si>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</si>
  <si>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</si>
  <si>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</si>
  <si>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</si>
  <si>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</si>
  <si>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</si>
  <si>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</si>
  <si>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</si>
  <si>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</si>
  <si>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</si>
  <si>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</si>
  <si>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</si>
  <si>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</si>
  <si>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</si>
  <si>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</si>
  <si>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</si>
  <si>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</si>
  <si>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</si>
  <si>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</si>
  <si>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</si>
  <si>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</si>
  <si>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</si>
  <si>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</si>
  <si>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</si>
  <si>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</si>
  <si>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</si>
  <si>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</si>
  <si>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</si>
  <si>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</si>
  <si>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</si>
  <si>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</si>
  <si>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</si>
  <si>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</si>
  <si>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</si>
  <si>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</si>
  <si>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</si>
  <si>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</si>
  <si>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</si>
  <si>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</si>
  <si>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</si>
  <si>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</si>
  <si>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</si>
  <si>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</si>
  <si>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</si>
  <si>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</si>
  <si>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</si>
  <si>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</si>
  <si>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</si>
  <si>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</si>
  <si>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</si>
  <si>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</si>
  <si>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</si>
  <si>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</si>
  <si>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</si>
  <si>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</si>
  <si>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</si>
  <si>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</si>
  <si>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</si>
  <si>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</si>
  <si>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</si>
  <si>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</si>
  <si>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</si>
  <si>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</si>
  <si>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</si>
  <si>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</si>
  <si>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</si>
  <si>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</si>
  <si>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</si>
  <si>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</si>
  <si>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</si>
  <si>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</si>
  <si>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</si>
  <si>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</si>
  <si>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</si>
  <si>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</si>
  <si>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</si>
  <si>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Run Control</t>
  </si>
  <si>
    <t>Y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</si>
  <si>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</si>
  <si>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</si>
  <si>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</si>
  <si>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</si>
  <si>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</si>
  <si>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</si>
  <si>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</si>
  <si>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</si>
  <si>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</si>
  <si>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</si>
  <si>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</si>
  <si>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</si>
  <si>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</si>
  <si>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</si>
  <si>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</si>
  <si>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</si>
  <si>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</si>
  <si>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</si>
  <si>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</si>
  <si>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</si>
  <si>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</si>
  <si>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</si>
  <si>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</si>
  <si>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</si>
  <si>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</si>
  <si>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</si>
  <si>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</si>
  <si>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</si>
  <si>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</si>
  <si>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</si>
  <si>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</si>
  <si>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</si>
  <si>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</si>
  <si>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</si>
  <si>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</si>
  <si>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</si>
  <si>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</si>
  <si>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</si>
  <si>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</si>
  <si>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</si>
  <si>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</si>
  <si>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</si>
  <si>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</si>
  <si>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</si>
  <si>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</si>
  <si>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</si>
  <si>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</si>
  <si>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</si>
  <si>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</si>
  <si>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</si>
  <si>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</si>
  <si>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</si>
  <si>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</si>
  <si>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</si>
  <si>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</si>
  <si>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</si>
  <si>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</si>
  <si>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</si>
  <si>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</si>
  <si>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</si>
  <si>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</si>
  <si>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</si>
  <si>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</si>
  <si>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</si>
  <si>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</si>
  <si>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</si>
  <si>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</si>
  <si>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</si>
  <si>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</si>
  <si>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</si>
  <si>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</si>
  <si>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</si>
  <si>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</si>
  <si>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</si>
  <si>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</si>
  <si>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</si>
  <si>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</si>
  <si>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</si>
  <si>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</si>
  <si>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</si>
  <si>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</si>
  <si>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</si>
  <si>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</si>
  <si>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</si>
  <si>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</si>
  <si>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</si>
  <si>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</si>
  <si>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</si>
  <si>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</si>
  <si>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</si>
  <si>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</si>
  <si>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</si>
  <si>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</si>
  <si>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</si>
  <si>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</si>
  <si>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</si>
  <si>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</si>
  <si>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</si>
  <si>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</si>
  <si>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</si>
  <si>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</si>
  <si>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</si>
  <si>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</si>
  <si>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</si>
  <si>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</si>
  <si>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</si>
  <si>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</si>
  <si>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</si>
  <si>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</si>
  <si>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</si>
  <si>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</si>
  <si>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</si>
  <si>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</si>
  <si>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</si>
  <si>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</si>
  <si>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</si>
  <si>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</si>
  <si>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</si>
  <si>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</si>
  <si>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</si>
  <si>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</si>
  <si>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</si>
  <si>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</si>
  <si>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</si>
  <si>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</si>
  <si>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</si>
  <si>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</si>
  <si>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</si>
  <si>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</si>
  <si>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</si>
  <si>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</si>
  <si>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</si>
  <si>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</si>
  <si>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</si>
  <si>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</si>
  <si>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</si>
  <si>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</si>
  <si>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</si>
  <si>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</si>
  <si>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</si>
  <si>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</si>
  <si>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</si>
  <si>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</si>
  <si>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</si>
  <si>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</si>
  <si>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</si>
  <si>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</si>
  <si>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</si>
  <si>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</si>
  <si>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</si>
  <si>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</si>
  <si>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</si>
  <si>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</si>
  <si>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</si>
  <si>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</si>
  <si>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</si>
  <si>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</si>
  <si>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</si>
  <si>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</si>
  <si>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</si>
  <si>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</si>
  <si>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</si>
  <si>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</si>
  <si>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</si>
  <si>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</si>
  <si>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</si>
  <si>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</si>
  <si>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</si>
  <si>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</si>
  <si>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</si>
  <si>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</si>
  <si>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</si>
  <si>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</si>
  <si>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</si>
  <si>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</si>
  <si>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</si>
  <si>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</si>
  <si>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</si>
  <si>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</si>
  <si>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</si>
  <si>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</si>
  <si>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</si>
  <si>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</si>
  <si>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</si>
  <si>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</si>
  <si>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</si>
  <si>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</si>
  <si>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</si>
  <si>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</si>
  <si>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</si>
  <si>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</si>
  <si>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</si>
  <si>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</si>
  <si>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</si>
  <si>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</si>
  <si>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</si>
  <si>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</si>
  <si>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</si>
  <si>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</si>
  <si>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</si>
  <si>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</si>
  <si>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</si>
  <si>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</si>
  <si>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</si>
  <si>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</si>
  <si>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</si>
  <si>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</si>
  <si>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</si>
  <si>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</si>
  <si>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</si>
  <si>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</si>
  <si>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</si>
  <si>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</si>
  <si>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</si>
  <si>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</si>
  <si>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</si>
  <si>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</si>
  <si>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</si>
  <si>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</si>
  <si>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</si>
  <si>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</si>
  <si>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</si>
  <si>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</si>
  <si>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</si>
  <si>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</si>
  <si>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</si>
  <si>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</si>
  <si>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</si>
  <si>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</si>
  <si>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</si>
  <si>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</si>
  <si>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</si>
  <si>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</si>
  <si>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</si>
  <si>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</si>
  <si>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</si>
  <si>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</si>
  <si>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</si>
  <si>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</si>
  <si>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</si>
  <si>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</si>
  <si>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</si>
  <si>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</si>
  <si>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</si>
  <si>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</si>
  <si>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</si>
  <si>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</si>
  <si>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</si>
  <si>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</si>
  <si>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</si>
  <si>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</si>
  <si>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</si>
  <si>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</si>
  <si>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</si>
  <si>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</si>
  <si>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</si>
  <si>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</si>
  <si>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</si>
  <si>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</si>
  <si>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</si>
  <si>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</si>
  <si>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</si>
  <si>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</si>
  <si>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</si>
  <si>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</si>
  <si>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</si>
  <si>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</si>
  <si>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</si>
  <si>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</si>
  <si>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</si>
  <si>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</si>
  <si>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</si>
  <si>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</si>
  <si>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</si>
  <si>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</si>
  <si>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</si>
  <si>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</si>
  <si>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</si>
  <si>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</si>
  <si>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</si>
  <si>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</si>
  <si>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</si>
  <si>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</si>
  <si>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</si>
  <si>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</si>
  <si>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</si>
  <si>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</si>
  <si>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</si>
  <si>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</si>
  <si>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</si>
  <si>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</si>
  <si>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</si>
  <si>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</si>
  <si>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</si>
  <si>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</si>
  <si>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</si>
  <si>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</si>
  <si>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</si>
  <si>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</si>
  <si>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</si>
  <si>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</si>
  <si>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</si>
  <si>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</si>
  <si>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</si>
  <si>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</si>
  <si>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</si>
  <si>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</si>
  <si>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</si>
  <si>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</si>
  <si>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</si>
  <si>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</si>
  <si>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</si>
  <si>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</si>
  <si>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</si>
  <si>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</si>
  <si>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</si>
  <si>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</si>
  <si>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</si>
  <si>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</si>
  <si>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</si>
  <si>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</si>
  <si>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</si>
  <si>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</si>
  <si>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</si>
  <si>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</si>
  <si>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</si>
  <si>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</si>
  <si>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</si>
  <si>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</si>
  <si>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</si>
  <si>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</si>
  <si>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</si>
  <si>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</si>
  <si>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</si>
  <si>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</si>
  <si>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</si>
  <si>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</si>
  <si>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</si>
  <si>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</si>
  <si>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</si>
  <si>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</si>
  <si>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</si>
  <si>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</si>
  <si>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</si>
  <si>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</si>
  <si>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</si>
  <si>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</si>
  <si>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</si>
  <si>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</si>
  <si>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</si>
  <si>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</si>
  <si>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</si>
  <si>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</si>
  <si>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</si>
  <si>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</si>
  <si>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</si>
  <si>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</si>
  <si>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</si>
  <si>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</si>
  <si>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</si>
  <si>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</si>
  <si>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</si>
  <si>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</si>
  <si>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</si>
  <si>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</si>
  <si>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</si>
  <si>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</si>
  <si>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</si>
  <si>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</si>
  <si>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</si>
  <si>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</si>
  <si>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</si>
  <si>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</si>
  <si>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</si>
  <si>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</si>
  <si>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</si>
  <si>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</si>
  <si>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</si>
  <si>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</si>
  <si>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</si>
  <si>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</si>
  <si>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</si>
  <si>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</si>
  <si>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</si>
  <si>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</si>
  <si>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</si>
  <si>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</si>
  <si>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</si>
  <si>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</si>
  <si>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</si>
  <si>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</si>
  <si>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</si>
  <si>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</si>
  <si>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</si>
  <si>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</si>
  <si>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</si>
  <si>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</si>
  <si>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</si>
  <si>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</si>
  <si>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</si>
  <si>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</si>
  <si>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</si>
  <si>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</si>
  <si>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</si>
  <si>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</si>
  <si>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</si>
  <si>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</si>
  <si>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</si>
  <si>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</si>
  <si>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</si>
  <si>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</si>
  <si>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</si>
  <si>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</si>
  <si>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</si>
  <si>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</si>
  <si>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</si>
  <si>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</si>
  <si>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</si>
  <si>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</si>
  <si>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</si>
  <si>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</si>
  <si>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</si>
  <si>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</si>
  <si>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</si>
  <si>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</si>
  <si>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</si>
  <si>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</si>
  <si>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</si>
  <si>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</si>
  <si>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</si>
  <si>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</si>
  <si>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</si>
  <si>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</si>
  <si>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</si>
  <si>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</si>
  <si>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</si>
  <si>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</si>
  <si>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</si>
  <si>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</si>
  <si>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</si>
  <si>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</si>
  <si>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</si>
  <si>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</si>
  <si>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</si>
  <si>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</si>
  <si>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</si>
  <si>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</si>
  <si>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</si>
  <si>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</si>
  <si>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</si>
  <si>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</si>
  <si>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</si>
  <si>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</si>
  <si>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</si>
  <si>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</si>
  <si>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</si>
  <si>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</si>
  <si>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</si>
  <si>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</si>
  <si>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</si>
  <si>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</si>
  <si>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</si>
  <si>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</si>
  <si>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</si>
  <si>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</si>
  <si>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</si>
  <si>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</si>
  <si>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</si>
  <si>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</si>
  <si>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</si>
  <si>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</si>
  <si>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</si>
  <si>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</si>
  <si>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</si>
  <si>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</si>
  <si>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</si>
  <si>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</si>
  <si>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</si>
  <si>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</si>
  <si>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</si>
  <si>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</si>
  <si>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</si>
  <si>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</si>
  <si>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</si>
  <si>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</si>
  <si>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</si>
  <si>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</si>
  <si>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</si>
  <si>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</si>
  <si>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</si>
  <si>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</si>
  <si>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</si>
  <si>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</si>
  <si>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</si>
  <si>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</si>
  <si>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</si>
  <si>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</si>
  <si>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</si>
  <si>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</si>
  <si>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</si>
  <si>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</si>
  <si>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</si>
  <si>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</si>
  <si>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</si>
  <si>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</si>
  <si>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</si>
  <si>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</si>
  <si>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</si>
  <si>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</si>
  <si>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</si>
  <si>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</si>
  <si>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</si>
  <si>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</si>
  <si>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</si>
  <si>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</si>
  <si>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</si>
  <si>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</si>
  <si>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</si>
  <si>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</si>
  <si>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</si>
  <si>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</si>
  <si>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RoADS CBA Beta, Spetember 17, 2017</t>
  </si>
  <si>
    <t>Flow Net Benefits</t>
  </si>
  <si>
    <t xml:space="preserve">Input VPROMMS: 217b_1 (50.0 pct); 217B_1 (50.0 pct);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</si>
</sst>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70C0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theme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1" fillId="0" borderId="6" xfId="0" applyFont="1" applyFill="1" applyBorder="1"/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7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3" fontId="1" fillId="0" borderId="0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14" fillId="0" borderId="0" xfId="0" applyFont="1"/>
    <xf numFmtId="0" fontId="15" fillId="0" borderId="0" xfId="0" applyFont="1"/>
    <xf numFmtId="0" fontId="14" fillId="4" borderId="9" xfId="0" applyFont="1" applyFill="1" applyBorder="1"/>
    <xf numFmtId="0" fontId="14" fillId="4" borderId="10" xfId="0" applyFont="1" applyFill="1" applyBorder="1"/>
    <xf numFmtId="0" fontId="14" fillId="4" borderId="11" xfId="0" applyFont="1" applyFill="1" applyBorder="1"/>
    <xf numFmtId="0" fontId="15" fillId="0" borderId="1" xfId="0" applyFont="1" applyBorder="1"/>
    <xf numFmtId="0" fontId="15" fillId="0" borderId="2" xfId="0" applyFont="1" applyBorder="1"/>
    <xf numFmtId="0" fontId="15" fillId="2" borderId="13" xfId="0" applyFont="1" applyFill="1" applyBorder="1" applyAlignment="1">
      <alignment horizontal="center"/>
    </xf>
    <xf numFmtId="0" fontId="15" fillId="0" borderId="4" xfId="0" applyFont="1" applyBorder="1"/>
    <xf numFmtId="0" fontId="15" fillId="0" borderId="0" xfId="0" applyFont="1" applyBorder="1"/>
    <xf numFmtId="0" fontId="15" fillId="2" borderId="14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10" xfId="0" applyFont="1" applyBorder="1"/>
    <xf numFmtId="0" fontId="15" fillId="2" borderId="12" xfId="0" applyFont="1" applyFill="1" applyBorder="1" applyAlignment="1">
      <alignment horizontal="center"/>
    </xf>
    <xf numFmtId="0" fontId="15" fillId="0" borderId="0" xfId="0" applyFont="1" applyAlignment="1"/>
    <xf numFmtId="0" fontId="15" fillId="0" borderId="0" xfId="0" quotePrefix="1" applyFont="1"/>
    <xf numFmtId="20" fontId="15" fillId="0" borderId="0" xfId="0" quotePrefix="1" applyNumberFormat="1" applyFo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Continuous"/>
    </xf>
    <xf numFmtId="0" fontId="16" fillId="0" borderId="0" xfId="0" quotePrefix="1" applyFont="1"/>
    <xf numFmtId="0" fontId="14" fillId="3" borderId="9" xfId="0" applyFont="1" applyFill="1" applyBorder="1"/>
    <xf numFmtId="0" fontId="15" fillId="3" borderId="10" xfId="0" applyFont="1" applyFill="1" applyBorder="1"/>
    <xf numFmtId="0" fontId="15" fillId="3" borderId="11" xfId="0" applyFont="1" applyFill="1" applyBorder="1"/>
    <xf numFmtId="0" fontId="15" fillId="4" borderId="10" xfId="0" applyFont="1" applyFill="1" applyBorder="1"/>
    <xf numFmtId="0" fontId="14" fillId="7" borderId="9" xfId="0" applyFont="1" applyFill="1" applyBorder="1"/>
    <xf numFmtId="0" fontId="15" fillId="7" borderId="10" xfId="0" applyFont="1" applyFill="1" applyBorder="1"/>
    <xf numFmtId="0" fontId="15" fillId="7" borderId="11" xfId="0" applyFont="1" applyFill="1" applyBorder="1"/>
    <xf numFmtId="0" fontId="18" fillId="0" borderId="1" xfId="0" applyFont="1" applyBorder="1"/>
    <xf numFmtId="0" fontId="15" fillId="0" borderId="1" xfId="0" applyFont="1" applyBorder="1" applyAlignment="1">
      <alignment horizontal="centerContinuous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15" fillId="0" borderId="9" xfId="0" applyFont="1" applyBorder="1" applyAlignment="1">
      <alignment horizontal="centerContinuous"/>
    </xf>
    <xf numFmtId="0" fontId="15" fillId="0" borderId="10" xfId="0" applyFont="1" applyBorder="1" applyAlignment="1">
      <alignment horizontal="centerContinuous"/>
    </xf>
    <xf numFmtId="0" fontId="15" fillId="0" borderId="11" xfId="0" applyFont="1" applyBorder="1" applyAlignment="1">
      <alignment horizontal="centerContinuous"/>
    </xf>
    <xf numFmtId="0" fontId="17" fillId="0" borderId="14" xfId="0" applyFont="1" applyFill="1" applyBorder="1" applyAlignment="1">
      <alignment horizontal="center"/>
    </xf>
    <xf numFmtId="0" fontId="18" fillId="0" borderId="10" xfId="0" applyFont="1" applyFill="1" applyBorder="1" applyAlignment="1">
      <alignment horizontal="centerContinuous"/>
    </xf>
    <xf numFmtId="0" fontId="18" fillId="0" borderId="2" xfId="0" applyFont="1" applyFill="1" applyBorder="1" applyAlignment="1">
      <alignment horizontal="centerContinuous"/>
    </xf>
    <xf numFmtId="0" fontId="15" fillId="0" borderId="10" xfId="0" applyFont="1" applyFill="1" applyBorder="1" applyAlignment="1">
      <alignment horizontal="centerContinuous"/>
    </xf>
    <xf numFmtId="0" fontId="15" fillId="0" borderId="11" xfId="0" applyFont="1" applyFill="1" applyBorder="1" applyAlignment="1">
      <alignment horizontal="centerContinuous"/>
    </xf>
    <xf numFmtId="0" fontId="18" fillId="0" borderId="9" xfId="0" applyFont="1" applyFill="1" applyBorder="1" applyAlignment="1">
      <alignment horizontal="centerContinuous"/>
    </xf>
    <xf numFmtId="0" fontId="18" fillId="0" borderId="4" xfId="0" applyFont="1" applyBorder="1"/>
    <xf numFmtId="0" fontId="15" fillId="0" borderId="3" xfId="0" applyFont="1" applyBorder="1"/>
    <xf numFmtId="0" fontId="15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5" fillId="0" borderId="13" xfId="0" applyFont="1" applyBorder="1"/>
    <xf numFmtId="0" fontId="15" fillId="0" borderId="10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7" fillId="0" borderId="2" xfId="0" applyFont="1" applyBorder="1"/>
    <xf numFmtId="0" fontId="18" fillId="0" borderId="11" xfId="0" applyFont="1" applyFill="1" applyBorder="1" applyAlignment="1">
      <alignment horizontal="centerContinuous"/>
    </xf>
    <xf numFmtId="0" fontId="18" fillId="0" borderId="9" xfId="0" applyFont="1" applyBorder="1" applyAlignment="1">
      <alignment horizontal="centerContinuous"/>
    </xf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5" fillId="0" borderId="12" xfId="0" applyFont="1" applyBorder="1" applyAlignment="1">
      <alignment horizontal="centerContinuous"/>
    </xf>
    <xf numFmtId="0" fontId="15" fillId="0" borderId="11" xfId="0" applyFont="1" applyBorder="1"/>
    <xf numFmtId="0" fontId="15" fillId="0" borderId="4" xfId="0" applyFont="1" applyBorder="1" applyAlignment="1">
      <alignment horizontal="centerContinuous"/>
    </xf>
    <xf numFmtId="0" fontId="15" fillId="0" borderId="0" xfId="0" applyFont="1" applyBorder="1" applyAlignment="1">
      <alignment horizontal="centerContinuous"/>
    </xf>
    <xf numFmtId="0" fontId="15" fillId="0" borderId="5" xfId="0" applyFont="1" applyBorder="1" applyAlignment="1">
      <alignment horizontal="centerContinuous"/>
    </xf>
    <xf numFmtId="0" fontId="15" fillId="0" borderId="5" xfId="0" applyFont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6" fillId="0" borderId="5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14" xfId="0" applyFont="1" applyBorder="1"/>
    <xf numFmtId="0" fontId="18" fillId="0" borderId="14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3" xfId="0" applyFont="1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4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/>
    </xf>
    <xf numFmtId="0" fontId="18" fillId="0" borderId="6" xfId="0" applyFont="1" applyBorder="1"/>
    <xf numFmtId="0" fontId="15" fillId="0" borderId="6" xfId="0" applyFont="1" applyFill="1" applyBorder="1"/>
    <xf numFmtId="0" fontId="15" fillId="0" borderId="8" xfId="0" applyFont="1" applyFill="1" applyBorder="1"/>
    <xf numFmtId="0" fontId="15" fillId="0" borderId="7" xfId="0" applyFont="1" applyBorder="1"/>
    <xf numFmtId="0" fontId="15" fillId="0" borderId="7" xfId="0" applyFont="1" applyFill="1" applyBorder="1"/>
    <xf numFmtId="0" fontId="15" fillId="0" borderId="7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5" fillId="0" borderId="6" xfId="0" applyFont="1" applyBorder="1"/>
    <xf numFmtId="0" fontId="15" fillId="0" borderId="8" xfId="0" applyFont="1" applyBorder="1"/>
    <xf numFmtId="0" fontId="17" fillId="0" borderId="6" xfId="0" applyFont="1" applyFill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8" fillId="0" borderId="7" xfId="0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6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2" fontId="15" fillId="0" borderId="0" xfId="0" applyNumberFormat="1" applyFont="1"/>
    <xf numFmtId="2" fontId="18" fillId="0" borderId="0" xfId="0" applyNumberFormat="1" applyFont="1" applyBorder="1"/>
    <xf numFmtId="2" fontId="18" fillId="0" borderId="0" xfId="0" applyNumberFormat="1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0" fontId="17" fillId="0" borderId="1" xfId="0" applyFont="1" applyBorder="1"/>
    <xf numFmtId="0" fontId="18" fillId="0" borderId="2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0" borderId="2" xfId="0" applyFont="1" applyBorder="1"/>
    <xf numFmtId="0" fontId="16" fillId="0" borderId="3" xfId="0" applyFont="1" applyFill="1" applyBorder="1" applyAlignment="1">
      <alignment horizontal="center"/>
    </xf>
    <xf numFmtId="0" fontId="16" fillId="0" borderId="1" xfId="0" applyFont="1" applyBorder="1"/>
    <xf numFmtId="0" fontId="16" fillId="0" borderId="3" xfId="0" applyFont="1" applyBorder="1"/>
    <xf numFmtId="0" fontId="18" fillId="0" borderId="9" xfId="0" applyFont="1" applyBorder="1"/>
    <xf numFmtId="0" fontId="18" fillId="0" borderId="10" xfId="0" applyFont="1" applyBorder="1"/>
    <xf numFmtId="0" fontId="18" fillId="0" borderId="11" xfId="0" applyFont="1" applyBorder="1"/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8" fillId="0" borderId="2" xfId="0" applyFont="1" applyBorder="1"/>
    <xf numFmtId="0" fontId="18" fillId="0" borderId="3" xfId="0" applyFont="1" applyFill="1" applyBorder="1" applyAlignment="1">
      <alignment horizontal="center"/>
    </xf>
    <xf numFmtId="0" fontId="18" fillId="0" borderId="3" xfId="0" applyFont="1" applyBorder="1"/>
    <xf numFmtId="0" fontId="15" fillId="0" borderId="1" xfId="0" quotePrefix="1" applyFont="1" applyBorder="1" applyAlignment="1">
      <alignment horizontal="left"/>
    </xf>
    <xf numFmtId="3" fontId="15" fillId="0" borderId="2" xfId="0" applyNumberFormat="1" applyFont="1" applyBorder="1" applyAlignment="1">
      <alignment horizontal="center"/>
    </xf>
    <xf numFmtId="3" fontId="15" fillId="0" borderId="3" xfId="0" applyNumberFormat="1" applyFont="1" applyBorder="1" applyAlignment="1">
      <alignment horizontal="center"/>
    </xf>
    <xf numFmtId="3" fontId="18" fillId="0" borderId="2" xfId="0" applyNumberFormat="1" applyFont="1" applyBorder="1" applyAlignment="1">
      <alignment horizontal="center"/>
    </xf>
    <xf numFmtId="165" fontId="15" fillId="0" borderId="2" xfId="0" applyNumberFormat="1" applyFont="1" applyBorder="1" applyAlignment="1">
      <alignment horizontal="center"/>
    </xf>
    <xf numFmtId="2" fontId="15" fillId="0" borderId="1" xfId="0" applyNumberFormat="1" applyFont="1" applyBorder="1" applyAlignment="1">
      <alignment horizontal="center"/>
    </xf>
    <xf numFmtId="2" fontId="15" fillId="0" borderId="2" xfId="0" applyNumberFormat="1" applyFont="1" applyBorder="1" applyAlignment="1">
      <alignment horizontal="center"/>
    </xf>
    <xf numFmtId="168" fontId="16" fillId="0" borderId="2" xfId="1" applyNumberFormat="1" applyFont="1" applyBorder="1" applyAlignment="1">
      <alignment horizontal="center"/>
    </xf>
    <xf numFmtId="3" fontId="15" fillId="0" borderId="1" xfId="1" applyNumberFormat="1" applyFont="1" applyBorder="1" applyAlignment="1">
      <alignment horizontal="center"/>
    </xf>
    <xf numFmtId="9" fontId="15" fillId="0" borderId="2" xfId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3" fontId="15" fillId="0" borderId="4" xfId="0" applyNumberFormat="1" applyFont="1" applyBorder="1" applyAlignment="1">
      <alignment horizontal="center"/>
    </xf>
    <xf numFmtId="3" fontId="15" fillId="0" borderId="0" xfId="0" applyNumberFormat="1" applyFont="1" applyBorder="1" applyAlignment="1">
      <alignment horizontal="center"/>
    </xf>
    <xf numFmtId="3" fontId="15" fillId="0" borderId="5" xfId="0" applyNumberFormat="1" applyFont="1" applyBorder="1" applyAlignment="1">
      <alignment horizontal="center"/>
    </xf>
    <xf numFmtId="164" fontId="15" fillId="0" borderId="4" xfId="0" applyNumberFormat="1" applyFont="1" applyBorder="1" applyAlignment="1">
      <alignment horizontal="center"/>
    </xf>
    <xf numFmtId="164" fontId="15" fillId="0" borderId="0" xfId="0" applyNumberFormat="1" applyFont="1" applyBorder="1" applyAlignment="1">
      <alignment horizontal="center"/>
    </xf>
    <xf numFmtId="164" fontId="15" fillId="0" borderId="5" xfId="0" applyNumberFormat="1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" fontId="15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7.6247794799999999</c:v>
                </c:pt>
                <c:pt idx="4">
                  <c:v>7.7772750695999999</c:v>
                </c:pt>
                <c:pt idx="5">
                  <c:v>7.9328205709919999</c:v>
                </c:pt>
                <c:pt idx="6">
                  <c:v>8.0914769824118391</c:v>
                </c:pt>
                <c:pt idx="7">
                  <c:v>8.2533065220600754</c:v>
                </c:pt>
                <c:pt idx="8">
                  <c:v>8.4183726525012776</c:v>
                </c:pt>
                <c:pt idx="9">
                  <c:v>1.8</c:v>
                </c:pt>
                <c:pt idx="10">
                  <c:v>1.8360000000000001</c:v>
                </c:pt>
                <c:pt idx="11">
                  <c:v>1.8727200000000002</c:v>
                </c:pt>
                <c:pt idx="12">
                  <c:v>1.9101744000000003</c:v>
                </c:pt>
                <c:pt idx="13">
                  <c:v>1.9483778880000002</c:v>
                </c:pt>
                <c:pt idx="14">
                  <c:v>1.9873454457600002</c:v>
                </c:pt>
                <c:pt idx="15">
                  <c:v>2.0270923546752</c:v>
                </c:pt>
                <c:pt idx="16">
                  <c:v>2.0676342017687039</c:v>
                </c:pt>
                <c:pt idx="17">
                  <c:v>2.5</c:v>
                </c:pt>
                <c:pt idx="18">
                  <c:v>2.5499999999999998</c:v>
                </c:pt>
                <c:pt idx="19">
                  <c:v>2.601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1.8</c:v>
                </c:pt>
                <c:pt idx="1">
                  <c:v>1.8360000000000001</c:v>
                </c:pt>
                <c:pt idx="2">
                  <c:v>1.8727200000000002</c:v>
                </c:pt>
                <c:pt idx="3">
                  <c:v>1.9101744000000003</c:v>
                </c:pt>
                <c:pt idx="4">
                  <c:v>1.9483778880000002</c:v>
                </c:pt>
                <c:pt idx="5">
                  <c:v>1.9873454457600002</c:v>
                </c:pt>
                <c:pt idx="6">
                  <c:v>2.0270923546752</c:v>
                </c:pt>
                <c:pt idx="7">
                  <c:v>2.0676342017687039</c:v>
                </c:pt>
                <c:pt idx="8">
                  <c:v>2.5</c:v>
                </c:pt>
                <c:pt idx="9">
                  <c:v>2.5499999999999998</c:v>
                </c:pt>
                <c:pt idx="10">
                  <c:v>2.601</c:v>
                </c:pt>
                <c:pt idx="11">
                  <c:v>2.6530200000000002</c:v>
                </c:pt>
                <c:pt idx="12">
                  <c:v>2.7060804000000003</c:v>
                </c:pt>
                <c:pt idx="13">
                  <c:v>2.7602020080000003</c:v>
                </c:pt>
                <c:pt idx="14">
                  <c:v>2.8154060481600003</c:v>
                </c:pt>
                <c:pt idx="15">
                  <c:v>2.8717141691232002</c:v>
                </c:pt>
                <c:pt idx="16">
                  <c:v>2.5</c:v>
                </c:pt>
                <c:pt idx="17">
                  <c:v>2.5499999999999998</c:v>
                </c:pt>
                <c:pt idx="18">
                  <c:v>2.601</c:v>
                </c:pt>
                <c:pt idx="19">
                  <c:v>2.6530200000000002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7.1849999999999996</c:v>
                </c:pt>
                <c:pt idx="1">
                  <c:v>1.8</c:v>
                </c:pt>
                <c:pt idx="2">
                  <c:v>1.8360000000000001</c:v>
                </c:pt>
                <c:pt idx="3">
                  <c:v>1.8727200000000002</c:v>
                </c:pt>
                <c:pt idx="4">
                  <c:v>1.9101744000000003</c:v>
                </c:pt>
                <c:pt idx="5">
                  <c:v>1.9483778880000002</c:v>
                </c:pt>
                <c:pt idx="6">
                  <c:v>1.9873454457600002</c:v>
                </c:pt>
                <c:pt idx="7">
                  <c:v>2.0270923546752</c:v>
                </c:pt>
                <c:pt idx="8">
                  <c:v>2.0676342017687039</c:v>
                </c:pt>
                <c:pt idx="9">
                  <c:v>2.5</c:v>
                </c:pt>
                <c:pt idx="10">
                  <c:v>2.5499999999999998</c:v>
                </c:pt>
                <c:pt idx="11">
                  <c:v>2.601</c:v>
                </c:pt>
                <c:pt idx="12">
                  <c:v>2.6530200000000002</c:v>
                </c:pt>
                <c:pt idx="13">
                  <c:v>2.7060804000000003</c:v>
                </c:pt>
                <c:pt idx="14">
                  <c:v>2.7602020080000003</c:v>
                </c:pt>
                <c:pt idx="15">
                  <c:v>2.8154060481600003</c:v>
                </c:pt>
                <c:pt idx="16">
                  <c:v>2.8717141691232002</c:v>
                </c:pt>
                <c:pt idx="17">
                  <c:v>2.5</c:v>
                </c:pt>
                <c:pt idx="18">
                  <c:v>2.5499999999999998</c:v>
                </c:pt>
                <c:pt idx="19">
                  <c:v>2.601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1.8</c:v>
                </c:pt>
                <c:pt idx="3">
                  <c:v>1.8360000000000001</c:v>
                </c:pt>
                <c:pt idx="4">
                  <c:v>1.8727200000000002</c:v>
                </c:pt>
                <c:pt idx="5">
                  <c:v>1.9101744000000003</c:v>
                </c:pt>
                <c:pt idx="6">
                  <c:v>1.9483778880000002</c:v>
                </c:pt>
                <c:pt idx="7">
                  <c:v>1.9873454457600002</c:v>
                </c:pt>
                <c:pt idx="8">
                  <c:v>2.0270923546752</c:v>
                </c:pt>
                <c:pt idx="9">
                  <c:v>2.0676342017687039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2.601</c:v>
                </c:pt>
                <c:pt idx="13">
                  <c:v>2.6530200000000002</c:v>
                </c:pt>
                <c:pt idx="14">
                  <c:v>2.7060804000000003</c:v>
                </c:pt>
                <c:pt idx="15">
                  <c:v>2.7602020080000003</c:v>
                </c:pt>
                <c:pt idx="16">
                  <c:v>2.8154060481600003</c:v>
                </c:pt>
                <c:pt idx="17">
                  <c:v>2.8717141691232002</c:v>
                </c:pt>
                <c:pt idx="18">
                  <c:v>2.5</c:v>
                </c:pt>
                <c:pt idx="19">
                  <c:v>2.5499999999999998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1.8</c:v>
                </c:pt>
                <c:pt idx="4">
                  <c:v>1.8360000000000001</c:v>
                </c:pt>
                <c:pt idx="5">
                  <c:v>1.8727200000000002</c:v>
                </c:pt>
                <c:pt idx="6">
                  <c:v>1.9101744000000003</c:v>
                </c:pt>
                <c:pt idx="7">
                  <c:v>1.9483778880000002</c:v>
                </c:pt>
                <c:pt idx="8">
                  <c:v>1.9873454457600002</c:v>
                </c:pt>
                <c:pt idx="9">
                  <c:v>2.0270923546752</c:v>
                </c:pt>
                <c:pt idx="10">
                  <c:v>2.0676342017687039</c:v>
                </c:pt>
                <c:pt idx="11">
                  <c:v>2.5</c:v>
                </c:pt>
                <c:pt idx="12">
                  <c:v>2.5499999999999998</c:v>
                </c:pt>
                <c:pt idx="13">
                  <c:v>2.601</c:v>
                </c:pt>
                <c:pt idx="14">
                  <c:v>2.6530200000000002</c:v>
                </c:pt>
                <c:pt idx="15">
                  <c:v>2.7060804000000003</c:v>
                </c:pt>
                <c:pt idx="16">
                  <c:v>2.7602020080000003</c:v>
                </c:pt>
                <c:pt idx="17">
                  <c:v>2.8154060481600003</c:v>
                </c:pt>
                <c:pt idx="18">
                  <c:v>2.8717141691232002</c:v>
                </c:pt>
                <c:pt idx="1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7.6247794799999999</c:v>
                </c:pt>
                <c:pt idx="4">
                  <c:v>1.8</c:v>
                </c:pt>
                <c:pt idx="5">
                  <c:v>1.8360000000000001</c:v>
                </c:pt>
                <c:pt idx="6">
                  <c:v>1.8727200000000002</c:v>
                </c:pt>
                <c:pt idx="7">
                  <c:v>1.9101744000000003</c:v>
                </c:pt>
                <c:pt idx="8">
                  <c:v>1.9483778880000002</c:v>
                </c:pt>
                <c:pt idx="9">
                  <c:v>1.9873454457600002</c:v>
                </c:pt>
                <c:pt idx="10">
                  <c:v>2.0270923546752</c:v>
                </c:pt>
                <c:pt idx="11">
                  <c:v>2.0676342017687039</c:v>
                </c:pt>
                <c:pt idx="12">
                  <c:v>2.5</c:v>
                </c:pt>
                <c:pt idx="13">
                  <c:v>2.5499999999999998</c:v>
                </c:pt>
                <c:pt idx="14">
                  <c:v>2.601</c:v>
                </c:pt>
                <c:pt idx="15">
                  <c:v>2.6530200000000002</c:v>
                </c:pt>
                <c:pt idx="16">
                  <c:v>2.7060804000000003</c:v>
                </c:pt>
                <c:pt idx="17">
                  <c:v>2.7602020080000003</c:v>
                </c:pt>
                <c:pt idx="18">
                  <c:v>2.8154060481600003</c:v>
                </c:pt>
                <c:pt idx="19">
                  <c:v>2.8717141691232002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7.6247794799999999</c:v>
                </c:pt>
                <c:pt idx="4">
                  <c:v>7.7772750695999999</c:v>
                </c:pt>
                <c:pt idx="5">
                  <c:v>1.8</c:v>
                </c:pt>
                <c:pt idx="6">
                  <c:v>1.8360000000000001</c:v>
                </c:pt>
                <c:pt idx="7">
                  <c:v>1.8727200000000002</c:v>
                </c:pt>
                <c:pt idx="8">
                  <c:v>1.9101744000000003</c:v>
                </c:pt>
                <c:pt idx="9">
                  <c:v>1.9483778880000002</c:v>
                </c:pt>
                <c:pt idx="10">
                  <c:v>1.9873454457600002</c:v>
                </c:pt>
                <c:pt idx="11">
                  <c:v>2.0270923546752</c:v>
                </c:pt>
                <c:pt idx="12">
                  <c:v>2.0676342017687039</c:v>
                </c:pt>
                <c:pt idx="13">
                  <c:v>2.5</c:v>
                </c:pt>
                <c:pt idx="14">
                  <c:v>2.5499999999999998</c:v>
                </c:pt>
                <c:pt idx="15">
                  <c:v>2.601</c:v>
                </c:pt>
                <c:pt idx="16">
                  <c:v>2.6530200000000002</c:v>
                </c:pt>
                <c:pt idx="17">
                  <c:v>2.7060804000000003</c:v>
                </c:pt>
                <c:pt idx="18">
                  <c:v>2.7602020080000003</c:v>
                </c:pt>
                <c:pt idx="19">
                  <c:v>2.8154060481600003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2.5</c:v>
                </c:pt>
                <c:pt idx="1">
                  <c:v>2.5499999999999998</c:v>
                </c:pt>
                <c:pt idx="2">
                  <c:v>2.601</c:v>
                </c:pt>
                <c:pt idx="3">
                  <c:v>2.6530200000000002</c:v>
                </c:pt>
                <c:pt idx="4">
                  <c:v>2.7060804000000003</c:v>
                </c:pt>
                <c:pt idx="5">
                  <c:v>2.7602020080000003</c:v>
                </c:pt>
                <c:pt idx="6">
                  <c:v>2.8154060481600003</c:v>
                </c:pt>
                <c:pt idx="7">
                  <c:v>2.8717141691232002</c:v>
                </c:pt>
                <c:pt idx="8">
                  <c:v>2.5</c:v>
                </c:pt>
                <c:pt idx="9">
                  <c:v>2.5499999999999998</c:v>
                </c:pt>
                <c:pt idx="10">
                  <c:v>2.601</c:v>
                </c:pt>
                <c:pt idx="11">
                  <c:v>2.6530200000000002</c:v>
                </c:pt>
                <c:pt idx="12">
                  <c:v>2.7060804000000003</c:v>
                </c:pt>
                <c:pt idx="13">
                  <c:v>2.7602020080000003</c:v>
                </c:pt>
                <c:pt idx="14">
                  <c:v>2.8154060481600003</c:v>
                </c:pt>
                <c:pt idx="15">
                  <c:v>2.8717141691232002</c:v>
                </c:pt>
                <c:pt idx="16">
                  <c:v>2.5</c:v>
                </c:pt>
                <c:pt idx="17">
                  <c:v>2.5499999999999998</c:v>
                </c:pt>
                <c:pt idx="18">
                  <c:v>2.601</c:v>
                </c:pt>
                <c:pt idx="19">
                  <c:v>2.6530200000000002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7.1849999999999996</c:v>
                </c:pt>
                <c:pt idx="1">
                  <c:v>2.5</c:v>
                </c:pt>
                <c:pt idx="2">
                  <c:v>2.5499999999999998</c:v>
                </c:pt>
                <c:pt idx="3">
                  <c:v>2.601</c:v>
                </c:pt>
                <c:pt idx="4">
                  <c:v>2.6530200000000002</c:v>
                </c:pt>
                <c:pt idx="5">
                  <c:v>2.7060804000000003</c:v>
                </c:pt>
                <c:pt idx="6">
                  <c:v>2.7602020080000003</c:v>
                </c:pt>
                <c:pt idx="7">
                  <c:v>2.8154060481600003</c:v>
                </c:pt>
                <c:pt idx="8">
                  <c:v>2.8717141691232002</c:v>
                </c:pt>
                <c:pt idx="9">
                  <c:v>2.5</c:v>
                </c:pt>
                <c:pt idx="10">
                  <c:v>2.5499999999999998</c:v>
                </c:pt>
                <c:pt idx="11">
                  <c:v>2.601</c:v>
                </c:pt>
                <c:pt idx="12">
                  <c:v>2.6530200000000002</c:v>
                </c:pt>
                <c:pt idx="13">
                  <c:v>2.7060804000000003</c:v>
                </c:pt>
                <c:pt idx="14">
                  <c:v>2.7602020080000003</c:v>
                </c:pt>
                <c:pt idx="15">
                  <c:v>2.8154060481600003</c:v>
                </c:pt>
                <c:pt idx="16">
                  <c:v>2.8717141691232002</c:v>
                </c:pt>
                <c:pt idx="17">
                  <c:v>2.5</c:v>
                </c:pt>
                <c:pt idx="18">
                  <c:v>2.5499999999999998</c:v>
                </c:pt>
                <c:pt idx="19">
                  <c:v>2.601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2.5</c:v>
                </c:pt>
                <c:pt idx="3">
                  <c:v>2.5499999999999998</c:v>
                </c:pt>
                <c:pt idx="4">
                  <c:v>2.601</c:v>
                </c:pt>
                <c:pt idx="5">
                  <c:v>2.6530200000000002</c:v>
                </c:pt>
                <c:pt idx="6">
                  <c:v>2.7060804000000003</c:v>
                </c:pt>
                <c:pt idx="7">
                  <c:v>2.7602020080000003</c:v>
                </c:pt>
                <c:pt idx="8">
                  <c:v>2.8154060481600003</c:v>
                </c:pt>
                <c:pt idx="9">
                  <c:v>2.8717141691232002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2.601</c:v>
                </c:pt>
                <c:pt idx="13">
                  <c:v>2.6530200000000002</c:v>
                </c:pt>
                <c:pt idx="14">
                  <c:v>2.7060804000000003</c:v>
                </c:pt>
                <c:pt idx="15">
                  <c:v>2.7602020080000003</c:v>
                </c:pt>
                <c:pt idx="16">
                  <c:v>2.8154060481600003</c:v>
                </c:pt>
                <c:pt idx="17">
                  <c:v>2.8717141691232002</c:v>
                </c:pt>
                <c:pt idx="18">
                  <c:v>2.5</c:v>
                </c:pt>
                <c:pt idx="19">
                  <c:v>2.5499999999999998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2.5</c:v>
                </c:pt>
                <c:pt idx="4">
                  <c:v>2.5499999999999998</c:v>
                </c:pt>
                <c:pt idx="5">
                  <c:v>2.601</c:v>
                </c:pt>
                <c:pt idx="6">
                  <c:v>2.6530200000000002</c:v>
                </c:pt>
                <c:pt idx="7">
                  <c:v>2.7060804000000003</c:v>
                </c:pt>
                <c:pt idx="8">
                  <c:v>2.7602020080000003</c:v>
                </c:pt>
                <c:pt idx="9">
                  <c:v>2.8154060481600003</c:v>
                </c:pt>
                <c:pt idx="10">
                  <c:v>2.8717141691232002</c:v>
                </c:pt>
                <c:pt idx="11">
                  <c:v>2.5</c:v>
                </c:pt>
                <c:pt idx="12">
                  <c:v>2.5499999999999998</c:v>
                </c:pt>
                <c:pt idx="13">
                  <c:v>2.601</c:v>
                </c:pt>
                <c:pt idx="14">
                  <c:v>2.6530200000000002</c:v>
                </c:pt>
                <c:pt idx="15">
                  <c:v>2.7060804000000003</c:v>
                </c:pt>
                <c:pt idx="16">
                  <c:v>2.7602020080000003</c:v>
                </c:pt>
                <c:pt idx="17">
                  <c:v>2.8154060481600003</c:v>
                </c:pt>
                <c:pt idx="18">
                  <c:v>2.8717141691232002</c:v>
                </c:pt>
                <c:pt idx="1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7.6247794799999999</c:v>
                </c:pt>
                <c:pt idx="4">
                  <c:v>2.5</c:v>
                </c:pt>
                <c:pt idx="5">
                  <c:v>2.5499999999999998</c:v>
                </c:pt>
                <c:pt idx="6">
                  <c:v>2.601</c:v>
                </c:pt>
                <c:pt idx="7">
                  <c:v>2.6530200000000002</c:v>
                </c:pt>
                <c:pt idx="8">
                  <c:v>2.7060804000000003</c:v>
                </c:pt>
                <c:pt idx="9">
                  <c:v>2.7602020080000003</c:v>
                </c:pt>
                <c:pt idx="10">
                  <c:v>2.8154060481600003</c:v>
                </c:pt>
                <c:pt idx="11">
                  <c:v>2.8717141691232002</c:v>
                </c:pt>
                <c:pt idx="12">
                  <c:v>2.5</c:v>
                </c:pt>
                <c:pt idx="13">
                  <c:v>2.5499999999999998</c:v>
                </c:pt>
                <c:pt idx="14">
                  <c:v>2.601</c:v>
                </c:pt>
                <c:pt idx="15">
                  <c:v>2.6530200000000002</c:v>
                </c:pt>
                <c:pt idx="16">
                  <c:v>2.7060804000000003</c:v>
                </c:pt>
                <c:pt idx="17">
                  <c:v>2.7602020080000003</c:v>
                </c:pt>
                <c:pt idx="18">
                  <c:v>2.8154060481600003</c:v>
                </c:pt>
                <c:pt idx="19">
                  <c:v>2.8717141691232002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7.1849999999999996</c:v>
                </c:pt>
                <c:pt idx="1">
                  <c:v>7.3286999999999995</c:v>
                </c:pt>
                <c:pt idx="2">
                  <c:v>7.4752739999999998</c:v>
                </c:pt>
                <c:pt idx="3">
                  <c:v>7.6247794799999999</c:v>
                </c:pt>
                <c:pt idx="4">
                  <c:v>7.7772750695999999</c:v>
                </c:pt>
                <c:pt idx="5">
                  <c:v>2.5</c:v>
                </c:pt>
                <c:pt idx="6">
                  <c:v>2.5499999999999998</c:v>
                </c:pt>
                <c:pt idx="7">
                  <c:v>2.601</c:v>
                </c:pt>
                <c:pt idx="8">
                  <c:v>2.6530200000000002</c:v>
                </c:pt>
                <c:pt idx="9">
                  <c:v>2.7060804000000003</c:v>
                </c:pt>
                <c:pt idx="10">
                  <c:v>2.7602020080000003</c:v>
                </c:pt>
                <c:pt idx="11">
                  <c:v>2.8154060481600003</c:v>
                </c:pt>
                <c:pt idx="12">
                  <c:v>2.8717141691232002</c:v>
                </c:pt>
                <c:pt idx="13">
                  <c:v>2.5</c:v>
                </c:pt>
                <c:pt idx="14">
                  <c:v>2.5499999999999998</c:v>
                </c:pt>
                <c:pt idx="15">
                  <c:v>2.601</c:v>
                </c:pt>
                <c:pt idx="16">
                  <c:v>2.6530200000000002</c:v>
                </c:pt>
                <c:pt idx="17">
                  <c:v>2.7060804000000003</c:v>
                </c:pt>
                <c:pt idx="18">
                  <c:v>2.7602020080000003</c:v>
                </c:pt>
                <c:pt idx="19">
                  <c:v>2.8154060481600003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pared_networ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NET_Input"/>
    </sheetNames>
    <sheetDataSet>
      <sheetData sheetId="0">
        <row r="2">
          <cell r="B2">
            <v>0</v>
          </cell>
          <cell r="J2" t="str">
            <v>213TT00001</v>
          </cell>
          <cell r="K2">
            <v>2.2129831904900001</v>
          </cell>
          <cell r="X2">
            <v>3.8</v>
          </cell>
          <cell r="Y2">
            <v>2</v>
          </cell>
          <cell r="Z2">
            <v>3</v>
          </cell>
          <cell r="AA2">
            <v>6</v>
          </cell>
          <cell r="AB2">
            <v>1</v>
          </cell>
          <cell r="AC2">
            <v>1</v>
          </cell>
          <cell r="AD2">
            <v>1</v>
          </cell>
          <cell r="AE2">
            <v>4</v>
          </cell>
          <cell r="AF2">
            <v>6</v>
          </cell>
          <cell r="AG2">
            <v>3</v>
          </cell>
          <cell r="AH2">
            <v>3</v>
          </cell>
        </row>
        <row r="3">
          <cell r="B3">
            <v>1</v>
          </cell>
          <cell r="D3">
            <v>11.535</v>
          </cell>
          <cell r="J3" t="str">
            <v xml:space="preserve">Input VPROMMS: 213TT00008 (55.18 pct); 214TT00001 (43.94 pct); 214TT00051 (0.44 pct); 214TT00050 (0.44 pct); </v>
          </cell>
          <cell r="K3">
            <v>11.2469664187</v>
          </cell>
          <cell r="X3">
            <v>3.5</v>
          </cell>
          <cell r="Y3">
            <v>2</v>
          </cell>
          <cell r="Z3">
            <v>1</v>
          </cell>
          <cell r="AA3">
            <v>8</v>
          </cell>
          <cell r="AB3">
            <v>1</v>
          </cell>
          <cell r="AC3">
            <v>1</v>
          </cell>
          <cell r="AD3">
            <v>1</v>
          </cell>
          <cell r="AE3">
            <v>4</v>
          </cell>
          <cell r="AF3">
            <v>4</v>
          </cell>
          <cell r="AG3">
            <v>3</v>
          </cell>
          <cell r="AH3">
            <v>4</v>
          </cell>
        </row>
        <row r="4">
          <cell r="B4">
            <v>2</v>
          </cell>
          <cell r="D4">
            <v>9.2899999999999991</v>
          </cell>
          <cell r="J4" t="str">
            <v xml:space="preserve">Input VPROMMS: 213TT00001 (72.73 pct); 214TT00003 (27.27 pct); </v>
          </cell>
          <cell r="K4">
            <v>0.27195526456899999</v>
          </cell>
          <cell r="X4">
            <v>3.5</v>
          </cell>
          <cell r="Y4">
            <v>2</v>
          </cell>
          <cell r="Z4">
            <v>1</v>
          </cell>
          <cell r="AA4">
            <v>8</v>
          </cell>
          <cell r="AB4">
            <v>1</v>
          </cell>
          <cell r="AC4">
            <v>1</v>
          </cell>
          <cell r="AD4">
            <v>1</v>
          </cell>
          <cell r="AE4">
            <v>4</v>
          </cell>
          <cell r="AF4">
            <v>4</v>
          </cell>
          <cell r="AG4">
            <v>3</v>
          </cell>
          <cell r="AH4">
            <v>4</v>
          </cell>
        </row>
        <row r="5">
          <cell r="B5">
            <v>3</v>
          </cell>
          <cell r="J5" t="str">
            <v>213TT00001</v>
          </cell>
          <cell r="K5">
            <v>0.20911814628700001</v>
          </cell>
          <cell r="X5">
            <v>3.8</v>
          </cell>
          <cell r="Y5">
            <v>2</v>
          </cell>
          <cell r="Z5">
            <v>3</v>
          </cell>
          <cell r="AA5">
            <v>6</v>
          </cell>
          <cell r="AB5">
            <v>1</v>
          </cell>
          <cell r="AC5">
            <v>1</v>
          </cell>
          <cell r="AD5">
            <v>1</v>
          </cell>
          <cell r="AE5">
            <v>4</v>
          </cell>
          <cell r="AF5">
            <v>6</v>
          </cell>
          <cell r="AG5">
            <v>3</v>
          </cell>
          <cell r="AH5">
            <v>3</v>
          </cell>
        </row>
        <row r="6">
          <cell r="B6">
            <v>4</v>
          </cell>
          <cell r="D6">
            <v>10.050000000000001</v>
          </cell>
          <cell r="J6" t="str">
            <v xml:space="preserve">Input VPROMMS: 213TT00001 (57.04 pct); 214TT00002 (32.85 pct); 214TT00003 (10.11 pct); </v>
          </cell>
          <cell r="K6">
            <v>2.0275452238499998</v>
          </cell>
          <cell r="X6">
            <v>3.5</v>
          </cell>
          <cell r="Y6">
            <v>2</v>
          </cell>
          <cell r="Z6">
            <v>1</v>
          </cell>
          <cell r="AA6">
            <v>8</v>
          </cell>
          <cell r="AB6">
            <v>1</v>
          </cell>
          <cell r="AC6">
            <v>1</v>
          </cell>
          <cell r="AD6">
            <v>1</v>
          </cell>
          <cell r="AE6">
            <v>4</v>
          </cell>
          <cell r="AF6">
            <v>4</v>
          </cell>
          <cell r="AG6">
            <v>3</v>
          </cell>
          <cell r="AH6">
            <v>4</v>
          </cell>
        </row>
        <row r="7">
          <cell r="B7">
            <v>5</v>
          </cell>
          <cell r="J7" t="str">
            <v>214TT00002</v>
          </cell>
          <cell r="K7">
            <v>0.35793638402400002</v>
          </cell>
          <cell r="X7">
            <v>3.4</v>
          </cell>
          <cell r="Y7">
            <v>1</v>
          </cell>
          <cell r="Z7">
            <v>1</v>
          </cell>
          <cell r="AA7">
            <v>8</v>
          </cell>
          <cell r="AB7">
            <v>1</v>
          </cell>
          <cell r="AC7">
            <v>1</v>
          </cell>
          <cell r="AD7">
            <v>1</v>
          </cell>
          <cell r="AE7">
            <v>4</v>
          </cell>
          <cell r="AF7">
            <v>4</v>
          </cell>
          <cell r="AG7">
            <v>3</v>
          </cell>
          <cell r="AH7">
            <v>3</v>
          </cell>
        </row>
        <row r="8">
          <cell r="B8">
            <v>6</v>
          </cell>
          <cell r="D8">
            <v>12.15</v>
          </cell>
          <cell r="J8" t="str">
            <v>213TT00001</v>
          </cell>
          <cell r="K8">
            <v>3.7755925876799998</v>
          </cell>
          <cell r="X8">
            <v>3.8</v>
          </cell>
          <cell r="Y8">
            <v>2</v>
          </cell>
          <cell r="Z8">
            <v>3</v>
          </cell>
          <cell r="AA8">
            <v>6</v>
          </cell>
          <cell r="AB8">
            <v>1</v>
          </cell>
          <cell r="AC8">
            <v>1</v>
          </cell>
          <cell r="AD8">
            <v>1</v>
          </cell>
          <cell r="AE8">
            <v>4</v>
          </cell>
          <cell r="AF8">
            <v>6</v>
          </cell>
          <cell r="AG8">
            <v>3</v>
          </cell>
          <cell r="AH8">
            <v>5</v>
          </cell>
        </row>
        <row r="9">
          <cell r="B9">
            <v>7</v>
          </cell>
          <cell r="D9">
            <v>12.57</v>
          </cell>
          <cell r="J9" t="str">
            <v>214TT00002</v>
          </cell>
          <cell r="K9">
            <v>1.8001117933599999</v>
          </cell>
          <cell r="X9">
            <v>3.4</v>
          </cell>
          <cell r="Y9">
            <v>1</v>
          </cell>
          <cell r="Z9">
            <v>1</v>
          </cell>
          <cell r="AA9">
            <v>8</v>
          </cell>
          <cell r="AB9">
            <v>1</v>
          </cell>
          <cell r="AC9">
            <v>1</v>
          </cell>
          <cell r="AD9">
            <v>1</v>
          </cell>
          <cell r="AE9">
            <v>4</v>
          </cell>
          <cell r="AF9">
            <v>4</v>
          </cell>
          <cell r="AG9">
            <v>3</v>
          </cell>
          <cell r="AH9">
            <v>5</v>
          </cell>
        </row>
        <row r="10">
          <cell r="B10">
            <v>8</v>
          </cell>
          <cell r="D10">
            <v>7.6849999999999996</v>
          </cell>
          <cell r="J10" t="str">
            <v>213TT00001</v>
          </cell>
          <cell r="K10">
            <v>4.2417745276099996</v>
          </cell>
          <cell r="X10">
            <v>3.8</v>
          </cell>
          <cell r="Y10">
            <v>2</v>
          </cell>
          <cell r="Z10">
            <v>3</v>
          </cell>
          <cell r="AA10">
            <v>6</v>
          </cell>
          <cell r="AB10">
            <v>1</v>
          </cell>
          <cell r="AC10">
            <v>1</v>
          </cell>
          <cell r="AD10">
            <v>1</v>
          </cell>
          <cell r="AE10">
            <v>4</v>
          </cell>
          <cell r="AF10">
            <v>6</v>
          </cell>
          <cell r="AG10">
            <v>3</v>
          </cell>
          <cell r="AH10">
            <v>3</v>
          </cell>
        </row>
        <row r="11">
          <cell r="B11">
            <v>9</v>
          </cell>
          <cell r="D11">
            <v>4.6150000000000002</v>
          </cell>
          <cell r="J11" t="str">
            <v xml:space="preserve">Input VPROMMS: hcm_1 (43.14 pct); DHCM_1 (39.22 pct); 212th00023 (11.76 pct); 212TH00023 (5.88 pct); </v>
          </cell>
          <cell r="K11">
            <v>1.3739700808799999</v>
          </cell>
          <cell r="X11">
            <v>3.5</v>
          </cell>
          <cell r="Y11">
            <v>2</v>
          </cell>
          <cell r="Z11">
            <v>1</v>
          </cell>
          <cell r="AA11">
            <v>8</v>
          </cell>
          <cell r="AB11">
            <v>1</v>
          </cell>
          <cell r="AC11">
            <v>1</v>
          </cell>
          <cell r="AD11">
            <v>1</v>
          </cell>
          <cell r="AE11">
            <v>4</v>
          </cell>
          <cell r="AF11">
            <v>4</v>
          </cell>
          <cell r="AG11">
            <v>3</v>
          </cell>
          <cell r="AH11">
            <v>2</v>
          </cell>
        </row>
        <row r="12">
          <cell r="B12">
            <v>10</v>
          </cell>
          <cell r="D12">
            <v>9.1950000000000003</v>
          </cell>
          <cell r="J12" t="str">
            <v>213TT00003</v>
          </cell>
          <cell r="K12">
            <v>4.2095154322499999</v>
          </cell>
          <cell r="X12">
            <v>3.8</v>
          </cell>
          <cell r="Y12">
            <v>2</v>
          </cell>
          <cell r="Z12">
            <v>3</v>
          </cell>
          <cell r="AA12">
            <v>6</v>
          </cell>
          <cell r="AB12">
            <v>1</v>
          </cell>
          <cell r="AC12">
            <v>1</v>
          </cell>
          <cell r="AD12">
            <v>1</v>
          </cell>
          <cell r="AE12">
            <v>4</v>
          </cell>
          <cell r="AF12">
            <v>6</v>
          </cell>
          <cell r="AG12">
            <v>3</v>
          </cell>
          <cell r="AH12">
            <v>4</v>
          </cell>
        </row>
        <row r="13">
          <cell r="B13">
            <v>11</v>
          </cell>
          <cell r="J13" t="str">
            <v>213TT00008</v>
          </cell>
          <cell r="K13">
            <v>4.29155876819E-2</v>
          </cell>
          <cell r="X13">
            <v>3.8</v>
          </cell>
          <cell r="Y13">
            <v>2</v>
          </cell>
          <cell r="Z13">
            <v>3</v>
          </cell>
          <cell r="AA13">
            <v>6</v>
          </cell>
          <cell r="AB13">
            <v>1</v>
          </cell>
          <cell r="AC13">
            <v>1</v>
          </cell>
          <cell r="AD13">
            <v>1</v>
          </cell>
          <cell r="AE13">
            <v>4</v>
          </cell>
          <cell r="AF13">
            <v>6</v>
          </cell>
          <cell r="AG13">
            <v>3</v>
          </cell>
          <cell r="AH13">
            <v>3</v>
          </cell>
        </row>
        <row r="14">
          <cell r="B14">
            <v>12</v>
          </cell>
          <cell r="J14" t="str">
            <v xml:space="preserve">Input VPROMMS: hcm_1 (66.67 pct); DHCM_1 (33.33 pct); </v>
          </cell>
          <cell r="K14">
            <v>8.5387885895300011E-2</v>
          </cell>
          <cell r="X14">
            <v>3.5</v>
          </cell>
          <cell r="Y14">
            <v>2</v>
          </cell>
          <cell r="Z14">
            <v>1</v>
          </cell>
          <cell r="AA14">
            <v>8</v>
          </cell>
          <cell r="AB14">
            <v>1</v>
          </cell>
          <cell r="AC14">
            <v>1</v>
          </cell>
          <cell r="AD14">
            <v>1</v>
          </cell>
          <cell r="AE14">
            <v>4</v>
          </cell>
          <cell r="AF14">
            <v>4</v>
          </cell>
          <cell r="AG14">
            <v>3</v>
          </cell>
          <cell r="AH14">
            <v>3</v>
          </cell>
        </row>
        <row r="15">
          <cell r="B15">
            <v>13</v>
          </cell>
          <cell r="J15" t="str">
            <v xml:space="preserve">Input VPROMMS: hcm_1 (50.0 pct); DHCM_1 (46.15 pct); 214TT00051 (3.85 pct); </v>
          </cell>
          <cell r="K15">
            <v>0.85969636805000005</v>
          </cell>
          <cell r="X15">
            <v>3.5</v>
          </cell>
          <cell r="Y15">
            <v>2</v>
          </cell>
          <cell r="Z15">
            <v>1</v>
          </cell>
          <cell r="AA15">
            <v>8</v>
          </cell>
          <cell r="AB15">
            <v>1</v>
          </cell>
          <cell r="AC15">
            <v>1</v>
          </cell>
          <cell r="AD15">
            <v>1</v>
          </cell>
          <cell r="AE15">
            <v>4</v>
          </cell>
          <cell r="AF15">
            <v>4</v>
          </cell>
          <cell r="AG15">
            <v>3</v>
          </cell>
          <cell r="AH15">
            <v>3</v>
          </cell>
        </row>
        <row r="16">
          <cell r="B16">
            <v>14</v>
          </cell>
          <cell r="D16">
            <v>5.0449999999999999</v>
          </cell>
          <cell r="J16" t="str">
            <v xml:space="preserve">Input VPROMMS: DHCM_1 (50.0 pct); hcm_1 (50.0 pct); </v>
          </cell>
          <cell r="K16">
            <v>4.4294749974199998</v>
          </cell>
          <cell r="X16">
            <v>3.5</v>
          </cell>
          <cell r="Y16">
            <v>2</v>
          </cell>
          <cell r="Z16">
            <v>1</v>
          </cell>
          <cell r="AA16">
            <v>8</v>
          </cell>
          <cell r="AB16">
            <v>1</v>
          </cell>
          <cell r="AC16">
            <v>1</v>
          </cell>
          <cell r="AD16">
            <v>1</v>
          </cell>
          <cell r="AE16">
            <v>4</v>
          </cell>
          <cell r="AF16">
            <v>4</v>
          </cell>
          <cell r="AG16">
            <v>3</v>
          </cell>
          <cell r="AH16">
            <v>2</v>
          </cell>
        </row>
        <row r="17">
          <cell r="B17">
            <v>15</v>
          </cell>
          <cell r="D17">
            <v>8.58</v>
          </cell>
          <cell r="J17" t="str">
            <v xml:space="preserve">Input VPROMMS: 214TT00051 (50.0 pct); 214TT00050 (50.0 pct); </v>
          </cell>
          <cell r="K17">
            <v>1.1877854426600001</v>
          </cell>
          <cell r="X17">
            <v>3.5</v>
          </cell>
          <cell r="Y17">
            <v>2</v>
          </cell>
          <cell r="Z17">
            <v>1</v>
          </cell>
          <cell r="AA17">
            <v>8</v>
          </cell>
          <cell r="AB17">
            <v>1</v>
          </cell>
          <cell r="AC17">
            <v>1</v>
          </cell>
          <cell r="AD17">
            <v>1</v>
          </cell>
          <cell r="AE17">
            <v>4</v>
          </cell>
          <cell r="AF17">
            <v>4</v>
          </cell>
          <cell r="AG17">
            <v>3</v>
          </cell>
          <cell r="AH17">
            <v>4</v>
          </cell>
        </row>
        <row r="18">
          <cell r="B18">
            <v>16</v>
          </cell>
          <cell r="J18" t="str">
            <v xml:space="preserve">Input VPROMMS: DHCM_1 (49.49 pct); hcm_1 (48.48 pct); 214TT00051 (1.01 pct); 214TT00050 (1.01 pct); </v>
          </cell>
          <cell r="K18">
            <v>3.2724903847900002</v>
          </cell>
          <cell r="X18">
            <v>3.5</v>
          </cell>
          <cell r="Y18">
            <v>2</v>
          </cell>
          <cell r="Z18">
            <v>1</v>
          </cell>
          <cell r="AA18">
            <v>8</v>
          </cell>
          <cell r="AB18">
            <v>1</v>
          </cell>
          <cell r="AC18">
            <v>1</v>
          </cell>
          <cell r="AD18">
            <v>1</v>
          </cell>
          <cell r="AE18">
            <v>4</v>
          </cell>
          <cell r="AF18">
            <v>4</v>
          </cell>
          <cell r="AG18">
            <v>3</v>
          </cell>
          <cell r="AH18">
            <v>3</v>
          </cell>
        </row>
        <row r="19">
          <cell r="B19">
            <v>17</v>
          </cell>
          <cell r="D19">
            <v>9.2200000000000006</v>
          </cell>
          <cell r="J19" t="str">
            <v>214TT00005</v>
          </cell>
          <cell r="K19">
            <v>1.9580123576199999</v>
          </cell>
          <cell r="X19">
            <v>3.4</v>
          </cell>
          <cell r="Y19">
            <v>1</v>
          </cell>
          <cell r="Z19">
            <v>1</v>
          </cell>
          <cell r="AA19">
            <v>8</v>
          </cell>
          <cell r="AB19">
            <v>1</v>
          </cell>
          <cell r="AC19">
            <v>1</v>
          </cell>
          <cell r="AD19">
            <v>1</v>
          </cell>
          <cell r="AE19">
            <v>4</v>
          </cell>
          <cell r="AF19">
            <v>4</v>
          </cell>
          <cell r="AG19">
            <v>3</v>
          </cell>
          <cell r="AH19">
            <v>4</v>
          </cell>
        </row>
        <row r="20">
          <cell r="B20">
            <v>18</v>
          </cell>
          <cell r="D20">
            <v>5.38</v>
          </cell>
          <cell r="J20" t="str">
            <v xml:space="preserve">Input VPROMMS: hcm_1 (50.0 pct); DHCM_1 (50.0 pct); </v>
          </cell>
          <cell r="K20">
            <v>1.86640516275</v>
          </cell>
          <cell r="X20">
            <v>3.5</v>
          </cell>
          <cell r="Y20">
            <v>2</v>
          </cell>
          <cell r="Z20">
            <v>1</v>
          </cell>
          <cell r="AA20">
            <v>8</v>
          </cell>
          <cell r="AB20">
            <v>1</v>
          </cell>
          <cell r="AC20">
            <v>1</v>
          </cell>
          <cell r="AD20">
            <v>1</v>
          </cell>
          <cell r="AE20">
            <v>4</v>
          </cell>
          <cell r="AF20">
            <v>4</v>
          </cell>
          <cell r="AG20">
            <v>3</v>
          </cell>
          <cell r="AH20">
            <v>2</v>
          </cell>
        </row>
        <row r="21">
          <cell r="B21">
            <v>19</v>
          </cell>
          <cell r="D21">
            <v>8.7149999999999999</v>
          </cell>
          <cell r="J21" t="str">
            <v xml:space="preserve">Input VPROMMS: 217b_1 (49.72 pct); 217B_1 (49.17 pct); 214TT00018 (0.55 pct); DHCM_1 (0.55 pct); </v>
          </cell>
          <cell r="K21">
            <v>4.639154961530001</v>
          </cell>
          <cell r="X21">
            <v>3.5</v>
          </cell>
          <cell r="Y21">
            <v>2</v>
          </cell>
          <cell r="Z21">
            <v>1</v>
          </cell>
          <cell r="AA21">
            <v>8</v>
          </cell>
          <cell r="AB21">
            <v>1</v>
          </cell>
          <cell r="AC21">
            <v>1</v>
          </cell>
          <cell r="AD21">
            <v>1</v>
          </cell>
          <cell r="AE21">
            <v>4</v>
          </cell>
          <cell r="AF21">
            <v>4</v>
          </cell>
          <cell r="AG21">
            <v>3</v>
          </cell>
          <cell r="AH21">
            <v>4</v>
          </cell>
        </row>
        <row r="22">
          <cell r="B22">
            <v>20</v>
          </cell>
          <cell r="D22">
            <v>4.78</v>
          </cell>
          <cell r="J22" t="str">
            <v xml:space="preserve">Input VPROMMS: hcm_1 (50.94 pct); DHCM_1 (49.06 pct); </v>
          </cell>
          <cell r="K22">
            <v>1.5247001636099999</v>
          </cell>
          <cell r="X22">
            <v>3.5</v>
          </cell>
          <cell r="Y22">
            <v>2</v>
          </cell>
          <cell r="Z22">
            <v>1</v>
          </cell>
          <cell r="AA22">
            <v>8</v>
          </cell>
          <cell r="AB22">
            <v>1</v>
          </cell>
          <cell r="AC22">
            <v>1</v>
          </cell>
          <cell r="AD22">
            <v>1</v>
          </cell>
          <cell r="AE22">
            <v>4</v>
          </cell>
          <cell r="AF22">
            <v>4</v>
          </cell>
          <cell r="AG22">
            <v>3</v>
          </cell>
          <cell r="AH22">
            <v>2</v>
          </cell>
        </row>
        <row r="23">
          <cell r="B23">
            <v>21</v>
          </cell>
          <cell r="D23">
            <v>12.99</v>
          </cell>
          <cell r="J23" t="str">
            <v>214TT00004</v>
          </cell>
          <cell r="K23">
            <v>2.0631172438399998</v>
          </cell>
          <cell r="X23">
            <v>3.4</v>
          </cell>
          <cell r="Y23">
            <v>1</v>
          </cell>
          <cell r="Z23">
            <v>1</v>
          </cell>
          <cell r="AA23">
            <v>8</v>
          </cell>
          <cell r="AB23">
            <v>1</v>
          </cell>
          <cell r="AC23">
            <v>1</v>
          </cell>
          <cell r="AD23">
            <v>1</v>
          </cell>
          <cell r="AE23">
            <v>4</v>
          </cell>
          <cell r="AF23">
            <v>4</v>
          </cell>
          <cell r="AG23">
            <v>3</v>
          </cell>
          <cell r="AH23">
            <v>5</v>
          </cell>
        </row>
        <row r="24">
          <cell r="B24">
            <v>22</v>
          </cell>
          <cell r="D24">
            <v>8.1300000000000008</v>
          </cell>
          <cell r="J24" t="str">
            <v xml:space="preserve">Input VPROMMS: 212th00023 (66.67 pct); 212TH00023 (33.33 pct); </v>
          </cell>
          <cell r="K24">
            <v>3.7571437000299999</v>
          </cell>
          <cell r="X24">
            <v>3.5</v>
          </cell>
          <cell r="Y24">
            <v>2</v>
          </cell>
          <cell r="Z24">
            <v>1</v>
          </cell>
          <cell r="AA24">
            <v>8</v>
          </cell>
          <cell r="AB24">
            <v>1</v>
          </cell>
          <cell r="AC24">
            <v>1</v>
          </cell>
          <cell r="AD24">
            <v>1</v>
          </cell>
          <cell r="AE24">
            <v>4</v>
          </cell>
          <cell r="AF24">
            <v>4</v>
          </cell>
          <cell r="AG24">
            <v>3</v>
          </cell>
          <cell r="AH24">
            <v>4</v>
          </cell>
        </row>
        <row r="25">
          <cell r="B25">
            <v>23</v>
          </cell>
          <cell r="J25" t="str">
            <v>214TT00004</v>
          </cell>
          <cell r="K25">
            <v>0.71171367427800003</v>
          </cell>
          <cell r="X25">
            <v>3.4</v>
          </cell>
          <cell r="Y25">
            <v>1</v>
          </cell>
          <cell r="Z25">
            <v>1</v>
          </cell>
          <cell r="AA25">
            <v>8</v>
          </cell>
          <cell r="AB25">
            <v>1</v>
          </cell>
          <cell r="AC25">
            <v>1</v>
          </cell>
          <cell r="AD25">
            <v>1</v>
          </cell>
          <cell r="AE25">
            <v>4</v>
          </cell>
          <cell r="AF25">
            <v>4</v>
          </cell>
          <cell r="AG25">
            <v>3</v>
          </cell>
          <cell r="AH25">
            <v>3</v>
          </cell>
        </row>
        <row r="26">
          <cell r="B26">
            <v>24</v>
          </cell>
          <cell r="J26" t="str">
            <v>214TT00004</v>
          </cell>
          <cell r="K26">
            <v>3.2614046858500001E-2</v>
          </cell>
          <cell r="X26">
            <v>3.4</v>
          </cell>
          <cell r="Y26">
            <v>1</v>
          </cell>
          <cell r="Z26">
            <v>1</v>
          </cell>
          <cell r="AA26">
            <v>8</v>
          </cell>
          <cell r="AB26">
            <v>1</v>
          </cell>
          <cell r="AC26">
            <v>1</v>
          </cell>
          <cell r="AD26">
            <v>1</v>
          </cell>
          <cell r="AE26">
            <v>4</v>
          </cell>
          <cell r="AF26">
            <v>4</v>
          </cell>
          <cell r="AG26">
            <v>3</v>
          </cell>
          <cell r="AH26">
            <v>3</v>
          </cell>
        </row>
        <row r="27">
          <cell r="B27">
            <v>25</v>
          </cell>
          <cell r="D27">
            <v>8.32</v>
          </cell>
          <cell r="J27" t="str">
            <v xml:space="preserve">Input VPROMMS: 212th00023 (65.49 pct); 212TH00023 (32.74 pct); 214TT00052 (1.33 pct); 214TT00005 (0.44 pct); </v>
          </cell>
          <cell r="K27">
            <v>3.3729691428800002</v>
          </cell>
          <cell r="X27">
            <v>3.5</v>
          </cell>
          <cell r="Y27">
            <v>2</v>
          </cell>
          <cell r="Z27">
            <v>1</v>
          </cell>
          <cell r="AA27">
            <v>8</v>
          </cell>
          <cell r="AB27">
            <v>1</v>
          </cell>
          <cell r="AC27">
            <v>1</v>
          </cell>
          <cell r="AD27">
            <v>1</v>
          </cell>
          <cell r="AE27">
            <v>4</v>
          </cell>
          <cell r="AF27">
            <v>4</v>
          </cell>
          <cell r="AG27">
            <v>3</v>
          </cell>
          <cell r="AH27">
            <v>4</v>
          </cell>
        </row>
        <row r="28">
          <cell r="B28">
            <v>26</v>
          </cell>
          <cell r="D28">
            <v>8.3849999999999998</v>
          </cell>
          <cell r="J28" t="str">
            <v>214TT00017</v>
          </cell>
          <cell r="K28">
            <v>2.7545185923900002</v>
          </cell>
          <cell r="X28">
            <v>3.4</v>
          </cell>
          <cell r="Y28">
            <v>1</v>
          </cell>
          <cell r="Z28">
            <v>1</v>
          </cell>
          <cell r="AA28">
            <v>8</v>
          </cell>
          <cell r="AB28">
            <v>1</v>
          </cell>
          <cell r="AC28">
            <v>1</v>
          </cell>
          <cell r="AD28">
            <v>1</v>
          </cell>
          <cell r="AE28">
            <v>4</v>
          </cell>
          <cell r="AF28">
            <v>4</v>
          </cell>
          <cell r="AG28">
            <v>3</v>
          </cell>
          <cell r="AH28">
            <v>4</v>
          </cell>
        </row>
        <row r="29">
          <cell r="B29">
            <v>27</v>
          </cell>
          <cell r="D29">
            <v>8.07</v>
          </cell>
          <cell r="J29" t="str">
            <v xml:space="preserve">Input VPROMMS: 217B_1 (49.12 pct); 217b_1 (49.12 pct); 214TT00017 (1.75 pct); </v>
          </cell>
          <cell r="K29">
            <v>2.8189025174800002</v>
          </cell>
          <cell r="X29">
            <v>3.5</v>
          </cell>
          <cell r="Y29">
            <v>2</v>
          </cell>
          <cell r="Z29">
            <v>1</v>
          </cell>
          <cell r="AA29">
            <v>8</v>
          </cell>
          <cell r="AB29">
            <v>1</v>
          </cell>
          <cell r="AC29">
            <v>1</v>
          </cell>
          <cell r="AD29">
            <v>1</v>
          </cell>
          <cell r="AE29">
            <v>4</v>
          </cell>
          <cell r="AF29">
            <v>4</v>
          </cell>
          <cell r="AG29">
            <v>3</v>
          </cell>
          <cell r="AH29">
            <v>4</v>
          </cell>
        </row>
        <row r="30">
          <cell r="B30">
            <v>28</v>
          </cell>
          <cell r="D30">
            <v>8.64</v>
          </cell>
          <cell r="J30" t="str">
            <v xml:space="preserve">Input VPROMMS: 217B_1 (49.25 pct); 217b_1 (49.25 pct); 213TT00002 (1.49 pct); </v>
          </cell>
          <cell r="K30">
            <v>1.66635099276</v>
          </cell>
          <cell r="X30">
            <v>3.5</v>
          </cell>
          <cell r="Y30">
            <v>2</v>
          </cell>
          <cell r="Z30">
            <v>1</v>
          </cell>
          <cell r="AA30">
            <v>8</v>
          </cell>
          <cell r="AB30">
            <v>1</v>
          </cell>
          <cell r="AC30">
            <v>1</v>
          </cell>
          <cell r="AD30">
            <v>1</v>
          </cell>
          <cell r="AE30">
            <v>4</v>
          </cell>
          <cell r="AF30">
            <v>4</v>
          </cell>
          <cell r="AG30">
            <v>3</v>
          </cell>
          <cell r="AH30">
            <v>4</v>
          </cell>
        </row>
        <row r="31">
          <cell r="B31">
            <v>29</v>
          </cell>
          <cell r="D31">
            <v>10.02</v>
          </cell>
          <cell r="J31" t="str">
            <v>213TT00002</v>
          </cell>
          <cell r="K31">
            <v>4.3644648669099997</v>
          </cell>
          <cell r="X31">
            <v>3.8</v>
          </cell>
          <cell r="Y31">
            <v>2</v>
          </cell>
          <cell r="Z31">
            <v>3</v>
          </cell>
          <cell r="AA31">
            <v>6</v>
          </cell>
          <cell r="AB31">
            <v>1</v>
          </cell>
          <cell r="AC31">
            <v>1</v>
          </cell>
          <cell r="AD31">
            <v>1</v>
          </cell>
          <cell r="AE31">
            <v>4</v>
          </cell>
          <cell r="AF31">
            <v>6</v>
          </cell>
          <cell r="AG31">
            <v>3</v>
          </cell>
          <cell r="AH31">
            <v>4</v>
          </cell>
        </row>
        <row r="32">
          <cell r="B32">
            <v>30</v>
          </cell>
          <cell r="D32">
            <v>6.95</v>
          </cell>
          <cell r="J32" t="str">
            <v xml:space="preserve">Input VPROMMS: 217B_1 (46.88 pct); 217b_1 (46.88 pct); 214TT00018 (3.13 pct); 213TT00002 (3.13 pct); </v>
          </cell>
          <cell r="K32">
            <v>0.46601173649299998</v>
          </cell>
          <cell r="X32">
            <v>3.5</v>
          </cell>
          <cell r="Y32">
            <v>2</v>
          </cell>
          <cell r="Z32">
            <v>1</v>
          </cell>
          <cell r="AA32">
            <v>8</v>
          </cell>
          <cell r="AB32">
            <v>1</v>
          </cell>
          <cell r="AC32">
            <v>1</v>
          </cell>
          <cell r="AD32">
            <v>1</v>
          </cell>
          <cell r="AE32">
            <v>4</v>
          </cell>
          <cell r="AF32">
            <v>4</v>
          </cell>
          <cell r="AG32">
            <v>3</v>
          </cell>
          <cell r="AH32">
            <v>3</v>
          </cell>
        </row>
        <row r="33">
          <cell r="B33">
            <v>31</v>
          </cell>
          <cell r="D33">
            <v>6.5149999999999997</v>
          </cell>
          <cell r="J33" t="str">
            <v>214TT00018</v>
          </cell>
          <cell r="K33">
            <v>2.3725218627600002</v>
          </cell>
          <cell r="X33">
            <v>3.4</v>
          </cell>
          <cell r="Y33">
            <v>1</v>
          </cell>
          <cell r="Z33">
            <v>1</v>
          </cell>
          <cell r="AA33">
            <v>8</v>
          </cell>
          <cell r="AB33">
            <v>1</v>
          </cell>
          <cell r="AC33">
            <v>1</v>
          </cell>
          <cell r="AD33">
            <v>1</v>
          </cell>
          <cell r="AE33">
            <v>4</v>
          </cell>
          <cell r="AF33">
            <v>4</v>
          </cell>
          <cell r="AG33">
            <v>3</v>
          </cell>
          <cell r="AH33">
            <v>3</v>
          </cell>
        </row>
        <row r="34">
          <cell r="B34">
            <v>32</v>
          </cell>
          <cell r="D34">
            <v>6.8550000000000004</v>
          </cell>
          <cell r="J34" t="str">
            <v xml:space="preserve">Input VPROMMS: 217B_1 (47.83 pct); 217b_1 (47.83 pct); 214TT00018 (4.35 pct); </v>
          </cell>
          <cell r="K34">
            <v>0.53097815755699995</v>
          </cell>
          <cell r="X34">
            <v>3.5</v>
          </cell>
          <cell r="Y34">
            <v>2</v>
          </cell>
          <cell r="Z34">
            <v>1</v>
          </cell>
          <cell r="AA34">
            <v>8</v>
          </cell>
          <cell r="AB34">
            <v>1</v>
          </cell>
          <cell r="AC34">
            <v>1</v>
          </cell>
          <cell r="AD34">
            <v>1</v>
          </cell>
          <cell r="AE34">
            <v>4</v>
          </cell>
          <cell r="AF34">
            <v>4</v>
          </cell>
          <cell r="AG34">
            <v>3</v>
          </cell>
          <cell r="AH34">
            <v>3</v>
          </cell>
        </row>
        <row r="35">
          <cell r="B35">
            <v>33</v>
          </cell>
          <cell r="D35">
            <v>10.07</v>
          </cell>
          <cell r="J35" t="str">
            <v xml:space="preserve">Input VPROMMS: 214TT00053 (65.52 pct); 214TT00052 (34.48 pct); </v>
          </cell>
          <cell r="K35">
            <v>1.8484457239000001</v>
          </cell>
          <cell r="X35">
            <v>3.5</v>
          </cell>
          <cell r="Y35">
            <v>2</v>
          </cell>
          <cell r="Z35">
            <v>1</v>
          </cell>
          <cell r="AA35">
            <v>8</v>
          </cell>
          <cell r="AB35">
            <v>1</v>
          </cell>
          <cell r="AC35">
            <v>1</v>
          </cell>
          <cell r="AD35">
            <v>1</v>
          </cell>
          <cell r="AE35">
            <v>4</v>
          </cell>
          <cell r="AF35">
            <v>4</v>
          </cell>
          <cell r="AG35">
            <v>3</v>
          </cell>
          <cell r="AH35">
            <v>4</v>
          </cell>
        </row>
        <row r="36">
          <cell r="B36">
            <v>34</v>
          </cell>
          <cell r="D36">
            <v>9.6750000000000007</v>
          </cell>
          <cell r="J36" t="str">
            <v xml:space="preserve">Input VPROMMS: 212th00023 (67.39 pct); 212TH00023 (32.61 pct); </v>
          </cell>
          <cell r="K36">
            <v>1.3173861247400001</v>
          </cell>
          <cell r="X36">
            <v>3.5</v>
          </cell>
          <cell r="Y36">
            <v>2</v>
          </cell>
          <cell r="Z36">
            <v>1</v>
          </cell>
          <cell r="AA36">
            <v>8</v>
          </cell>
          <cell r="AB36">
            <v>1</v>
          </cell>
          <cell r="AC36">
            <v>1</v>
          </cell>
          <cell r="AD36">
            <v>1</v>
          </cell>
          <cell r="AE36">
            <v>4</v>
          </cell>
          <cell r="AF36">
            <v>4</v>
          </cell>
          <cell r="AG36">
            <v>3</v>
          </cell>
          <cell r="AH36">
            <v>4</v>
          </cell>
        </row>
        <row r="37">
          <cell r="B37">
            <v>35</v>
          </cell>
          <cell r="D37">
            <v>8.0299999999999994</v>
          </cell>
          <cell r="J37" t="str">
            <v xml:space="preserve">Input VPROMMS: 217B_1 (49.51 pct); 217b_1 (49.51 pct); 214TT00074 (0.97 pct); </v>
          </cell>
          <cell r="K37">
            <v>2.9368845887699999</v>
          </cell>
          <cell r="X37">
            <v>3.5</v>
          </cell>
          <cell r="Y37">
            <v>2</v>
          </cell>
          <cell r="Z37">
            <v>1</v>
          </cell>
          <cell r="AA37">
            <v>8</v>
          </cell>
          <cell r="AB37">
            <v>1</v>
          </cell>
          <cell r="AC37">
            <v>1</v>
          </cell>
          <cell r="AD37">
            <v>1</v>
          </cell>
          <cell r="AE37">
            <v>4</v>
          </cell>
          <cell r="AF37">
            <v>4</v>
          </cell>
          <cell r="AG37">
            <v>3</v>
          </cell>
          <cell r="AH37">
            <v>4</v>
          </cell>
        </row>
        <row r="38">
          <cell r="B38">
            <v>36</v>
          </cell>
          <cell r="D38">
            <v>9.67</v>
          </cell>
          <cell r="J38" t="str">
            <v>214TT00053</v>
          </cell>
          <cell r="K38">
            <v>1.5484874522200001</v>
          </cell>
          <cell r="X38">
            <v>3.4</v>
          </cell>
          <cell r="Y38">
            <v>1</v>
          </cell>
          <cell r="Z38">
            <v>1</v>
          </cell>
          <cell r="AA38">
            <v>8</v>
          </cell>
          <cell r="AB38">
            <v>1</v>
          </cell>
          <cell r="AC38">
            <v>1</v>
          </cell>
          <cell r="AD38">
            <v>1</v>
          </cell>
          <cell r="AE38">
            <v>4</v>
          </cell>
          <cell r="AF38">
            <v>4</v>
          </cell>
          <cell r="AG38">
            <v>3</v>
          </cell>
          <cell r="AH38">
            <v>4</v>
          </cell>
        </row>
        <row r="39">
          <cell r="B39">
            <v>37</v>
          </cell>
          <cell r="D39">
            <v>9.01</v>
          </cell>
          <cell r="J39" t="str">
            <v xml:space="preserve">Input VPROMMS: 212th00023 (63.41 pct); 212TH00023 (31.71 pct); 214TT00053 (4.88 pct); </v>
          </cell>
          <cell r="K39">
            <v>0.63143701588699996</v>
          </cell>
          <cell r="X39">
            <v>3.5</v>
          </cell>
          <cell r="Y39">
            <v>2</v>
          </cell>
          <cell r="Z39">
            <v>1</v>
          </cell>
          <cell r="AA39">
            <v>8</v>
          </cell>
          <cell r="AB39">
            <v>1</v>
          </cell>
          <cell r="AC39">
            <v>1</v>
          </cell>
          <cell r="AD39">
            <v>1</v>
          </cell>
          <cell r="AE39">
            <v>4</v>
          </cell>
          <cell r="AF39">
            <v>4</v>
          </cell>
          <cell r="AG39">
            <v>3</v>
          </cell>
          <cell r="AH39">
            <v>4</v>
          </cell>
        </row>
        <row r="40">
          <cell r="B40">
            <v>38</v>
          </cell>
          <cell r="D40">
            <v>9.6750000000000007</v>
          </cell>
          <cell r="J40" t="str">
            <v xml:space="preserve">Input VPROMMS: 214TT00072 (73.61 pct); 214TT00017 (26.39 pct); </v>
          </cell>
          <cell r="K40">
            <v>2.6118022886699999</v>
          </cell>
          <cell r="X40">
            <v>3.5</v>
          </cell>
          <cell r="Y40">
            <v>2</v>
          </cell>
          <cell r="Z40">
            <v>1</v>
          </cell>
          <cell r="AA40">
            <v>8</v>
          </cell>
          <cell r="AB40">
            <v>1</v>
          </cell>
          <cell r="AC40">
            <v>1</v>
          </cell>
          <cell r="AD40">
            <v>1</v>
          </cell>
          <cell r="AE40">
            <v>4</v>
          </cell>
          <cell r="AF40">
            <v>4</v>
          </cell>
          <cell r="AG40">
            <v>3</v>
          </cell>
          <cell r="AH40">
            <v>4</v>
          </cell>
        </row>
        <row r="41">
          <cell r="B41">
            <v>39</v>
          </cell>
          <cell r="D41">
            <v>8.93</v>
          </cell>
          <cell r="J41" t="str">
            <v xml:space="preserve">Input VPROMMS: 212th00023 (63.01 pct); 212TH00023 (32.88 pct); 213TT00003 (2.74 pct); 214TT00054 (1.37 pct); </v>
          </cell>
          <cell r="K41">
            <v>0.87481637215399999</v>
          </cell>
          <cell r="X41">
            <v>3.5</v>
          </cell>
          <cell r="Y41">
            <v>2</v>
          </cell>
          <cell r="Z41">
            <v>1</v>
          </cell>
          <cell r="AA41">
            <v>8</v>
          </cell>
          <cell r="AB41">
            <v>1</v>
          </cell>
          <cell r="AC41">
            <v>1</v>
          </cell>
          <cell r="AD41">
            <v>1</v>
          </cell>
          <cell r="AE41">
            <v>4</v>
          </cell>
          <cell r="AF41">
            <v>4</v>
          </cell>
          <cell r="AG41">
            <v>3</v>
          </cell>
          <cell r="AH41">
            <v>4</v>
          </cell>
        </row>
        <row r="42">
          <cell r="B42">
            <v>40</v>
          </cell>
          <cell r="D42">
            <v>8.2100000000000009</v>
          </cell>
          <cell r="J42" t="str">
            <v>214TT00101</v>
          </cell>
          <cell r="K42">
            <v>5.24070310892</v>
          </cell>
          <cell r="X42">
            <v>3.4</v>
          </cell>
          <cell r="Y42">
            <v>1</v>
          </cell>
          <cell r="Z42">
            <v>1</v>
          </cell>
          <cell r="AA42">
            <v>8</v>
          </cell>
          <cell r="AB42">
            <v>1</v>
          </cell>
          <cell r="AC42">
            <v>1</v>
          </cell>
          <cell r="AD42">
            <v>1</v>
          </cell>
          <cell r="AE42">
            <v>4</v>
          </cell>
          <cell r="AF42">
            <v>4</v>
          </cell>
          <cell r="AG42">
            <v>3</v>
          </cell>
          <cell r="AH42">
            <v>4</v>
          </cell>
        </row>
        <row r="43">
          <cell r="B43">
            <v>41</v>
          </cell>
          <cell r="D43">
            <v>10.17</v>
          </cell>
          <cell r="J43" t="str">
            <v xml:space="preserve">Input VPROMMS: 212th00023 (65.33 pct); 212TH00023 (33.33 pct); 214TT00054 (1.33 pct); </v>
          </cell>
          <cell r="K43">
            <v>2.0500943355599999</v>
          </cell>
          <cell r="X43">
            <v>3.5</v>
          </cell>
          <cell r="Y43">
            <v>2</v>
          </cell>
          <cell r="Z43">
            <v>1</v>
          </cell>
          <cell r="AA43">
            <v>8</v>
          </cell>
          <cell r="AB43">
            <v>1</v>
          </cell>
          <cell r="AC43">
            <v>1</v>
          </cell>
          <cell r="AD43">
            <v>1</v>
          </cell>
          <cell r="AE43">
            <v>4</v>
          </cell>
          <cell r="AF43">
            <v>4</v>
          </cell>
          <cell r="AG43">
            <v>3</v>
          </cell>
          <cell r="AH43">
            <v>4</v>
          </cell>
        </row>
        <row r="44">
          <cell r="B44">
            <v>42</v>
          </cell>
          <cell r="D44">
            <v>9.2799999999999994</v>
          </cell>
          <cell r="J44" t="str">
            <v xml:space="preserve">Input VPROMMS: 214TT00072 (74.22 pct); 214TT00073 (25.78 pct); </v>
          </cell>
          <cell r="K44">
            <v>1.41508339599</v>
          </cell>
          <cell r="X44">
            <v>3.5</v>
          </cell>
          <cell r="Y44">
            <v>2</v>
          </cell>
          <cell r="Z44">
            <v>1</v>
          </cell>
          <cell r="AA44">
            <v>8</v>
          </cell>
          <cell r="AB44">
            <v>1</v>
          </cell>
          <cell r="AC44">
            <v>1</v>
          </cell>
          <cell r="AD44">
            <v>1</v>
          </cell>
          <cell r="AE44">
            <v>4</v>
          </cell>
          <cell r="AF44">
            <v>4</v>
          </cell>
          <cell r="AG44">
            <v>3</v>
          </cell>
          <cell r="AH44">
            <v>4</v>
          </cell>
        </row>
        <row r="45">
          <cell r="B45">
            <v>43</v>
          </cell>
          <cell r="D45">
            <v>9.4499999999999993</v>
          </cell>
          <cell r="J45" t="str">
            <v>213TT00002</v>
          </cell>
          <cell r="K45">
            <v>0.48027652408900001</v>
          </cell>
          <cell r="X45">
            <v>3.8</v>
          </cell>
          <cell r="Y45">
            <v>2</v>
          </cell>
          <cell r="Z45">
            <v>3</v>
          </cell>
          <cell r="AA45">
            <v>6</v>
          </cell>
          <cell r="AB45">
            <v>1</v>
          </cell>
          <cell r="AC45">
            <v>1</v>
          </cell>
          <cell r="AD45">
            <v>1</v>
          </cell>
          <cell r="AE45">
            <v>4</v>
          </cell>
          <cell r="AF45">
            <v>6</v>
          </cell>
          <cell r="AG45">
            <v>3</v>
          </cell>
          <cell r="AH45">
            <v>4</v>
          </cell>
        </row>
        <row r="46">
          <cell r="B46">
            <v>44</v>
          </cell>
          <cell r="D46">
            <v>10.074999999999999</v>
          </cell>
          <cell r="J46" t="str">
            <v xml:space="preserve">Input VPROMMS: QL45_1 (49.59 pct); 212th00038 (49.19 pct); 214TT00058 (0.41 pct); 214TT00063 (0.41 pct); ql45_1 (0.41 pct); </v>
          </cell>
          <cell r="K46">
            <v>5.2057258858299997</v>
          </cell>
          <cell r="X46">
            <v>3.5</v>
          </cell>
          <cell r="Y46">
            <v>2</v>
          </cell>
          <cell r="Z46">
            <v>1</v>
          </cell>
          <cell r="AA46">
            <v>8</v>
          </cell>
          <cell r="AB46">
            <v>1</v>
          </cell>
          <cell r="AC46">
            <v>1</v>
          </cell>
          <cell r="AD46">
            <v>1</v>
          </cell>
          <cell r="AE46">
            <v>4</v>
          </cell>
          <cell r="AF46">
            <v>4</v>
          </cell>
          <cell r="AG46">
            <v>3</v>
          </cell>
          <cell r="AH46">
            <v>4</v>
          </cell>
        </row>
        <row r="47">
          <cell r="B47">
            <v>45</v>
          </cell>
          <cell r="D47">
            <v>9.42</v>
          </cell>
          <cell r="J47" t="str">
            <v>213TT00002</v>
          </cell>
          <cell r="K47">
            <v>2.0226273841600002</v>
          </cell>
          <cell r="X47">
            <v>3.8</v>
          </cell>
          <cell r="Y47">
            <v>2</v>
          </cell>
          <cell r="Z47">
            <v>3</v>
          </cell>
          <cell r="AA47">
            <v>6</v>
          </cell>
          <cell r="AB47">
            <v>1</v>
          </cell>
          <cell r="AC47">
            <v>1</v>
          </cell>
          <cell r="AD47">
            <v>1</v>
          </cell>
          <cell r="AE47">
            <v>4</v>
          </cell>
          <cell r="AF47">
            <v>6</v>
          </cell>
          <cell r="AG47">
            <v>3</v>
          </cell>
          <cell r="AH47">
            <v>4</v>
          </cell>
        </row>
        <row r="48">
          <cell r="B48">
            <v>46</v>
          </cell>
          <cell r="D48">
            <v>6.83</v>
          </cell>
          <cell r="J48" t="str">
            <v>214TT00054</v>
          </cell>
          <cell r="K48">
            <v>2.32077294093</v>
          </cell>
          <cell r="X48">
            <v>3.4</v>
          </cell>
          <cell r="Y48">
            <v>1</v>
          </cell>
          <cell r="Z48">
            <v>1</v>
          </cell>
          <cell r="AA48">
            <v>8</v>
          </cell>
          <cell r="AB48">
            <v>1</v>
          </cell>
          <cell r="AC48">
            <v>1</v>
          </cell>
          <cell r="AD48">
            <v>1</v>
          </cell>
          <cell r="AE48">
            <v>4</v>
          </cell>
          <cell r="AF48">
            <v>4</v>
          </cell>
          <cell r="AG48">
            <v>3</v>
          </cell>
          <cell r="AH48">
            <v>3</v>
          </cell>
        </row>
        <row r="49">
          <cell r="B49">
            <v>47</v>
          </cell>
          <cell r="D49">
            <v>8.17</v>
          </cell>
          <cell r="J49" t="str">
            <v xml:space="preserve">Input VPROMMS: 212th00023 (64.9 pct); 212TH00023 (32.45 pct); 214TT00056 (1.32 pct); 214TT00055 (0.66 pct); 214TT00054 (0.66 pct); </v>
          </cell>
          <cell r="K49">
            <v>2.5507044805599999</v>
          </cell>
          <cell r="X49">
            <v>3.5</v>
          </cell>
          <cell r="Y49">
            <v>2</v>
          </cell>
          <cell r="Z49">
            <v>1</v>
          </cell>
          <cell r="AA49">
            <v>8</v>
          </cell>
          <cell r="AB49">
            <v>1</v>
          </cell>
          <cell r="AC49">
            <v>1</v>
          </cell>
          <cell r="AD49">
            <v>1</v>
          </cell>
          <cell r="AE49">
            <v>4</v>
          </cell>
          <cell r="AF49">
            <v>4</v>
          </cell>
          <cell r="AG49">
            <v>3</v>
          </cell>
          <cell r="AH49">
            <v>4</v>
          </cell>
        </row>
        <row r="50">
          <cell r="B50">
            <v>48</v>
          </cell>
          <cell r="D50">
            <v>12.595000000000001</v>
          </cell>
          <cell r="J50" t="str">
            <v>214TT00074</v>
          </cell>
          <cell r="K50">
            <v>1.03432944709</v>
          </cell>
          <cell r="X50">
            <v>3.4</v>
          </cell>
          <cell r="Y50">
            <v>1</v>
          </cell>
          <cell r="Z50">
            <v>1</v>
          </cell>
          <cell r="AA50">
            <v>8</v>
          </cell>
          <cell r="AB50">
            <v>1</v>
          </cell>
          <cell r="AC50">
            <v>1</v>
          </cell>
          <cell r="AD50">
            <v>1</v>
          </cell>
          <cell r="AE50">
            <v>4</v>
          </cell>
          <cell r="AF50">
            <v>4</v>
          </cell>
          <cell r="AG50">
            <v>3</v>
          </cell>
          <cell r="AH50">
            <v>5</v>
          </cell>
        </row>
        <row r="51">
          <cell r="B51">
            <v>49</v>
          </cell>
          <cell r="D51">
            <v>8.3149999999999995</v>
          </cell>
          <cell r="J51" t="str">
            <v xml:space="preserve">Input VPROMMS: 217B_1 (48.63 pct); 217b_1 (48.63 pct); 214TT00074 (1.37 pct); 214TT00082 (1.37 pct); </v>
          </cell>
          <cell r="K51">
            <v>3.57290652483</v>
          </cell>
          <cell r="X51">
            <v>3.5</v>
          </cell>
          <cell r="Y51">
            <v>2</v>
          </cell>
          <cell r="Z51">
            <v>1</v>
          </cell>
          <cell r="AA51">
            <v>8</v>
          </cell>
          <cell r="AB51">
            <v>1</v>
          </cell>
          <cell r="AC51">
            <v>1</v>
          </cell>
          <cell r="AD51">
            <v>1</v>
          </cell>
          <cell r="AE51">
            <v>4</v>
          </cell>
          <cell r="AF51">
            <v>4</v>
          </cell>
          <cell r="AG51">
            <v>3</v>
          </cell>
          <cell r="AH51">
            <v>4</v>
          </cell>
        </row>
        <row r="52">
          <cell r="B52">
            <v>50</v>
          </cell>
          <cell r="D52">
            <v>6.96</v>
          </cell>
          <cell r="J52" t="str">
            <v xml:space="preserve">Input VPROMMS: 214TT00056 (72.34 pct); 214TT00055 (27.66 pct); </v>
          </cell>
          <cell r="K52">
            <v>2.3753415681400001</v>
          </cell>
          <cell r="X52">
            <v>3.5</v>
          </cell>
          <cell r="Y52">
            <v>2</v>
          </cell>
          <cell r="Z52">
            <v>1</v>
          </cell>
          <cell r="AA52">
            <v>8</v>
          </cell>
          <cell r="AB52">
            <v>1</v>
          </cell>
          <cell r="AC52">
            <v>1</v>
          </cell>
          <cell r="AD52">
            <v>1</v>
          </cell>
          <cell r="AE52">
            <v>4</v>
          </cell>
          <cell r="AF52">
            <v>4</v>
          </cell>
          <cell r="AG52">
            <v>3</v>
          </cell>
          <cell r="AH52">
            <v>3</v>
          </cell>
        </row>
        <row r="53">
          <cell r="B53">
            <v>51</v>
          </cell>
          <cell r="D53">
            <v>7.89</v>
          </cell>
          <cell r="J53" t="str">
            <v>214TT00058</v>
          </cell>
          <cell r="K53">
            <v>3.3115276648299998</v>
          </cell>
          <cell r="X53">
            <v>3.4</v>
          </cell>
          <cell r="Y53">
            <v>1</v>
          </cell>
          <cell r="Z53">
            <v>1</v>
          </cell>
          <cell r="AA53">
            <v>8</v>
          </cell>
          <cell r="AB53">
            <v>1</v>
          </cell>
          <cell r="AC53">
            <v>1</v>
          </cell>
          <cell r="AD53">
            <v>1</v>
          </cell>
          <cell r="AE53">
            <v>4</v>
          </cell>
          <cell r="AF53">
            <v>4</v>
          </cell>
          <cell r="AG53">
            <v>3</v>
          </cell>
          <cell r="AH53">
            <v>3</v>
          </cell>
        </row>
        <row r="54">
          <cell r="B54">
            <v>52</v>
          </cell>
          <cell r="D54">
            <v>8.74</v>
          </cell>
          <cell r="J54" t="str">
            <v xml:space="preserve">Input VPROMMS: 212th00038 (50.0 pct); QL45_1 (50.0 pct); </v>
          </cell>
          <cell r="K54">
            <v>1.15133894537</v>
          </cell>
          <cell r="X54">
            <v>3.5</v>
          </cell>
          <cell r="Y54">
            <v>2</v>
          </cell>
          <cell r="Z54">
            <v>1</v>
          </cell>
          <cell r="AA54">
            <v>8</v>
          </cell>
          <cell r="AB54">
            <v>1</v>
          </cell>
          <cell r="AC54">
            <v>1</v>
          </cell>
          <cell r="AD54">
            <v>1</v>
          </cell>
          <cell r="AE54">
            <v>4</v>
          </cell>
          <cell r="AF54">
            <v>4</v>
          </cell>
          <cell r="AG54">
            <v>3</v>
          </cell>
          <cell r="AH54">
            <v>4</v>
          </cell>
        </row>
        <row r="55">
          <cell r="B55">
            <v>53</v>
          </cell>
          <cell r="D55">
            <v>7.88</v>
          </cell>
          <cell r="J55" t="str">
            <v xml:space="preserve">Input VPROMMS: 214TT00074 (45.45 pct); 214TT00075 (44.32 pct); 213TT00009 (10.23 pct); </v>
          </cell>
          <cell r="K55">
            <v>1.18236404286</v>
          </cell>
          <cell r="X55">
            <v>3.5</v>
          </cell>
          <cell r="Y55">
            <v>2</v>
          </cell>
          <cell r="Z55">
            <v>1</v>
          </cell>
          <cell r="AA55">
            <v>8</v>
          </cell>
          <cell r="AB55">
            <v>1</v>
          </cell>
          <cell r="AC55">
            <v>1</v>
          </cell>
          <cell r="AD55">
            <v>1</v>
          </cell>
          <cell r="AE55">
            <v>4</v>
          </cell>
          <cell r="AF55">
            <v>4</v>
          </cell>
          <cell r="AG55">
            <v>3</v>
          </cell>
          <cell r="AH55">
            <v>3</v>
          </cell>
        </row>
        <row r="56">
          <cell r="B56">
            <v>54</v>
          </cell>
          <cell r="D56">
            <v>9.9</v>
          </cell>
          <cell r="J56" t="str">
            <v xml:space="preserve">Input VPROMMS: 214TT00074 (41.74 pct); 214tt00025 (37.39 pct); 214TT00075 (14.78 pct); 214tt00078 (6.09 pct); </v>
          </cell>
          <cell r="K56">
            <v>4.7550839175699986</v>
          </cell>
          <cell r="X56">
            <v>3.5</v>
          </cell>
          <cell r="Y56">
            <v>2</v>
          </cell>
          <cell r="Z56">
            <v>1</v>
          </cell>
          <cell r="AA56">
            <v>8</v>
          </cell>
          <cell r="AB56">
            <v>1</v>
          </cell>
          <cell r="AC56">
            <v>1</v>
          </cell>
          <cell r="AD56">
            <v>1</v>
          </cell>
          <cell r="AE56">
            <v>4</v>
          </cell>
          <cell r="AF56">
            <v>4</v>
          </cell>
          <cell r="AG56">
            <v>3</v>
          </cell>
          <cell r="AH56">
            <v>4</v>
          </cell>
        </row>
        <row r="57">
          <cell r="B57">
            <v>55</v>
          </cell>
          <cell r="D57">
            <v>11.79</v>
          </cell>
          <cell r="J57" t="str">
            <v xml:space="preserve">Input VPROMMS: 214TT00071 (70.83 pct); 214TT00073 (29.17 pct); </v>
          </cell>
          <cell r="K57">
            <v>0.61414606660799997</v>
          </cell>
          <cell r="X57">
            <v>3.5</v>
          </cell>
          <cell r="Y57">
            <v>2</v>
          </cell>
          <cell r="Z57">
            <v>1</v>
          </cell>
          <cell r="AA57">
            <v>8</v>
          </cell>
          <cell r="AB57">
            <v>1</v>
          </cell>
          <cell r="AC57">
            <v>1</v>
          </cell>
          <cell r="AD57">
            <v>1</v>
          </cell>
          <cell r="AE57">
            <v>4</v>
          </cell>
          <cell r="AF57">
            <v>4</v>
          </cell>
          <cell r="AG57">
            <v>3</v>
          </cell>
          <cell r="AH57">
            <v>4</v>
          </cell>
        </row>
        <row r="58">
          <cell r="B58">
            <v>56</v>
          </cell>
          <cell r="D58">
            <v>8.91</v>
          </cell>
          <cell r="J58" t="str">
            <v>213TT00002</v>
          </cell>
          <cell r="K58">
            <v>7.0347565035600006</v>
          </cell>
          <cell r="X58">
            <v>3.8</v>
          </cell>
          <cell r="Y58">
            <v>2</v>
          </cell>
          <cell r="Z58">
            <v>3</v>
          </cell>
          <cell r="AA58">
            <v>6</v>
          </cell>
          <cell r="AB58">
            <v>1</v>
          </cell>
          <cell r="AC58">
            <v>1</v>
          </cell>
          <cell r="AD58">
            <v>1</v>
          </cell>
          <cell r="AE58">
            <v>4</v>
          </cell>
          <cell r="AF58">
            <v>6</v>
          </cell>
          <cell r="AG58">
            <v>3</v>
          </cell>
          <cell r="AH58">
            <v>4</v>
          </cell>
        </row>
        <row r="59">
          <cell r="B59">
            <v>57</v>
          </cell>
          <cell r="D59">
            <v>8.33</v>
          </cell>
          <cell r="J59" t="str">
            <v xml:space="preserve">Input VPROMMS: 214TT00064 (53.33 pct); 214TT00014 (46.67 pct); </v>
          </cell>
          <cell r="K59">
            <v>0.47201922999000001</v>
          </cell>
          <cell r="X59">
            <v>3.5</v>
          </cell>
          <cell r="Y59">
            <v>2</v>
          </cell>
          <cell r="Z59">
            <v>1</v>
          </cell>
          <cell r="AA59">
            <v>8</v>
          </cell>
          <cell r="AB59">
            <v>1</v>
          </cell>
          <cell r="AC59">
            <v>1</v>
          </cell>
          <cell r="AD59">
            <v>1</v>
          </cell>
          <cell r="AE59">
            <v>4</v>
          </cell>
          <cell r="AF59">
            <v>4</v>
          </cell>
          <cell r="AG59">
            <v>3</v>
          </cell>
          <cell r="AH59">
            <v>4</v>
          </cell>
        </row>
        <row r="60">
          <cell r="B60">
            <v>58</v>
          </cell>
          <cell r="D60">
            <v>9.26</v>
          </cell>
          <cell r="J60" t="str">
            <v>214TT00067</v>
          </cell>
          <cell r="K60">
            <v>2.3540326248899999</v>
          </cell>
          <cell r="X60">
            <v>3.4</v>
          </cell>
          <cell r="Y60">
            <v>1</v>
          </cell>
          <cell r="Z60">
            <v>1</v>
          </cell>
          <cell r="AA60">
            <v>8</v>
          </cell>
          <cell r="AB60">
            <v>1</v>
          </cell>
          <cell r="AC60">
            <v>1</v>
          </cell>
          <cell r="AD60">
            <v>1</v>
          </cell>
          <cell r="AE60">
            <v>4</v>
          </cell>
          <cell r="AF60">
            <v>4</v>
          </cell>
          <cell r="AG60">
            <v>3</v>
          </cell>
          <cell r="AH60">
            <v>4</v>
          </cell>
        </row>
        <row r="61">
          <cell r="B61">
            <v>59</v>
          </cell>
          <cell r="D61">
            <v>9.0399999999999991</v>
          </cell>
          <cell r="J61" t="str">
            <v xml:space="preserve">Input VPROMMS: QL45_1 (34.18 pct); 214TT00068 (32.91 pct); 212th00038 (32.91 pct); </v>
          </cell>
          <cell r="K61">
            <v>1.3119714791599999</v>
          </cell>
          <cell r="X61">
            <v>3.5</v>
          </cell>
          <cell r="Y61">
            <v>2</v>
          </cell>
          <cell r="Z61">
            <v>1</v>
          </cell>
          <cell r="AA61">
            <v>8</v>
          </cell>
          <cell r="AB61">
            <v>1</v>
          </cell>
          <cell r="AC61">
            <v>1</v>
          </cell>
          <cell r="AD61">
            <v>1</v>
          </cell>
          <cell r="AE61">
            <v>4</v>
          </cell>
          <cell r="AF61">
            <v>4</v>
          </cell>
          <cell r="AG61">
            <v>3</v>
          </cell>
          <cell r="AH61">
            <v>4</v>
          </cell>
        </row>
        <row r="62">
          <cell r="B62">
            <v>60</v>
          </cell>
          <cell r="D62">
            <v>10.55</v>
          </cell>
          <cell r="J62" t="str">
            <v>214TT00068</v>
          </cell>
          <cell r="K62">
            <v>1.5967373094699999</v>
          </cell>
          <cell r="X62">
            <v>3.4</v>
          </cell>
          <cell r="Y62">
            <v>1</v>
          </cell>
          <cell r="Z62">
            <v>1</v>
          </cell>
          <cell r="AA62">
            <v>8</v>
          </cell>
          <cell r="AB62">
            <v>1</v>
          </cell>
          <cell r="AC62">
            <v>1</v>
          </cell>
          <cell r="AD62">
            <v>1</v>
          </cell>
          <cell r="AE62">
            <v>4</v>
          </cell>
          <cell r="AF62">
            <v>4</v>
          </cell>
          <cell r="AG62">
            <v>3</v>
          </cell>
          <cell r="AH62">
            <v>4</v>
          </cell>
        </row>
        <row r="63">
          <cell r="B63">
            <v>61</v>
          </cell>
          <cell r="D63">
            <v>7.2249999999999996</v>
          </cell>
          <cell r="J63" t="str">
            <v>214TT00055</v>
          </cell>
          <cell r="K63">
            <v>1.7930517961900001</v>
          </cell>
          <cell r="X63">
            <v>3.4</v>
          </cell>
          <cell r="Y63">
            <v>1</v>
          </cell>
          <cell r="Z63">
            <v>1</v>
          </cell>
          <cell r="AA63">
            <v>8</v>
          </cell>
          <cell r="AB63">
            <v>1</v>
          </cell>
          <cell r="AC63">
            <v>1</v>
          </cell>
          <cell r="AD63">
            <v>1</v>
          </cell>
          <cell r="AE63">
            <v>4</v>
          </cell>
          <cell r="AF63">
            <v>4</v>
          </cell>
          <cell r="AG63">
            <v>3</v>
          </cell>
          <cell r="AH63">
            <v>3</v>
          </cell>
        </row>
        <row r="64">
          <cell r="B64">
            <v>62</v>
          </cell>
          <cell r="D64">
            <v>7.0250000000000004</v>
          </cell>
          <cell r="J64" t="str">
            <v xml:space="preserve">Input VPROMMS: 212th00023 (65.71 pct); 212TH00023 (32.86 pct); 214TT00056 (1.43 pct); </v>
          </cell>
          <cell r="K64">
            <v>1.3066174005</v>
          </cell>
          <cell r="X64">
            <v>3.5</v>
          </cell>
          <cell r="Y64">
            <v>2</v>
          </cell>
          <cell r="Z64">
            <v>1</v>
          </cell>
          <cell r="AA64">
            <v>8</v>
          </cell>
          <cell r="AB64">
            <v>1</v>
          </cell>
          <cell r="AC64">
            <v>1</v>
          </cell>
          <cell r="AD64">
            <v>1</v>
          </cell>
          <cell r="AE64">
            <v>4</v>
          </cell>
          <cell r="AF64">
            <v>4</v>
          </cell>
          <cell r="AG64">
            <v>3</v>
          </cell>
          <cell r="AH64">
            <v>3</v>
          </cell>
        </row>
        <row r="65">
          <cell r="B65">
            <v>63</v>
          </cell>
          <cell r="J65" t="str">
            <v xml:space="preserve">Input VPROMMS: 214TT00064 (50.0 pct); 212th00038 (25.0 pct); QL45_1 (25.0 pct); </v>
          </cell>
          <cell r="K65">
            <v>4.1708868188999999E-2</v>
          </cell>
          <cell r="X65">
            <v>3.5</v>
          </cell>
          <cell r="Y65">
            <v>2</v>
          </cell>
          <cell r="Z65">
            <v>1</v>
          </cell>
          <cell r="AA65">
            <v>8</v>
          </cell>
          <cell r="AB65">
            <v>1</v>
          </cell>
          <cell r="AC65">
            <v>1</v>
          </cell>
          <cell r="AD65">
            <v>1</v>
          </cell>
          <cell r="AE65">
            <v>4</v>
          </cell>
          <cell r="AF65">
            <v>4</v>
          </cell>
          <cell r="AG65">
            <v>3</v>
          </cell>
          <cell r="AH65">
            <v>3</v>
          </cell>
        </row>
        <row r="66">
          <cell r="B66">
            <v>64</v>
          </cell>
          <cell r="D66">
            <v>8.3800000000000008</v>
          </cell>
          <cell r="J66" t="str">
            <v>214TT00064</v>
          </cell>
          <cell r="K66">
            <v>0.99229256207700001</v>
          </cell>
          <cell r="X66">
            <v>3.4</v>
          </cell>
          <cell r="Y66">
            <v>1</v>
          </cell>
          <cell r="Z66">
            <v>1</v>
          </cell>
          <cell r="AA66">
            <v>8</v>
          </cell>
          <cell r="AB66">
            <v>1</v>
          </cell>
          <cell r="AC66">
            <v>1</v>
          </cell>
          <cell r="AD66">
            <v>1</v>
          </cell>
          <cell r="AE66">
            <v>4</v>
          </cell>
          <cell r="AF66">
            <v>4</v>
          </cell>
          <cell r="AG66">
            <v>3</v>
          </cell>
          <cell r="AH66">
            <v>4</v>
          </cell>
        </row>
        <row r="67">
          <cell r="B67">
            <v>65</v>
          </cell>
          <cell r="D67">
            <v>9.4049999999999994</v>
          </cell>
          <cell r="J67" t="str">
            <v xml:space="preserve">Input VPROMMS: 212th00038 (50.0 pct); QL45_1 (50.0 pct); </v>
          </cell>
          <cell r="K67">
            <v>0.69774067649299998</v>
          </cell>
          <cell r="X67">
            <v>3.5</v>
          </cell>
          <cell r="Y67">
            <v>2</v>
          </cell>
          <cell r="Z67">
            <v>1</v>
          </cell>
          <cell r="AA67">
            <v>8</v>
          </cell>
          <cell r="AB67">
            <v>1</v>
          </cell>
          <cell r="AC67">
            <v>1</v>
          </cell>
          <cell r="AD67">
            <v>1</v>
          </cell>
          <cell r="AE67">
            <v>4</v>
          </cell>
          <cell r="AF67">
            <v>4</v>
          </cell>
          <cell r="AG67">
            <v>3</v>
          </cell>
          <cell r="AH67">
            <v>4</v>
          </cell>
        </row>
        <row r="68">
          <cell r="B68">
            <v>66</v>
          </cell>
          <cell r="D68">
            <v>10.199999999999999</v>
          </cell>
          <cell r="J68" t="str">
            <v xml:space="preserve">Input VPROMMS: 212th00038 (50.0 pct); QL45_1 (50.0 pct); </v>
          </cell>
          <cell r="K68">
            <v>1.3232032030600001</v>
          </cell>
          <cell r="X68">
            <v>3.5</v>
          </cell>
          <cell r="Y68">
            <v>2</v>
          </cell>
          <cell r="Z68">
            <v>1</v>
          </cell>
          <cell r="AA68">
            <v>8</v>
          </cell>
          <cell r="AB68">
            <v>1</v>
          </cell>
          <cell r="AC68">
            <v>1</v>
          </cell>
          <cell r="AD68">
            <v>1</v>
          </cell>
          <cell r="AE68">
            <v>4</v>
          </cell>
          <cell r="AF68">
            <v>4</v>
          </cell>
          <cell r="AG68">
            <v>3</v>
          </cell>
          <cell r="AH68">
            <v>4</v>
          </cell>
        </row>
        <row r="69">
          <cell r="B69">
            <v>67</v>
          </cell>
          <cell r="D69">
            <v>10.23</v>
          </cell>
          <cell r="J69" t="str">
            <v xml:space="preserve">Input VPROMMS: 212th00038 (46.67 pct); QL45_1 (46.67 pct); 214TT00064 (6.67 pct); </v>
          </cell>
          <cell r="K69">
            <v>0.26476407457099999</v>
          </cell>
          <cell r="X69">
            <v>3.5</v>
          </cell>
          <cell r="Y69">
            <v>2</v>
          </cell>
          <cell r="Z69">
            <v>1</v>
          </cell>
          <cell r="AA69">
            <v>8</v>
          </cell>
          <cell r="AB69">
            <v>1</v>
          </cell>
          <cell r="AC69">
            <v>1</v>
          </cell>
          <cell r="AD69">
            <v>1</v>
          </cell>
          <cell r="AE69">
            <v>4</v>
          </cell>
          <cell r="AF69">
            <v>4</v>
          </cell>
          <cell r="AG69">
            <v>3</v>
          </cell>
          <cell r="AH69">
            <v>4</v>
          </cell>
        </row>
        <row r="70">
          <cell r="B70">
            <v>68</v>
          </cell>
          <cell r="D70">
            <v>8.4049999999999994</v>
          </cell>
          <cell r="J70" t="str">
            <v>214TT00014</v>
          </cell>
          <cell r="K70">
            <v>3.1167622475300001</v>
          </cell>
          <cell r="X70">
            <v>3.4</v>
          </cell>
          <cell r="Y70">
            <v>1</v>
          </cell>
          <cell r="Z70">
            <v>1</v>
          </cell>
          <cell r="AA70">
            <v>8</v>
          </cell>
          <cell r="AB70">
            <v>1</v>
          </cell>
          <cell r="AC70">
            <v>1</v>
          </cell>
          <cell r="AD70">
            <v>1</v>
          </cell>
          <cell r="AE70">
            <v>4</v>
          </cell>
          <cell r="AF70">
            <v>4</v>
          </cell>
          <cell r="AG70">
            <v>3</v>
          </cell>
          <cell r="AH70">
            <v>4</v>
          </cell>
        </row>
        <row r="71">
          <cell r="B71">
            <v>69</v>
          </cell>
          <cell r="D71">
            <v>9.8949999999999996</v>
          </cell>
          <cell r="J71" t="str">
            <v xml:space="preserve">Input VPROMMS: QL45_1 (50.59 pct); 212th00038 (49.41 pct); </v>
          </cell>
          <cell r="K71">
            <v>1.5928561945199999</v>
          </cell>
          <cell r="X71">
            <v>3.5</v>
          </cell>
          <cell r="Y71">
            <v>2</v>
          </cell>
          <cell r="Z71">
            <v>1</v>
          </cell>
          <cell r="AA71">
            <v>8</v>
          </cell>
          <cell r="AB71">
            <v>1</v>
          </cell>
          <cell r="AC71">
            <v>1</v>
          </cell>
          <cell r="AD71">
            <v>1</v>
          </cell>
          <cell r="AE71">
            <v>4</v>
          </cell>
          <cell r="AF71">
            <v>4</v>
          </cell>
          <cell r="AG71">
            <v>3</v>
          </cell>
          <cell r="AH71">
            <v>4</v>
          </cell>
        </row>
        <row r="72">
          <cell r="B72">
            <v>70</v>
          </cell>
          <cell r="D72">
            <v>8.3000000000000007</v>
          </cell>
          <cell r="J72" t="str">
            <v xml:space="preserve">Input VPROMMS: QL45_1 (39.13 pct); 212th00038 (36.96 pct); 214TT00068 (15.22 pct); 214TT00069 (4.35 pct); 214TT00067 (4.35 pct); </v>
          </cell>
          <cell r="K72">
            <v>0.54453934367200008</v>
          </cell>
          <cell r="X72">
            <v>3.5</v>
          </cell>
          <cell r="Y72">
            <v>2</v>
          </cell>
          <cell r="Z72">
            <v>1</v>
          </cell>
          <cell r="AA72">
            <v>8</v>
          </cell>
          <cell r="AB72">
            <v>1</v>
          </cell>
          <cell r="AC72">
            <v>1</v>
          </cell>
          <cell r="AD72">
            <v>1</v>
          </cell>
          <cell r="AE72">
            <v>4</v>
          </cell>
          <cell r="AF72">
            <v>4</v>
          </cell>
          <cell r="AG72">
            <v>3</v>
          </cell>
          <cell r="AH72">
            <v>4</v>
          </cell>
        </row>
        <row r="73">
          <cell r="B73">
            <v>71</v>
          </cell>
          <cell r="D73">
            <v>7.28</v>
          </cell>
          <cell r="J73" t="str">
            <v xml:space="preserve">Input VPROMMS: 217B_1 (50.0 pct); 217b_1 (49.06 pct); 214tt00078 (0.94 pct); </v>
          </cell>
          <cell r="K73">
            <v>2.8477270166999999</v>
          </cell>
          <cell r="X73">
            <v>3.5</v>
          </cell>
          <cell r="Y73">
            <v>2</v>
          </cell>
          <cell r="Z73">
            <v>1</v>
          </cell>
          <cell r="AA73">
            <v>8</v>
          </cell>
          <cell r="AB73">
            <v>1</v>
          </cell>
          <cell r="AC73">
            <v>1</v>
          </cell>
          <cell r="AD73">
            <v>1</v>
          </cell>
          <cell r="AE73">
            <v>4</v>
          </cell>
          <cell r="AF73">
            <v>4</v>
          </cell>
          <cell r="AG73">
            <v>3</v>
          </cell>
          <cell r="AH73">
            <v>3</v>
          </cell>
        </row>
        <row r="74">
          <cell r="B74">
            <v>72</v>
          </cell>
          <cell r="D74">
            <v>8.93</v>
          </cell>
          <cell r="J74" t="str">
            <v>212TH00036</v>
          </cell>
          <cell r="K74">
            <v>4.3110965499400002</v>
          </cell>
          <cell r="X74">
            <v>4.3</v>
          </cell>
          <cell r="Y74">
            <v>3</v>
          </cell>
          <cell r="Z74">
            <v>3</v>
          </cell>
          <cell r="AA74">
            <v>8</v>
          </cell>
          <cell r="AB74">
            <v>1</v>
          </cell>
          <cell r="AC74">
            <v>1</v>
          </cell>
          <cell r="AD74">
            <v>1</v>
          </cell>
          <cell r="AE74">
            <v>4</v>
          </cell>
          <cell r="AF74">
            <v>8</v>
          </cell>
          <cell r="AG74">
            <v>3</v>
          </cell>
          <cell r="AH74">
            <v>4</v>
          </cell>
        </row>
        <row r="75">
          <cell r="B75">
            <v>73</v>
          </cell>
          <cell r="D75">
            <v>8.8849999999999998</v>
          </cell>
          <cell r="J75" t="str">
            <v>214TT00058</v>
          </cell>
          <cell r="K75">
            <v>1.97315446011</v>
          </cell>
          <cell r="X75">
            <v>3.4</v>
          </cell>
          <cell r="Y75">
            <v>1</v>
          </cell>
          <cell r="Z75">
            <v>1</v>
          </cell>
          <cell r="AA75">
            <v>8</v>
          </cell>
          <cell r="AB75">
            <v>1</v>
          </cell>
          <cell r="AC75">
            <v>1</v>
          </cell>
          <cell r="AD75">
            <v>1</v>
          </cell>
          <cell r="AE75">
            <v>4</v>
          </cell>
          <cell r="AF75">
            <v>4</v>
          </cell>
          <cell r="AG75">
            <v>3</v>
          </cell>
          <cell r="AH75">
            <v>4</v>
          </cell>
        </row>
        <row r="76">
          <cell r="B76">
            <v>74</v>
          </cell>
          <cell r="D76">
            <v>6.72</v>
          </cell>
          <cell r="J76" t="str">
            <v xml:space="preserve">Input VPROMMS: 212th00023 (61.54 pct); 212TH00023 (30.77 pct); 214TT00056 (7.69 pct); </v>
          </cell>
          <cell r="K76">
            <v>0.23458030134300001</v>
          </cell>
          <cell r="X76">
            <v>3.5</v>
          </cell>
          <cell r="Y76">
            <v>2</v>
          </cell>
          <cell r="Z76">
            <v>1</v>
          </cell>
          <cell r="AA76">
            <v>8</v>
          </cell>
          <cell r="AB76">
            <v>1</v>
          </cell>
          <cell r="AC76">
            <v>1</v>
          </cell>
          <cell r="AD76">
            <v>1</v>
          </cell>
          <cell r="AE76">
            <v>4</v>
          </cell>
          <cell r="AF76">
            <v>4</v>
          </cell>
          <cell r="AG76">
            <v>3</v>
          </cell>
          <cell r="AH76">
            <v>3</v>
          </cell>
        </row>
        <row r="77">
          <cell r="B77">
            <v>75</v>
          </cell>
          <cell r="D77">
            <v>7.27</v>
          </cell>
          <cell r="J77" t="str">
            <v xml:space="preserve">Input VPROMMS: 214TT00069 (53.33 pct); 214TT00066 (43.33 pct); 214TT00067 (3.33 pct); </v>
          </cell>
          <cell r="K77">
            <v>0.56924715112099999</v>
          </cell>
          <cell r="X77">
            <v>3.5</v>
          </cell>
          <cell r="Y77">
            <v>2</v>
          </cell>
          <cell r="Z77">
            <v>1</v>
          </cell>
          <cell r="AA77">
            <v>8</v>
          </cell>
          <cell r="AB77">
            <v>1</v>
          </cell>
          <cell r="AC77">
            <v>1</v>
          </cell>
          <cell r="AD77">
            <v>1</v>
          </cell>
          <cell r="AE77">
            <v>4</v>
          </cell>
          <cell r="AF77">
            <v>4</v>
          </cell>
          <cell r="AG77">
            <v>3</v>
          </cell>
          <cell r="AH77">
            <v>3</v>
          </cell>
        </row>
        <row r="78">
          <cell r="B78">
            <v>76</v>
          </cell>
          <cell r="D78">
            <v>8.8849999999999998</v>
          </cell>
          <cell r="J78" t="str">
            <v>214TT00058</v>
          </cell>
          <cell r="K78">
            <v>0.25509825235</v>
          </cell>
          <cell r="X78">
            <v>3.4</v>
          </cell>
          <cell r="Y78">
            <v>1</v>
          </cell>
          <cell r="Z78">
            <v>1</v>
          </cell>
          <cell r="AA78">
            <v>8</v>
          </cell>
          <cell r="AB78">
            <v>1</v>
          </cell>
          <cell r="AC78">
            <v>1</v>
          </cell>
          <cell r="AD78">
            <v>1</v>
          </cell>
          <cell r="AE78">
            <v>4</v>
          </cell>
          <cell r="AF78">
            <v>4</v>
          </cell>
          <cell r="AG78">
            <v>3</v>
          </cell>
          <cell r="AH78">
            <v>4</v>
          </cell>
        </row>
        <row r="79">
          <cell r="B79">
            <v>77</v>
          </cell>
          <cell r="D79">
            <v>16.010000000000002</v>
          </cell>
          <cell r="J79" t="str">
            <v>214TT00056</v>
          </cell>
          <cell r="K79">
            <v>0.41138180101400001</v>
          </cell>
          <cell r="X79">
            <v>3.4</v>
          </cell>
          <cell r="Y79">
            <v>1</v>
          </cell>
          <cell r="Z79">
            <v>1</v>
          </cell>
          <cell r="AA79">
            <v>8</v>
          </cell>
          <cell r="AB79">
            <v>1</v>
          </cell>
          <cell r="AC79">
            <v>1</v>
          </cell>
          <cell r="AD79">
            <v>1</v>
          </cell>
          <cell r="AE79">
            <v>4</v>
          </cell>
          <cell r="AF79">
            <v>4</v>
          </cell>
          <cell r="AG79">
            <v>3</v>
          </cell>
          <cell r="AH79">
            <v>5</v>
          </cell>
        </row>
        <row r="80">
          <cell r="B80">
            <v>78</v>
          </cell>
          <cell r="D80">
            <v>6.77</v>
          </cell>
          <cell r="J80" t="str">
            <v xml:space="preserve">Input VPROMMS: 212th00023 (66.17 pct); 212TH00023 (33.08 pct); 214TT00060 (0.75 pct); </v>
          </cell>
          <cell r="K80">
            <v>2.57526457167</v>
          </cell>
          <cell r="X80">
            <v>3.5</v>
          </cell>
          <cell r="Y80">
            <v>2</v>
          </cell>
          <cell r="Z80">
            <v>1</v>
          </cell>
          <cell r="AA80">
            <v>8</v>
          </cell>
          <cell r="AB80">
            <v>1</v>
          </cell>
          <cell r="AC80">
            <v>1</v>
          </cell>
          <cell r="AD80">
            <v>1</v>
          </cell>
          <cell r="AE80">
            <v>4</v>
          </cell>
          <cell r="AF80">
            <v>4</v>
          </cell>
          <cell r="AG80">
            <v>3</v>
          </cell>
          <cell r="AH80">
            <v>3</v>
          </cell>
        </row>
        <row r="81">
          <cell r="B81">
            <v>79</v>
          </cell>
          <cell r="D81">
            <v>8.5350000000000001</v>
          </cell>
          <cell r="J81" t="str">
            <v xml:space="preserve">Input VPROMMS: 214TT00065 (55.78 pct); 214TT00013 (30.61 pct); 214TT00063 (12.93 pct); 214tt00062 (0.68 pct); </v>
          </cell>
          <cell r="K81">
            <v>5.8697382450099989</v>
          </cell>
          <cell r="X81">
            <v>3.5</v>
          </cell>
          <cell r="Y81">
            <v>2</v>
          </cell>
          <cell r="Z81">
            <v>1</v>
          </cell>
          <cell r="AA81">
            <v>8</v>
          </cell>
          <cell r="AB81">
            <v>1</v>
          </cell>
          <cell r="AC81">
            <v>1</v>
          </cell>
          <cell r="AD81">
            <v>1</v>
          </cell>
          <cell r="AE81">
            <v>4</v>
          </cell>
          <cell r="AF81">
            <v>4</v>
          </cell>
          <cell r="AG81">
            <v>3</v>
          </cell>
          <cell r="AH81">
            <v>4</v>
          </cell>
        </row>
        <row r="82">
          <cell r="B82">
            <v>80</v>
          </cell>
          <cell r="D82">
            <v>13.12</v>
          </cell>
          <cell r="J82" t="str">
            <v>214TT00056</v>
          </cell>
          <cell r="K82">
            <v>1.86540513759</v>
          </cell>
          <cell r="X82">
            <v>3.4</v>
          </cell>
          <cell r="Y82">
            <v>1</v>
          </cell>
          <cell r="Z82">
            <v>1</v>
          </cell>
          <cell r="AA82">
            <v>8</v>
          </cell>
          <cell r="AB82">
            <v>1</v>
          </cell>
          <cell r="AC82">
            <v>1</v>
          </cell>
          <cell r="AD82">
            <v>1</v>
          </cell>
          <cell r="AE82">
            <v>4</v>
          </cell>
          <cell r="AF82">
            <v>4</v>
          </cell>
          <cell r="AG82">
            <v>3</v>
          </cell>
          <cell r="AH82">
            <v>5</v>
          </cell>
        </row>
        <row r="83">
          <cell r="B83">
            <v>81</v>
          </cell>
          <cell r="D83">
            <v>13.18</v>
          </cell>
          <cell r="J83" t="str">
            <v>214TT00011</v>
          </cell>
          <cell r="K83">
            <v>2.0661166032799998</v>
          </cell>
          <cell r="X83">
            <v>3.4</v>
          </cell>
          <cell r="Y83">
            <v>1</v>
          </cell>
          <cell r="Z83">
            <v>1</v>
          </cell>
          <cell r="AA83">
            <v>8</v>
          </cell>
          <cell r="AB83">
            <v>1</v>
          </cell>
          <cell r="AC83">
            <v>1</v>
          </cell>
          <cell r="AD83">
            <v>1</v>
          </cell>
          <cell r="AE83">
            <v>4</v>
          </cell>
          <cell r="AF83">
            <v>4</v>
          </cell>
          <cell r="AG83">
            <v>3</v>
          </cell>
          <cell r="AH83">
            <v>5</v>
          </cell>
        </row>
        <row r="84">
          <cell r="B84">
            <v>82</v>
          </cell>
          <cell r="D84">
            <v>6.49</v>
          </cell>
          <cell r="J84" t="str">
            <v>214TT00070</v>
          </cell>
          <cell r="K84">
            <v>0.85115387670800002</v>
          </cell>
          <cell r="X84">
            <v>3.4</v>
          </cell>
          <cell r="Y84">
            <v>1</v>
          </cell>
          <cell r="Z84">
            <v>1</v>
          </cell>
          <cell r="AA84">
            <v>8</v>
          </cell>
          <cell r="AB84">
            <v>1</v>
          </cell>
          <cell r="AC84">
            <v>1</v>
          </cell>
          <cell r="AD84">
            <v>1</v>
          </cell>
          <cell r="AE84">
            <v>4</v>
          </cell>
          <cell r="AF84">
            <v>4</v>
          </cell>
          <cell r="AG84">
            <v>3</v>
          </cell>
          <cell r="AH84">
            <v>3</v>
          </cell>
        </row>
        <row r="85">
          <cell r="B85">
            <v>83</v>
          </cell>
          <cell r="D85">
            <v>8.86</v>
          </cell>
          <cell r="J85" t="str">
            <v xml:space="preserve">Input VPROMMS: 214TT00069 (55.56 pct); 214TT00066 (33.33 pct); 214TT00070 (11.11 pct); </v>
          </cell>
          <cell r="K85">
            <v>0.16644158835199999</v>
          </cell>
          <cell r="X85">
            <v>3.5</v>
          </cell>
          <cell r="Y85">
            <v>2</v>
          </cell>
          <cell r="Z85">
            <v>1</v>
          </cell>
          <cell r="AA85">
            <v>8</v>
          </cell>
          <cell r="AB85">
            <v>1</v>
          </cell>
          <cell r="AC85">
            <v>1</v>
          </cell>
          <cell r="AD85">
            <v>1</v>
          </cell>
          <cell r="AE85">
            <v>4</v>
          </cell>
          <cell r="AF85">
            <v>4</v>
          </cell>
          <cell r="AG85">
            <v>3</v>
          </cell>
          <cell r="AH85">
            <v>4</v>
          </cell>
        </row>
        <row r="86">
          <cell r="B86">
            <v>84</v>
          </cell>
          <cell r="D86">
            <v>8.0299999999999994</v>
          </cell>
          <cell r="J86" t="str">
            <v>214TT00068</v>
          </cell>
          <cell r="K86">
            <v>1.39909133953E-2</v>
          </cell>
          <cell r="X86">
            <v>3.4</v>
          </cell>
          <cell r="Y86">
            <v>1</v>
          </cell>
          <cell r="Z86">
            <v>1</v>
          </cell>
          <cell r="AA86">
            <v>8</v>
          </cell>
          <cell r="AB86">
            <v>1</v>
          </cell>
          <cell r="AC86">
            <v>1</v>
          </cell>
          <cell r="AD86">
            <v>1</v>
          </cell>
          <cell r="AE86">
            <v>4</v>
          </cell>
          <cell r="AF86">
            <v>4</v>
          </cell>
          <cell r="AG86">
            <v>3</v>
          </cell>
          <cell r="AH86">
            <v>4</v>
          </cell>
        </row>
        <row r="87">
          <cell r="B87">
            <v>85</v>
          </cell>
          <cell r="D87">
            <v>8.2799999999999994</v>
          </cell>
          <cell r="J87" t="str">
            <v>214TT00068</v>
          </cell>
          <cell r="K87">
            <v>0.36722433532900001</v>
          </cell>
          <cell r="X87">
            <v>3.4</v>
          </cell>
          <cell r="Y87">
            <v>1</v>
          </cell>
          <cell r="Z87">
            <v>1</v>
          </cell>
          <cell r="AA87">
            <v>8</v>
          </cell>
          <cell r="AB87">
            <v>1</v>
          </cell>
          <cell r="AC87">
            <v>1</v>
          </cell>
          <cell r="AD87">
            <v>1</v>
          </cell>
          <cell r="AE87">
            <v>4</v>
          </cell>
          <cell r="AF87">
            <v>4</v>
          </cell>
          <cell r="AG87">
            <v>3</v>
          </cell>
          <cell r="AH87">
            <v>4</v>
          </cell>
        </row>
        <row r="88">
          <cell r="B88">
            <v>86</v>
          </cell>
          <cell r="D88">
            <v>8.98</v>
          </cell>
          <cell r="J88" t="str">
            <v>214TT00070</v>
          </cell>
          <cell r="K88">
            <v>1.3416233179299999</v>
          </cell>
          <cell r="X88">
            <v>3.4</v>
          </cell>
          <cell r="Y88">
            <v>1</v>
          </cell>
          <cell r="Z88">
            <v>1</v>
          </cell>
          <cell r="AA88">
            <v>8</v>
          </cell>
          <cell r="AB88">
            <v>1</v>
          </cell>
          <cell r="AC88">
            <v>1</v>
          </cell>
          <cell r="AD88">
            <v>1</v>
          </cell>
          <cell r="AE88">
            <v>4</v>
          </cell>
          <cell r="AF88">
            <v>4</v>
          </cell>
          <cell r="AG88">
            <v>3</v>
          </cell>
          <cell r="AH88">
            <v>4</v>
          </cell>
        </row>
        <row r="89">
          <cell r="B89">
            <v>87</v>
          </cell>
          <cell r="D89">
            <v>8.5950000000000006</v>
          </cell>
          <cell r="J89" t="str">
            <v>214TT00063</v>
          </cell>
          <cell r="K89">
            <v>1.14417675313</v>
          </cell>
          <cell r="X89">
            <v>3.4</v>
          </cell>
          <cell r="Y89">
            <v>1</v>
          </cell>
          <cell r="Z89">
            <v>1</v>
          </cell>
          <cell r="AA89">
            <v>8</v>
          </cell>
          <cell r="AB89">
            <v>1</v>
          </cell>
          <cell r="AC89">
            <v>1</v>
          </cell>
          <cell r="AD89">
            <v>1</v>
          </cell>
          <cell r="AE89">
            <v>4</v>
          </cell>
          <cell r="AF89">
            <v>4</v>
          </cell>
          <cell r="AG89">
            <v>3</v>
          </cell>
          <cell r="AH89">
            <v>4</v>
          </cell>
        </row>
        <row r="90">
          <cell r="B90">
            <v>88</v>
          </cell>
          <cell r="D90">
            <v>7.7949999999999999</v>
          </cell>
          <cell r="J90" t="str">
            <v>214TT00069</v>
          </cell>
          <cell r="K90">
            <v>1.57397944819</v>
          </cell>
          <cell r="X90">
            <v>3.4</v>
          </cell>
          <cell r="Y90">
            <v>1</v>
          </cell>
          <cell r="Z90">
            <v>1</v>
          </cell>
          <cell r="AA90">
            <v>8</v>
          </cell>
          <cell r="AB90">
            <v>1</v>
          </cell>
          <cell r="AC90">
            <v>1</v>
          </cell>
          <cell r="AD90">
            <v>1</v>
          </cell>
          <cell r="AE90">
            <v>4</v>
          </cell>
          <cell r="AF90">
            <v>4</v>
          </cell>
          <cell r="AG90">
            <v>3</v>
          </cell>
          <cell r="AH90">
            <v>3</v>
          </cell>
        </row>
        <row r="91">
          <cell r="B91">
            <v>89</v>
          </cell>
          <cell r="D91">
            <v>8.64</v>
          </cell>
          <cell r="J91" t="str">
            <v>214TT00066</v>
          </cell>
          <cell r="K91">
            <v>0.55459484454899999</v>
          </cell>
          <cell r="X91">
            <v>3.4</v>
          </cell>
          <cell r="Y91">
            <v>1</v>
          </cell>
          <cell r="Z91">
            <v>1</v>
          </cell>
          <cell r="AA91">
            <v>8</v>
          </cell>
          <cell r="AB91">
            <v>1</v>
          </cell>
          <cell r="AC91">
            <v>1</v>
          </cell>
          <cell r="AD91">
            <v>1</v>
          </cell>
          <cell r="AE91">
            <v>4</v>
          </cell>
          <cell r="AF91">
            <v>4</v>
          </cell>
          <cell r="AG91">
            <v>3</v>
          </cell>
          <cell r="AH91">
            <v>4</v>
          </cell>
        </row>
        <row r="92">
          <cell r="B92">
            <v>90</v>
          </cell>
          <cell r="D92">
            <v>8.2200000000000006</v>
          </cell>
          <cell r="J92" t="str">
            <v>214TT00066</v>
          </cell>
          <cell r="K92">
            <v>0.76561762370900011</v>
          </cell>
          <cell r="X92">
            <v>3.4</v>
          </cell>
          <cell r="Y92">
            <v>1</v>
          </cell>
          <cell r="Z92">
            <v>1</v>
          </cell>
          <cell r="AA92">
            <v>8</v>
          </cell>
          <cell r="AB92">
            <v>1</v>
          </cell>
          <cell r="AC92">
            <v>1</v>
          </cell>
          <cell r="AD92">
            <v>1</v>
          </cell>
          <cell r="AE92">
            <v>4</v>
          </cell>
          <cell r="AF92">
            <v>4</v>
          </cell>
          <cell r="AG92">
            <v>3</v>
          </cell>
          <cell r="AH92">
            <v>4</v>
          </cell>
        </row>
        <row r="93">
          <cell r="B93">
            <v>91</v>
          </cell>
          <cell r="D93">
            <v>11.045</v>
          </cell>
          <cell r="J93" t="str">
            <v xml:space="preserve">Input VPROMMS: QL45_2 (47.17 pct); ql45_1 (47.17 pct); 214tt00103 (3.77 pct); 214TT00010 (1.89 pct); </v>
          </cell>
          <cell r="K93">
            <v>1.7491306369699999</v>
          </cell>
          <cell r="X93">
            <v>3.5</v>
          </cell>
          <cell r="Y93">
            <v>2</v>
          </cell>
          <cell r="Z93">
            <v>1</v>
          </cell>
          <cell r="AA93">
            <v>8</v>
          </cell>
          <cell r="AB93">
            <v>1</v>
          </cell>
          <cell r="AC93">
            <v>1</v>
          </cell>
          <cell r="AD93">
            <v>1</v>
          </cell>
          <cell r="AE93">
            <v>4</v>
          </cell>
          <cell r="AF93">
            <v>4</v>
          </cell>
          <cell r="AG93">
            <v>3</v>
          </cell>
          <cell r="AH93">
            <v>4</v>
          </cell>
        </row>
        <row r="94">
          <cell r="B94">
            <v>92</v>
          </cell>
          <cell r="D94">
            <v>11.27</v>
          </cell>
          <cell r="J94" t="str">
            <v xml:space="preserve">Input VPROMMS: ql45_1 (53.13 pct); QL45_2 (43.75 pct); 214TT00066 (3.13 pct); </v>
          </cell>
          <cell r="K94">
            <v>1.1623483185600001</v>
          </cell>
          <cell r="X94">
            <v>3.5</v>
          </cell>
          <cell r="Y94">
            <v>2</v>
          </cell>
          <cell r="Z94">
            <v>1</v>
          </cell>
          <cell r="AA94">
            <v>8</v>
          </cell>
          <cell r="AB94">
            <v>1</v>
          </cell>
          <cell r="AC94">
            <v>1</v>
          </cell>
          <cell r="AD94">
            <v>1</v>
          </cell>
          <cell r="AE94">
            <v>4</v>
          </cell>
          <cell r="AF94">
            <v>4</v>
          </cell>
          <cell r="AG94">
            <v>3</v>
          </cell>
          <cell r="AH94">
            <v>4</v>
          </cell>
        </row>
        <row r="95">
          <cell r="B95">
            <v>93</v>
          </cell>
          <cell r="D95">
            <v>7.07</v>
          </cell>
          <cell r="J95" t="str">
            <v>214TT00060</v>
          </cell>
          <cell r="K95">
            <v>1.31027731492</v>
          </cell>
          <cell r="X95">
            <v>3.4</v>
          </cell>
          <cell r="Y95">
            <v>1</v>
          </cell>
          <cell r="Z95">
            <v>1</v>
          </cell>
          <cell r="AA95">
            <v>8</v>
          </cell>
          <cell r="AB95">
            <v>1</v>
          </cell>
          <cell r="AC95">
            <v>1</v>
          </cell>
          <cell r="AD95">
            <v>1</v>
          </cell>
          <cell r="AE95">
            <v>4</v>
          </cell>
          <cell r="AF95">
            <v>4</v>
          </cell>
          <cell r="AG95">
            <v>3</v>
          </cell>
          <cell r="AH95">
            <v>3</v>
          </cell>
        </row>
        <row r="96">
          <cell r="B96">
            <v>94</v>
          </cell>
          <cell r="D96">
            <v>8.2050000000000001</v>
          </cell>
          <cell r="J96" t="str">
            <v>214tt00102</v>
          </cell>
          <cell r="K96">
            <v>1.8913737551300001</v>
          </cell>
          <cell r="X96">
            <v>3.4</v>
          </cell>
          <cell r="Y96">
            <v>1</v>
          </cell>
          <cell r="Z96">
            <v>1</v>
          </cell>
          <cell r="AA96">
            <v>8</v>
          </cell>
          <cell r="AB96">
            <v>1</v>
          </cell>
          <cell r="AC96">
            <v>1</v>
          </cell>
          <cell r="AD96">
            <v>1</v>
          </cell>
          <cell r="AE96">
            <v>4</v>
          </cell>
          <cell r="AF96">
            <v>4</v>
          </cell>
          <cell r="AG96">
            <v>3</v>
          </cell>
          <cell r="AH96">
            <v>4</v>
          </cell>
        </row>
        <row r="97">
          <cell r="B97">
            <v>95</v>
          </cell>
          <cell r="D97">
            <v>9.4250000000000007</v>
          </cell>
          <cell r="J97" t="str">
            <v>214TT00060</v>
          </cell>
          <cell r="K97">
            <v>1.70839084459</v>
          </cell>
          <cell r="X97">
            <v>3.4</v>
          </cell>
          <cell r="Y97">
            <v>1</v>
          </cell>
          <cell r="Z97">
            <v>1</v>
          </cell>
          <cell r="AA97">
            <v>8</v>
          </cell>
          <cell r="AB97">
            <v>1</v>
          </cell>
          <cell r="AC97">
            <v>1</v>
          </cell>
          <cell r="AD97">
            <v>1</v>
          </cell>
          <cell r="AE97">
            <v>4</v>
          </cell>
          <cell r="AF97">
            <v>4</v>
          </cell>
          <cell r="AG97">
            <v>3</v>
          </cell>
          <cell r="AH97">
            <v>4</v>
          </cell>
        </row>
        <row r="98">
          <cell r="B98">
            <v>96</v>
          </cell>
          <cell r="D98">
            <v>6.87</v>
          </cell>
          <cell r="J98" t="str">
            <v xml:space="preserve">Input VPROMMS: 212th00023 (63.64 pct); 212TH00023 (31.82 pct); 214TT00060 (4.55 pct); </v>
          </cell>
          <cell r="K98">
            <v>0.31156169267400002</v>
          </cell>
          <cell r="X98">
            <v>3.5</v>
          </cell>
          <cell r="Y98">
            <v>2</v>
          </cell>
          <cell r="Z98">
            <v>1</v>
          </cell>
          <cell r="AA98">
            <v>8</v>
          </cell>
          <cell r="AB98">
            <v>1</v>
          </cell>
          <cell r="AC98">
            <v>1</v>
          </cell>
          <cell r="AD98">
            <v>1</v>
          </cell>
          <cell r="AE98">
            <v>4</v>
          </cell>
          <cell r="AF98">
            <v>4</v>
          </cell>
          <cell r="AG98">
            <v>3</v>
          </cell>
          <cell r="AH98">
            <v>3</v>
          </cell>
        </row>
        <row r="99">
          <cell r="B99">
            <v>97</v>
          </cell>
          <cell r="D99">
            <v>6.62</v>
          </cell>
          <cell r="J99" t="str">
            <v>214tt00102</v>
          </cell>
          <cell r="K99">
            <v>0.68149930172900008</v>
          </cell>
          <cell r="X99">
            <v>3.4</v>
          </cell>
          <cell r="Y99">
            <v>1</v>
          </cell>
          <cell r="Z99">
            <v>1</v>
          </cell>
          <cell r="AA99">
            <v>8</v>
          </cell>
          <cell r="AB99">
            <v>1</v>
          </cell>
          <cell r="AC99">
            <v>1</v>
          </cell>
          <cell r="AD99">
            <v>1</v>
          </cell>
          <cell r="AE99">
            <v>4</v>
          </cell>
          <cell r="AF99">
            <v>4</v>
          </cell>
          <cell r="AG99">
            <v>3</v>
          </cell>
          <cell r="AH99">
            <v>3</v>
          </cell>
        </row>
        <row r="100">
          <cell r="B100">
            <v>98</v>
          </cell>
          <cell r="D100">
            <v>9.8550000000000004</v>
          </cell>
          <cell r="J100" t="str">
            <v>214TT00059</v>
          </cell>
          <cell r="K100">
            <v>1.1772748098200001</v>
          </cell>
          <cell r="X100">
            <v>3.4</v>
          </cell>
          <cell r="Y100">
            <v>1</v>
          </cell>
          <cell r="Z100">
            <v>1</v>
          </cell>
          <cell r="AA100">
            <v>8</v>
          </cell>
          <cell r="AB100">
            <v>1</v>
          </cell>
          <cell r="AC100">
            <v>1</v>
          </cell>
          <cell r="AD100">
            <v>1</v>
          </cell>
          <cell r="AE100">
            <v>4</v>
          </cell>
          <cell r="AF100">
            <v>4</v>
          </cell>
          <cell r="AG100">
            <v>3</v>
          </cell>
          <cell r="AH100">
            <v>4</v>
          </cell>
        </row>
        <row r="101">
          <cell r="B101">
            <v>99</v>
          </cell>
          <cell r="D101">
            <v>8.61</v>
          </cell>
          <cell r="J101" t="str">
            <v xml:space="preserve">Input VPROMMS: 217b_1 (46.67 pct); 217B_1 (46.67 pct); 214tt00078 (6.67 pct); </v>
          </cell>
          <cell r="K101">
            <v>0.34134279319600003</v>
          </cell>
          <cell r="X101">
            <v>3.5</v>
          </cell>
          <cell r="Y101">
            <v>2</v>
          </cell>
          <cell r="Z101">
            <v>1</v>
          </cell>
          <cell r="AA101">
            <v>8</v>
          </cell>
          <cell r="AB101">
            <v>1</v>
          </cell>
          <cell r="AC101">
            <v>1</v>
          </cell>
          <cell r="AD101">
            <v>1</v>
          </cell>
          <cell r="AE101">
            <v>4</v>
          </cell>
          <cell r="AF101">
            <v>4</v>
          </cell>
          <cell r="AG101">
            <v>3</v>
          </cell>
          <cell r="AH101">
            <v>4</v>
          </cell>
        </row>
        <row r="102">
          <cell r="B102">
            <v>100</v>
          </cell>
          <cell r="D102">
            <v>10.9</v>
          </cell>
          <cell r="J102" t="str">
            <v xml:space="preserve">Input VPROMMS: 214tt00080 (52.38 pct); 214tt00078 (42.26 pct); 214tt00024 (5.36 pct); </v>
          </cell>
          <cell r="K102">
            <v>5.6062003493099999</v>
          </cell>
          <cell r="X102">
            <v>3.5</v>
          </cell>
          <cell r="Y102">
            <v>2</v>
          </cell>
          <cell r="Z102">
            <v>1</v>
          </cell>
          <cell r="AA102">
            <v>8</v>
          </cell>
          <cell r="AB102">
            <v>1</v>
          </cell>
          <cell r="AC102">
            <v>1</v>
          </cell>
          <cell r="AD102">
            <v>1</v>
          </cell>
          <cell r="AE102">
            <v>4</v>
          </cell>
          <cell r="AF102">
            <v>4</v>
          </cell>
          <cell r="AG102">
            <v>3</v>
          </cell>
          <cell r="AH102">
            <v>4</v>
          </cell>
        </row>
        <row r="103">
          <cell r="B103">
            <v>101</v>
          </cell>
          <cell r="D103">
            <v>6.03</v>
          </cell>
          <cell r="J103" t="str">
            <v xml:space="preserve">Input VPROMMS: 212th00023 (64.52 pct); 212TH00023 (32.26 pct); 214TT00058 (3.23 pct); </v>
          </cell>
          <cell r="K103">
            <v>0.38592723878599999</v>
          </cell>
          <cell r="X103">
            <v>3.5</v>
          </cell>
          <cell r="Y103">
            <v>2</v>
          </cell>
          <cell r="Z103">
            <v>1</v>
          </cell>
          <cell r="AA103">
            <v>8</v>
          </cell>
          <cell r="AB103">
            <v>1</v>
          </cell>
          <cell r="AC103">
            <v>1</v>
          </cell>
          <cell r="AD103">
            <v>1</v>
          </cell>
          <cell r="AE103">
            <v>4</v>
          </cell>
          <cell r="AF103">
            <v>4</v>
          </cell>
          <cell r="AG103">
            <v>3</v>
          </cell>
          <cell r="AH103">
            <v>3</v>
          </cell>
        </row>
        <row r="104">
          <cell r="B104">
            <v>102</v>
          </cell>
          <cell r="D104">
            <v>6.7750000000000004</v>
          </cell>
          <cell r="J104" t="str">
            <v xml:space="preserve">Input VPROMMS: 217b_1 (49.55 pct); 217B_1 (49.55 pct); 214tt00025 (0.9 pct); </v>
          </cell>
          <cell r="K104">
            <v>2.6201283485300002</v>
          </cell>
          <cell r="X104">
            <v>3.5</v>
          </cell>
          <cell r="Y104">
            <v>2</v>
          </cell>
          <cell r="Z104">
            <v>1</v>
          </cell>
          <cell r="AA104">
            <v>8</v>
          </cell>
          <cell r="AB104">
            <v>1</v>
          </cell>
          <cell r="AC104">
            <v>1</v>
          </cell>
          <cell r="AD104">
            <v>1</v>
          </cell>
          <cell r="AE104">
            <v>4</v>
          </cell>
          <cell r="AF104">
            <v>4</v>
          </cell>
          <cell r="AG104">
            <v>3</v>
          </cell>
          <cell r="AH104">
            <v>3</v>
          </cell>
        </row>
        <row r="105">
          <cell r="B105">
            <v>103</v>
          </cell>
          <cell r="D105">
            <v>7.7249999999999996</v>
          </cell>
          <cell r="J105" t="str">
            <v xml:space="preserve">Input VPROMMS: 212th00023 (66.67 pct); 212TH00023 (33.33 pct); </v>
          </cell>
          <cell r="K105">
            <v>1.3750206570000001</v>
          </cell>
          <cell r="X105">
            <v>3.5</v>
          </cell>
          <cell r="Y105">
            <v>2</v>
          </cell>
          <cell r="Z105">
            <v>1</v>
          </cell>
          <cell r="AA105">
            <v>8</v>
          </cell>
          <cell r="AB105">
            <v>1</v>
          </cell>
          <cell r="AC105">
            <v>1</v>
          </cell>
          <cell r="AD105">
            <v>1</v>
          </cell>
          <cell r="AE105">
            <v>4</v>
          </cell>
          <cell r="AF105">
            <v>4</v>
          </cell>
          <cell r="AG105">
            <v>3</v>
          </cell>
          <cell r="AH105">
            <v>3</v>
          </cell>
        </row>
        <row r="106">
          <cell r="B106">
            <v>104</v>
          </cell>
          <cell r="D106">
            <v>7.33</v>
          </cell>
          <cell r="J106" t="str">
            <v xml:space="preserve">Input VPROMMS: 214TT00010 (72.73 pct); 214tt00103 (27.27 pct); </v>
          </cell>
          <cell r="K106">
            <v>0.204383745654</v>
          </cell>
          <cell r="X106">
            <v>3.5</v>
          </cell>
          <cell r="Y106">
            <v>2</v>
          </cell>
          <cell r="Z106">
            <v>1</v>
          </cell>
          <cell r="AA106">
            <v>8</v>
          </cell>
          <cell r="AB106">
            <v>1</v>
          </cell>
          <cell r="AC106">
            <v>1</v>
          </cell>
          <cell r="AD106">
            <v>1</v>
          </cell>
          <cell r="AE106">
            <v>4</v>
          </cell>
          <cell r="AF106">
            <v>4</v>
          </cell>
          <cell r="AG106">
            <v>3</v>
          </cell>
          <cell r="AH106">
            <v>3</v>
          </cell>
        </row>
        <row r="107">
          <cell r="B107">
            <v>105</v>
          </cell>
          <cell r="J107" t="str">
            <v xml:space="preserve">Input VPROMMS: QL45_2 (46.88 pct); ql45_1 (46.88 pct); 214tt00103 (3.13 pct); 214TT00010 (3.13 pct); </v>
          </cell>
          <cell r="K107">
            <v>1.0851064125800001</v>
          </cell>
          <cell r="X107">
            <v>3.5</v>
          </cell>
          <cell r="Y107">
            <v>2</v>
          </cell>
          <cell r="Z107">
            <v>1</v>
          </cell>
          <cell r="AA107">
            <v>8</v>
          </cell>
          <cell r="AB107">
            <v>1</v>
          </cell>
          <cell r="AC107">
            <v>1</v>
          </cell>
          <cell r="AD107">
            <v>1</v>
          </cell>
          <cell r="AE107">
            <v>4</v>
          </cell>
          <cell r="AF107">
            <v>4</v>
          </cell>
          <cell r="AG107">
            <v>3</v>
          </cell>
          <cell r="AH107">
            <v>3</v>
          </cell>
        </row>
        <row r="108">
          <cell r="B108">
            <v>106</v>
          </cell>
          <cell r="D108">
            <v>9.99</v>
          </cell>
          <cell r="J108" t="str">
            <v>214TT00082</v>
          </cell>
          <cell r="K108">
            <v>3.5453678591600002</v>
          </cell>
          <cell r="X108">
            <v>3.4</v>
          </cell>
          <cell r="Y108">
            <v>1</v>
          </cell>
          <cell r="Z108">
            <v>1</v>
          </cell>
          <cell r="AA108">
            <v>8</v>
          </cell>
          <cell r="AB108">
            <v>1</v>
          </cell>
          <cell r="AC108">
            <v>1</v>
          </cell>
          <cell r="AD108">
            <v>1</v>
          </cell>
          <cell r="AE108">
            <v>4</v>
          </cell>
          <cell r="AF108">
            <v>4</v>
          </cell>
          <cell r="AG108">
            <v>3</v>
          </cell>
          <cell r="AH108">
            <v>4</v>
          </cell>
        </row>
        <row r="109">
          <cell r="B109">
            <v>107</v>
          </cell>
          <cell r="D109">
            <v>9.5</v>
          </cell>
          <cell r="J109" t="str">
            <v>212TH00036</v>
          </cell>
          <cell r="K109">
            <v>3.0449727848500001</v>
          </cell>
          <cell r="X109">
            <v>4.3</v>
          </cell>
          <cell r="Y109">
            <v>3</v>
          </cell>
          <cell r="Z109">
            <v>3</v>
          </cell>
          <cell r="AA109">
            <v>8</v>
          </cell>
          <cell r="AB109">
            <v>1</v>
          </cell>
          <cell r="AC109">
            <v>1</v>
          </cell>
          <cell r="AD109">
            <v>1</v>
          </cell>
          <cell r="AE109">
            <v>4</v>
          </cell>
          <cell r="AF109">
            <v>8</v>
          </cell>
          <cell r="AG109">
            <v>3</v>
          </cell>
          <cell r="AH109">
            <v>4</v>
          </cell>
        </row>
        <row r="110">
          <cell r="B110">
            <v>108</v>
          </cell>
          <cell r="D110">
            <v>8.64</v>
          </cell>
          <cell r="J110" t="str">
            <v xml:space="preserve">Input VPROMMS: 214TT00015 (75.0 pct); 214tt00062 (25.0 pct); </v>
          </cell>
          <cell r="K110">
            <v>9.0626245323200003E-2</v>
          </cell>
          <cell r="X110">
            <v>3.5</v>
          </cell>
          <cell r="Y110">
            <v>2</v>
          </cell>
          <cell r="Z110">
            <v>1</v>
          </cell>
          <cell r="AA110">
            <v>8</v>
          </cell>
          <cell r="AB110">
            <v>1</v>
          </cell>
          <cell r="AC110">
            <v>1</v>
          </cell>
          <cell r="AD110">
            <v>1</v>
          </cell>
          <cell r="AE110">
            <v>4</v>
          </cell>
          <cell r="AF110">
            <v>4</v>
          </cell>
          <cell r="AG110">
            <v>3</v>
          </cell>
          <cell r="AH110">
            <v>4</v>
          </cell>
        </row>
        <row r="111">
          <cell r="B111">
            <v>109</v>
          </cell>
          <cell r="D111">
            <v>8.68</v>
          </cell>
          <cell r="J111" t="str">
            <v>214TT00010</v>
          </cell>
          <cell r="K111">
            <v>3.5013848061999999</v>
          </cell>
          <cell r="X111">
            <v>3.4</v>
          </cell>
          <cell r="Y111">
            <v>1</v>
          </cell>
          <cell r="Z111">
            <v>1</v>
          </cell>
          <cell r="AA111">
            <v>8</v>
          </cell>
          <cell r="AB111">
            <v>1</v>
          </cell>
          <cell r="AC111">
            <v>1</v>
          </cell>
          <cell r="AD111">
            <v>1</v>
          </cell>
          <cell r="AE111">
            <v>4</v>
          </cell>
          <cell r="AF111">
            <v>4</v>
          </cell>
          <cell r="AG111">
            <v>3</v>
          </cell>
          <cell r="AH111">
            <v>4</v>
          </cell>
        </row>
        <row r="112">
          <cell r="B112">
            <v>110</v>
          </cell>
          <cell r="D112">
            <v>14.26</v>
          </cell>
          <cell r="J112" t="str">
            <v>214tt00062</v>
          </cell>
          <cell r="K112">
            <v>10.690574189299999</v>
          </cell>
          <cell r="X112">
            <v>3.4</v>
          </cell>
          <cell r="Y112">
            <v>1</v>
          </cell>
          <cell r="Z112">
            <v>1</v>
          </cell>
          <cell r="AA112">
            <v>8</v>
          </cell>
          <cell r="AB112">
            <v>1</v>
          </cell>
          <cell r="AC112">
            <v>1</v>
          </cell>
          <cell r="AD112">
            <v>1</v>
          </cell>
          <cell r="AE112">
            <v>4</v>
          </cell>
          <cell r="AF112">
            <v>4</v>
          </cell>
          <cell r="AG112">
            <v>3</v>
          </cell>
          <cell r="AH112">
            <v>5</v>
          </cell>
        </row>
        <row r="113">
          <cell r="B113">
            <v>111</v>
          </cell>
          <cell r="D113">
            <v>10.244999999999999</v>
          </cell>
          <cell r="J113" t="str">
            <v>214TT00015</v>
          </cell>
          <cell r="K113">
            <v>1.8537620344800001</v>
          </cell>
          <cell r="X113">
            <v>3.4</v>
          </cell>
          <cell r="Y113">
            <v>1</v>
          </cell>
          <cell r="Z113">
            <v>1</v>
          </cell>
          <cell r="AA113">
            <v>8</v>
          </cell>
          <cell r="AB113">
            <v>1</v>
          </cell>
          <cell r="AC113">
            <v>1</v>
          </cell>
          <cell r="AD113">
            <v>1</v>
          </cell>
          <cell r="AE113">
            <v>4</v>
          </cell>
          <cell r="AF113">
            <v>4</v>
          </cell>
          <cell r="AG113">
            <v>3</v>
          </cell>
          <cell r="AH113">
            <v>4</v>
          </cell>
        </row>
        <row r="114">
          <cell r="B114">
            <v>112</v>
          </cell>
          <cell r="J114" t="str">
            <v>214TT00101</v>
          </cell>
          <cell r="K114">
            <v>0.121398353296</v>
          </cell>
          <cell r="X114">
            <v>3.4</v>
          </cell>
          <cell r="Y114">
            <v>1</v>
          </cell>
          <cell r="Z114">
            <v>1</v>
          </cell>
          <cell r="AA114">
            <v>8</v>
          </cell>
          <cell r="AB114">
            <v>1</v>
          </cell>
          <cell r="AC114">
            <v>1</v>
          </cell>
          <cell r="AD114">
            <v>1</v>
          </cell>
          <cell r="AE114">
            <v>4</v>
          </cell>
          <cell r="AF114">
            <v>4</v>
          </cell>
          <cell r="AG114">
            <v>3</v>
          </cell>
          <cell r="AH114">
            <v>3</v>
          </cell>
        </row>
        <row r="115">
          <cell r="B115">
            <v>113</v>
          </cell>
          <cell r="D115">
            <v>7.7350000000000003</v>
          </cell>
          <cell r="J115" t="str">
            <v>214tt00103</v>
          </cell>
          <cell r="K115">
            <v>4.5853894954200003</v>
          </cell>
          <cell r="X115">
            <v>3.4</v>
          </cell>
          <cell r="Y115">
            <v>1</v>
          </cell>
          <cell r="Z115">
            <v>1</v>
          </cell>
          <cell r="AA115">
            <v>8</v>
          </cell>
          <cell r="AB115">
            <v>1</v>
          </cell>
          <cell r="AC115">
            <v>1</v>
          </cell>
          <cell r="AD115">
            <v>1</v>
          </cell>
          <cell r="AE115">
            <v>4</v>
          </cell>
          <cell r="AF115">
            <v>4</v>
          </cell>
          <cell r="AG115">
            <v>3</v>
          </cell>
          <cell r="AH115">
            <v>3</v>
          </cell>
        </row>
        <row r="116">
          <cell r="B116">
            <v>114</v>
          </cell>
          <cell r="D116">
            <v>8.11</v>
          </cell>
          <cell r="J116" t="str">
            <v xml:space="preserve">Input VPROMMS: 214TT00101 (66.67 pct); 214tt00103 (33.33 pct); </v>
          </cell>
          <cell r="K116">
            <v>6.8848521721300002E-2</v>
          </cell>
          <cell r="X116">
            <v>3.5</v>
          </cell>
          <cell r="Y116">
            <v>2</v>
          </cell>
          <cell r="Z116">
            <v>1</v>
          </cell>
          <cell r="AA116">
            <v>8</v>
          </cell>
          <cell r="AB116">
            <v>1</v>
          </cell>
          <cell r="AC116">
            <v>1</v>
          </cell>
          <cell r="AD116">
            <v>1</v>
          </cell>
          <cell r="AE116">
            <v>4</v>
          </cell>
          <cell r="AF116">
            <v>4</v>
          </cell>
          <cell r="AG116">
            <v>3</v>
          </cell>
          <cell r="AH116">
            <v>4</v>
          </cell>
        </row>
        <row r="117">
          <cell r="B117">
            <v>115</v>
          </cell>
          <cell r="J117" t="str">
            <v>214TT00101</v>
          </cell>
          <cell r="K117">
            <v>4.3419493958899998E-2</v>
          </cell>
          <cell r="X117">
            <v>3.4</v>
          </cell>
          <cell r="Y117">
            <v>1</v>
          </cell>
          <cell r="Z117">
            <v>1</v>
          </cell>
          <cell r="AA117">
            <v>8</v>
          </cell>
          <cell r="AB117">
            <v>1</v>
          </cell>
          <cell r="AC117">
            <v>1</v>
          </cell>
          <cell r="AD117">
            <v>1</v>
          </cell>
          <cell r="AE117">
            <v>4</v>
          </cell>
          <cell r="AF117">
            <v>4</v>
          </cell>
          <cell r="AG117">
            <v>3</v>
          </cell>
          <cell r="AH117">
            <v>3</v>
          </cell>
        </row>
        <row r="118">
          <cell r="B118">
            <v>116</v>
          </cell>
          <cell r="J118" t="str">
            <v>214tt00103</v>
          </cell>
          <cell r="K118">
            <v>4.6246282341300009E-2</v>
          </cell>
          <cell r="X118">
            <v>3.4</v>
          </cell>
          <cell r="Y118">
            <v>1</v>
          </cell>
          <cell r="Z118">
            <v>1</v>
          </cell>
          <cell r="AA118">
            <v>8</v>
          </cell>
          <cell r="AB118">
            <v>1</v>
          </cell>
          <cell r="AC118">
            <v>1</v>
          </cell>
          <cell r="AD118">
            <v>1</v>
          </cell>
          <cell r="AE118">
            <v>4</v>
          </cell>
          <cell r="AF118">
            <v>4</v>
          </cell>
          <cell r="AG118">
            <v>3</v>
          </cell>
          <cell r="AH118">
            <v>3</v>
          </cell>
        </row>
        <row r="119">
          <cell r="B119">
            <v>117</v>
          </cell>
          <cell r="J119" t="str">
            <v>214TT00101</v>
          </cell>
          <cell r="K119">
            <v>2.4010723812799999E-2</v>
          </cell>
          <cell r="X119">
            <v>3.4</v>
          </cell>
          <cell r="Y119">
            <v>1</v>
          </cell>
          <cell r="Z119">
            <v>1</v>
          </cell>
          <cell r="AA119">
            <v>8</v>
          </cell>
          <cell r="AB119">
            <v>1</v>
          </cell>
          <cell r="AC119">
            <v>1</v>
          </cell>
          <cell r="AD119">
            <v>1</v>
          </cell>
          <cell r="AE119">
            <v>4</v>
          </cell>
          <cell r="AF119">
            <v>4</v>
          </cell>
          <cell r="AG119">
            <v>3</v>
          </cell>
          <cell r="AH119">
            <v>3</v>
          </cell>
        </row>
        <row r="120">
          <cell r="B120">
            <v>118</v>
          </cell>
          <cell r="K120">
            <v>1.32393220727E-2</v>
          </cell>
          <cell r="X120">
            <v>3.5</v>
          </cell>
          <cell r="Y120">
            <v>2</v>
          </cell>
          <cell r="Z120">
            <v>1</v>
          </cell>
          <cell r="AA120">
            <v>8</v>
          </cell>
          <cell r="AB120">
            <v>1</v>
          </cell>
          <cell r="AC120">
            <v>1</v>
          </cell>
          <cell r="AD120">
            <v>1</v>
          </cell>
          <cell r="AE120">
            <v>4</v>
          </cell>
          <cell r="AF120">
            <v>4</v>
          </cell>
          <cell r="AG120">
            <v>3</v>
          </cell>
          <cell r="AH120">
            <v>3</v>
          </cell>
        </row>
        <row r="121">
          <cell r="B121">
            <v>119</v>
          </cell>
          <cell r="K121">
            <v>1.3608384608799999E-2</v>
          </cell>
          <cell r="X121">
            <v>3.5</v>
          </cell>
          <cell r="Y121">
            <v>2</v>
          </cell>
          <cell r="Z121">
            <v>1</v>
          </cell>
          <cell r="AA121">
            <v>8</v>
          </cell>
          <cell r="AB121">
            <v>1</v>
          </cell>
          <cell r="AC121">
            <v>1</v>
          </cell>
          <cell r="AD121">
            <v>1</v>
          </cell>
          <cell r="AE121">
            <v>4</v>
          </cell>
          <cell r="AF121">
            <v>4</v>
          </cell>
          <cell r="AG121">
            <v>3</v>
          </cell>
          <cell r="AH121">
            <v>3</v>
          </cell>
        </row>
        <row r="122">
          <cell r="B122">
            <v>120</v>
          </cell>
          <cell r="D122">
            <v>9.93</v>
          </cell>
          <cell r="J122" t="str">
            <v xml:space="preserve">Input VPROMMS: QL45_2 (36.99 pct); ql45_1 (34.25 pct); 213TT00009 (21.92 pct); 214TT00101 (5.48 pct); 214tt00085 (1.37 pct); </v>
          </cell>
          <cell r="K122">
            <v>1.7155204122100001</v>
          </cell>
          <cell r="X122">
            <v>3.5</v>
          </cell>
          <cell r="Y122">
            <v>2</v>
          </cell>
          <cell r="Z122">
            <v>1</v>
          </cell>
          <cell r="AA122">
            <v>8</v>
          </cell>
          <cell r="AB122">
            <v>1</v>
          </cell>
          <cell r="AC122">
            <v>1</v>
          </cell>
          <cell r="AD122">
            <v>1</v>
          </cell>
          <cell r="AE122">
            <v>4</v>
          </cell>
          <cell r="AF122">
            <v>4</v>
          </cell>
          <cell r="AG122">
            <v>3</v>
          </cell>
          <cell r="AH122">
            <v>4</v>
          </cell>
        </row>
        <row r="123">
          <cell r="B123">
            <v>121</v>
          </cell>
          <cell r="D123">
            <v>9.34</v>
          </cell>
          <cell r="J123" t="str">
            <v xml:space="preserve">Input VPROMMS: 212th00023 (50.0 pct); 214TT00015 (25.0 pct); 212TH00023 (25.0 pct); </v>
          </cell>
          <cell r="K123">
            <v>2.09700823011E-2</v>
          </cell>
          <cell r="X123">
            <v>3.5</v>
          </cell>
          <cell r="Y123">
            <v>2</v>
          </cell>
          <cell r="Z123">
            <v>1</v>
          </cell>
          <cell r="AA123">
            <v>8</v>
          </cell>
          <cell r="AB123">
            <v>1</v>
          </cell>
          <cell r="AC123">
            <v>1</v>
          </cell>
          <cell r="AD123">
            <v>1</v>
          </cell>
          <cell r="AE123">
            <v>4</v>
          </cell>
          <cell r="AF123">
            <v>4</v>
          </cell>
          <cell r="AG123">
            <v>3</v>
          </cell>
          <cell r="AH123">
            <v>4</v>
          </cell>
        </row>
        <row r="124">
          <cell r="B124">
            <v>122</v>
          </cell>
          <cell r="D124">
            <v>7.5250000000000004</v>
          </cell>
          <cell r="J124" t="str">
            <v xml:space="preserve">Input VPROMMS: 212th00023 (67.04 pct); 212TH00023 (32.96 pct); </v>
          </cell>
          <cell r="K124">
            <v>2.9353545153199998</v>
          </cell>
          <cell r="X124">
            <v>3.5</v>
          </cell>
          <cell r="Y124">
            <v>2</v>
          </cell>
          <cell r="Z124">
            <v>1</v>
          </cell>
          <cell r="AA124">
            <v>8</v>
          </cell>
          <cell r="AB124">
            <v>1</v>
          </cell>
          <cell r="AC124">
            <v>1</v>
          </cell>
          <cell r="AD124">
            <v>1</v>
          </cell>
          <cell r="AE124">
            <v>4</v>
          </cell>
          <cell r="AF124">
            <v>4</v>
          </cell>
          <cell r="AG124">
            <v>3</v>
          </cell>
          <cell r="AH124">
            <v>3</v>
          </cell>
        </row>
        <row r="125">
          <cell r="B125">
            <v>123</v>
          </cell>
          <cell r="D125">
            <v>8.81</v>
          </cell>
          <cell r="J125" t="str">
            <v xml:space="preserve">Input VPROMMS: 213TT00005 (50.0 pct); 214TT00083 (50.0 pct); </v>
          </cell>
          <cell r="K125">
            <v>2.0769699217599999</v>
          </cell>
          <cell r="X125">
            <v>3.5</v>
          </cell>
          <cell r="Y125">
            <v>2</v>
          </cell>
          <cell r="Z125">
            <v>1</v>
          </cell>
          <cell r="AA125">
            <v>8</v>
          </cell>
          <cell r="AB125">
            <v>1</v>
          </cell>
          <cell r="AC125">
            <v>1</v>
          </cell>
          <cell r="AD125">
            <v>1</v>
          </cell>
          <cell r="AE125">
            <v>4</v>
          </cell>
          <cell r="AF125">
            <v>4</v>
          </cell>
          <cell r="AG125">
            <v>3</v>
          </cell>
          <cell r="AH125">
            <v>4</v>
          </cell>
        </row>
        <row r="126">
          <cell r="B126">
            <v>124</v>
          </cell>
          <cell r="D126">
            <v>11.54</v>
          </cell>
          <cell r="J126" t="str">
            <v>214tt00024</v>
          </cell>
          <cell r="K126">
            <v>3.5744032960999998</v>
          </cell>
          <cell r="X126">
            <v>3.4</v>
          </cell>
          <cell r="Y126">
            <v>1</v>
          </cell>
          <cell r="Z126">
            <v>1</v>
          </cell>
          <cell r="AA126">
            <v>8</v>
          </cell>
          <cell r="AB126">
            <v>1</v>
          </cell>
          <cell r="AC126">
            <v>1</v>
          </cell>
          <cell r="AD126">
            <v>1</v>
          </cell>
          <cell r="AE126">
            <v>4</v>
          </cell>
          <cell r="AF126">
            <v>4</v>
          </cell>
          <cell r="AG126">
            <v>3</v>
          </cell>
          <cell r="AH126">
            <v>4</v>
          </cell>
        </row>
        <row r="127">
          <cell r="B127">
            <v>125</v>
          </cell>
          <cell r="D127">
            <v>5.17</v>
          </cell>
          <cell r="J127" t="str">
            <v xml:space="preserve">Input VPROMMS: 217b_1 (49.0 pct); 217B_1 (49.0 pct); 214tt00097 (1.0 pct); 214tt00080 (1.0 pct); </v>
          </cell>
          <cell r="K127">
            <v>2.21979037881</v>
          </cell>
          <cell r="X127">
            <v>3.5</v>
          </cell>
          <cell r="Y127">
            <v>2</v>
          </cell>
          <cell r="Z127">
            <v>1</v>
          </cell>
          <cell r="AA127">
            <v>8</v>
          </cell>
          <cell r="AB127">
            <v>1</v>
          </cell>
          <cell r="AC127">
            <v>1</v>
          </cell>
          <cell r="AD127">
            <v>1</v>
          </cell>
          <cell r="AE127">
            <v>4</v>
          </cell>
          <cell r="AF127">
            <v>4</v>
          </cell>
          <cell r="AG127">
            <v>3</v>
          </cell>
          <cell r="AH127">
            <v>2</v>
          </cell>
        </row>
        <row r="128">
          <cell r="B128">
            <v>126</v>
          </cell>
          <cell r="J128" t="str">
            <v xml:space="preserve">Input VPROMMS: 214TT00083 (33.33 pct); 213TT00005 (33.33 pct); 212TH00036 (33.33 pct); </v>
          </cell>
          <cell r="K128">
            <v>1.6806801654199999E-2</v>
          </cell>
          <cell r="X128">
            <v>3.5</v>
          </cell>
          <cell r="Y128">
            <v>2</v>
          </cell>
          <cell r="Z128">
            <v>1</v>
          </cell>
          <cell r="AA128">
            <v>8</v>
          </cell>
          <cell r="AB128">
            <v>1</v>
          </cell>
          <cell r="AC128">
            <v>1</v>
          </cell>
          <cell r="AD128">
            <v>1</v>
          </cell>
          <cell r="AE128">
            <v>4</v>
          </cell>
          <cell r="AF128">
            <v>4</v>
          </cell>
          <cell r="AG128">
            <v>3</v>
          </cell>
          <cell r="AH128">
            <v>3</v>
          </cell>
        </row>
        <row r="129">
          <cell r="B129">
            <v>127</v>
          </cell>
          <cell r="J129" t="str">
            <v xml:space="preserve">Input VPROMMS: 214TT00083 (50.0 pct); 213TT00005 (50.0 pct); </v>
          </cell>
          <cell r="K129">
            <v>0.11242577643899999</v>
          </cell>
          <cell r="X129">
            <v>3.5</v>
          </cell>
          <cell r="Y129">
            <v>2</v>
          </cell>
          <cell r="Z129">
            <v>1</v>
          </cell>
          <cell r="AA129">
            <v>8</v>
          </cell>
          <cell r="AB129">
            <v>1</v>
          </cell>
          <cell r="AC129">
            <v>1</v>
          </cell>
          <cell r="AD129">
            <v>1</v>
          </cell>
          <cell r="AE129">
            <v>4</v>
          </cell>
          <cell r="AF129">
            <v>4</v>
          </cell>
          <cell r="AG129">
            <v>3</v>
          </cell>
          <cell r="AH129">
            <v>3</v>
          </cell>
        </row>
        <row r="130">
          <cell r="B130">
            <v>128</v>
          </cell>
          <cell r="D130">
            <v>9.06</v>
          </cell>
          <cell r="J130" t="str">
            <v>212TH00036</v>
          </cell>
          <cell r="K130">
            <v>1.68799322993</v>
          </cell>
          <cell r="X130">
            <v>4.3</v>
          </cell>
          <cell r="Y130">
            <v>3</v>
          </cell>
          <cell r="Z130">
            <v>3</v>
          </cell>
          <cell r="AA130">
            <v>8</v>
          </cell>
          <cell r="AB130">
            <v>1</v>
          </cell>
          <cell r="AC130">
            <v>1</v>
          </cell>
          <cell r="AD130">
            <v>1</v>
          </cell>
          <cell r="AE130">
            <v>4</v>
          </cell>
          <cell r="AF130">
            <v>8</v>
          </cell>
          <cell r="AG130">
            <v>3</v>
          </cell>
          <cell r="AH130">
            <v>4</v>
          </cell>
        </row>
        <row r="131">
          <cell r="B131">
            <v>129</v>
          </cell>
          <cell r="D131">
            <v>11.47</v>
          </cell>
          <cell r="J131" t="str">
            <v>214tt00029</v>
          </cell>
          <cell r="K131">
            <v>3.8989902752500001</v>
          </cell>
          <cell r="X131">
            <v>3.4</v>
          </cell>
          <cell r="Y131">
            <v>1</v>
          </cell>
          <cell r="Z131">
            <v>1</v>
          </cell>
          <cell r="AA131">
            <v>8</v>
          </cell>
          <cell r="AB131">
            <v>1</v>
          </cell>
          <cell r="AC131">
            <v>1</v>
          </cell>
          <cell r="AD131">
            <v>1</v>
          </cell>
          <cell r="AE131">
            <v>4</v>
          </cell>
          <cell r="AF131">
            <v>4</v>
          </cell>
          <cell r="AG131">
            <v>3</v>
          </cell>
          <cell r="AH131">
            <v>4</v>
          </cell>
        </row>
        <row r="132">
          <cell r="B132">
            <v>130</v>
          </cell>
          <cell r="J132" t="str">
            <v xml:space="preserve">Input VPROMMS: 214tt00024 (72.55 pct); 214tt00029 (27.45 pct); </v>
          </cell>
          <cell r="K132">
            <v>1.1653629263500001</v>
          </cell>
          <cell r="X132">
            <v>3.5</v>
          </cell>
          <cell r="Y132">
            <v>2</v>
          </cell>
          <cell r="Z132">
            <v>1</v>
          </cell>
          <cell r="AA132">
            <v>8</v>
          </cell>
          <cell r="AB132">
            <v>1</v>
          </cell>
          <cell r="AC132">
            <v>1</v>
          </cell>
          <cell r="AD132">
            <v>1</v>
          </cell>
          <cell r="AE132">
            <v>4</v>
          </cell>
          <cell r="AF132">
            <v>4</v>
          </cell>
          <cell r="AG132">
            <v>3</v>
          </cell>
          <cell r="AH132">
            <v>3</v>
          </cell>
        </row>
        <row r="133">
          <cell r="B133">
            <v>131</v>
          </cell>
          <cell r="D133">
            <v>8.18</v>
          </cell>
          <cell r="J133" t="str">
            <v xml:space="preserve">Input VPROMMS: 213TT00005 (50.0 pct); 214TT00083 (50.0 pct); </v>
          </cell>
          <cell r="K133">
            <v>1.17521083123</v>
          </cell>
          <cell r="X133">
            <v>3.5</v>
          </cell>
          <cell r="Y133">
            <v>2</v>
          </cell>
          <cell r="Z133">
            <v>1</v>
          </cell>
          <cell r="AA133">
            <v>8</v>
          </cell>
          <cell r="AB133">
            <v>1</v>
          </cell>
          <cell r="AC133">
            <v>1</v>
          </cell>
          <cell r="AD133">
            <v>1</v>
          </cell>
          <cell r="AE133">
            <v>4</v>
          </cell>
          <cell r="AF133">
            <v>4</v>
          </cell>
          <cell r="AG133">
            <v>3</v>
          </cell>
          <cell r="AH133">
            <v>4</v>
          </cell>
        </row>
        <row r="134">
          <cell r="B134">
            <v>132</v>
          </cell>
          <cell r="D134">
            <v>9.7799999999999994</v>
          </cell>
          <cell r="J134" t="str">
            <v xml:space="preserve">Input VPROMMS: 214TT00083 (50.0 pct); 213TT00005 (50.0 pct); </v>
          </cell>
          <cell r="K134">
            <v>1.4010477426199999E-2</v>
          </cell>
          <cell r="X134">
            <v>3.5</v>
          </cell>
          <cell r="Y134">
            <v>2</v>
          </cell>
          <cell r="Z134">
            <v>1</v>
          </cell>
          <cell r="AA134">
            <v>8</v>
          </cell>
          <cell r="AB134">
            <v>1</v>
          </cell>
          <cell r="AC134">
            <v>1</v>
          </cell>
          <cell r="AD134">
            <v>1</v>
          </cell>
          <cell r="AE134">
            <v>4</v>
          </cell>
          <cell r="AF134">
            <v>4</v>
          </cell>
          <cell r="AG134">
            <v>3</v>
          </cell>
          <cell r="AH134">
            <v>4</v>
          </cell>
        </row>
        <row r="135">
          <cell r="B135">
            <v>133</v>
          </cell>
          <cell r="D135">
            <v>9.7799999999999994</v>
          </cell>
          <cell r="J135" t="str">
            <v>213TT00005</v>
          </cell>
          <cell r="K135">
            <v>3.0044618617700001E-2</v>
          </cell>
          <cell r="X135">
            <v>3.8</v>
          </cell>
          <cell r="Y135">
            <v>2</v>
          </cell>
          <cell r="Z135">
            <v>3</v>
          </cell>
          <cell r="AA135">
            <v>6</v>
          </cell>
          <cell r="AB135">
            <v>1</v>
          </cell>
          <cell r="AC135">
            <v>1</v>
          </cell>
          <cell r="AD135">
            <v>1</v>
          </cell>
          <cell r="AE135">
            <v>4</v>
          </cell>
          <cell r="AF135">
            <v>6</v>
          </cell>
          <cell r="AG135">
            <v>3</v>
          </cell>
          <cell r="AH135">
            <v>4</v>
          </cell>
        </row>
        <row r="136">
          <cell r="B136">
            <v>134</v>
          </cell>
          <cell r="D136">
            <v>8.9749999999999996</v>
          </cell>
          <cell r="J136" t="str">
            <v xml:space="preserve">Input VPROMMS: 214TT00083 (50.0 pct); 213TT00005 (50.0 pct); </v>
          </cell>
          <cell r="K136">
            <v>0.27355188429499999</v>
          </cell>
          <cell r="X136">
            <v>3.5</v>
          </cell>
          <cell r="Y136">
            <v>2</v>
          </cell>
          <cell r="Z136">
            <v>1</v>
          </cell>
          <cell r="AA136">
            <v>8</v>
          </cell>
          <cell r="AB136">
            <v>1</v>
          </cell>
          <cell r="AC136">
            <v>1</v>
          </cell>
          <cell r="AD136">
            <v>1</v>
          </cell>
          <cell r="AE136">
            <v>4</v>
          </cell>
          <cell r="AF136">
            <v>4</v>
          </cell>
          <cell r="AG136">
            <v>3</v>
          </cell>
          <cell r="AH136">
            <v>4</v>
          </cell>
        </row>
        <row r="137">
          <cell r="B137">
            <v>135</v>
          </cell>
          <cell r="J137" t="str">
            <v xml:space="preserve">Input VPROMMS: QL45_2 (50.0 pct); ql45_1 (50.0 pct); </v>
          </cell>
          <cell r="K137">
            <v>0.37136115238700002</v>
          </cell>
          <cell r="X137">
            <v>3.5</v>
          </cell>
          <cell r="Y137">
            <v>2</v>
          </cell>
          <cell r="Z137">
            <v>1</v>
          </cell>
          <cell r="AA137">
            <v>8</v>
          </cell>
          <cell r="AB137">
            <v>1</v>
          </cell>
          <cell r="AC137">
            <v>1</v>
          </cell>
          <cell r="AD137">
            <v>1</v>
          </cell>
          <cell r="AE137">
            <v>4</v>
          </cell>
          <cell r="AF137">
            <v>4</v>
          </cell>
          <cell r="AG137">
            <v>3</v>
          </cell>
          <cell r="AH137">
            <v>3</v>
          </cell>
        </row>
        <row r="138">
          <cell r="B138">
            <v>136</v>
          </cell>
          <cell r="D138">
            <v>6.55</v>
          </cell>
          <cell r="J138" t="str">
            <v>214tt00085</v>
          </cell>
          <cell r="K138">
            <v>0.68814607728400012</v>
          </cell>
          <cell r="X138">
            <v>3.4</v>
          </cell>
          <cell r="Y138">
            <v>1</v>
          </cell>
          <cell r="Z138">
            <v>1</v>
          </cell>
          <cell r="AA138">
            <v>8</v>
          </cell>
          <cell r="AB138">
            <v>1</v>
          </cell>
          <cell r="AC138">
            <v>1</v>
          </cell>
          <cell r="AD138">
            <v>1</v>
          </cell>
          <cell r="AE138">
            <v>4</v>
          </cell>
          <cell r="AF138">
            <v>4</v>
          </cell>
          <cell r="AG138">
            <v>3</v>
          </cell>
          <cell r="AH138">
            <v>3</v>
          </cell>
        </row>
        <row r="139">
          <cell r="B139">
            <v>137</v>
          </cell>
          <cell r="D139">
            <v>7.3150000000000004</v>
          </cell>
          <cell r="J139" t="str">
            <v xml:space="preserve">Input VPROMMS: 214TT00082 (51.85 pct); 214TT00083 (24.69 pct); 213TT00005 (23.46 pct); </v>
          </cell>
          <cell r="K139">
            <v>0.83370313299199994</v>
          </cell>
          <cell r="X139">
            <v>3.5</v>
          </cell>
          <cell r="Y139">
            <v>2</v>
          </cell>
          <cell r="Z139">
            <v>1</v>
          </cell>
          <cell r="AA139">
            <v>8</v>
          </cell>
          <cell r="AB139">
            <v>1</v>
          </cell>
          <cell r="AC139">
            <v>1</v>
          </cell>
          <cell r="AD139">
            <v>1</v>
          </cell>
          <cell r="AE139">
            <v>4</v>
          </cell>
          <cell r="AF139">
            <v>4</v>
          </cell>
          <cell r="AG139">
            <v>3</v>
          </cell>
          <cell r="AH139">
            <v>3</v>
          </cell>
        </row>
        <row r="140">
          <cell r="B140">
            <v>138</v>
          </cell>
          <cell r="J140" t="str">
            <v xml:space="preserve">Input VPROMMS: ql45_1 (50.0 pct); QL45_2 (40.0 pct); 214tt00097 (10.0 pct); </v>
          </cell>
          <cell r="K140">
            <v>0.30754770886999999</v>
          </cell>
          <cell r="X140">
            <v>3.5</v>
          </cell>
          <cell r="Y140">
            <v>2</v>
          </cell>
          <cell r="Z140">
            <v>1</v>
          </cell>
          <cell r="AA140">
            <v>8</v>
          </cell>
          <cell r="AB140">
            <v>1</v>
          </cell>
          <cell r="AC140">
            <v>1</v>
          </cell>
          <cell r="AD140">
            <v>1</v>
          </cell>
          <cell r="AE140">
            <v>4</v>
          </cell>
          <cell r="AF140">
            <v>4</v>
          </cell>
          <cell r="AG140">
            <v>3</v>
          </cell>
          <cell r="AH140">
            <v>3</v>
          </cell>
        </row>
        <row r="141">
          <cell r="B141">
            <v>139</v>
          </cell>
          <cell r="D141">
            <v>5.3949999999999996</v>
          </cell>
          <cell r="J141" t="str">
            <v>214tt00097</v>
          </cell>
          <cell r="K141">
            <v>0.34593516860299989</v>
          </cell>
          <cell r="X141">
            <v>3.4</v>
          </cell>
          <cell r="Y141">
            <v>1</v>
          </cell>
          <cell r="Z141">
            <v>1</v>
          </cell>
          <cell r="AA141">
            <v>8</v>
          </cell>
          <cell r="AB141">
            <v>1</v>
          </cell>
          <cell r="AC141">
            <v>1</v>
          </cell>
          <cell r="AD141">
            <v>1</v>
          </cell>
          <cell r="AE141">
            <v>4</v>
          </cell>
          <cell r="AF141">
            <v>4</v>
          </cell>
          <cell r="AG141">
            <v>3</v>
          </cell>
          <cell r="AH141">
            <v>2</v>
          </cell>
        </row>
        <row r="142">
          <cell r="B142">
            <v>140</v>
          </cell>
          <cell r="J142" t="str">
            <v>212th00024</v>
          </cell>
          <cell r="K142">
            <v>0.17548869142199999</v>
          </cell>
          <cell r="X142">
            <v>4.3</v>
          </cell>
          <cell r="Y142">
            <v>3</v>
          </cell>
          <cell r="Z142">
            <v>3</v>
          </cell>
          <cell r="AA142">
            <v>8</v>
          </cell>
          <cell r="AB142">
            <v>1</v>
          </cell>
          <cell r="AC142">
            <v>1</v>
          </cell>
          <cell r="AD142">
            <v>1</v>
          </cell>
          <cell r="AE142">
            <v>4</v>
          </cell>
          <cell r="AF142">
            <v>8</v>
          </cell>
          <cell r="AG142">
            <v>3</v>
          </cell>
          <cell r="AH142">
            <v>3</v>
          </cell>
        </row>
        <row r="143">
          <cell r="B143">
            <v>141</v>
          </cell>
          <cell r="D143">
            <v>5.33</v>
          </cell>
          <cell r="J143" t="str">
            <v xml:space="preserve">Input VPROMMS: 212TH00024 (50.0 pct); 212th00024 (45.0 pct); 214tt00087 (5.0 pct); </v>
          </cell>
          <cell r="K143">
            <v>0.36940039118899998</v>
          </cell>
          <cell r="X143">
            <v>3.5</v>
          </cell>
          <cell r="Y143">
            <v>2</v>
          </cell>
          <cell r="Z143">
            <v>1</v>
          </cell>
          <cell r="AA143">
            <v>8</v>
          </cell>
          <cell r="AB143">
            <v>1</v>
          </cell>
          <cell r="AC143">
            <v>1</v>
          </cell>
          <cell r="AD143">
            <v>1</v>
          </cell>
          <cell r="AE143">
            <v>4</v>
          </cell>
          <cell r="AF143">
            <v>4</v>
          </cell>
          <cell r="AG143">
            <v>3</v>
          </cell>
          <cell r="AH143">
            <v>2</v>
          </cell>
        </row>
        <row r="144">
          <cell r="B144">
            <v>142</v>
          </cell>
          <cell r="D144">
            <v>6.55</v>
          </cell>
          <cell r="J144" t="str">
            <v xml:space="preserve">Input VPROMMS: 212th00024 (34.04 pct); 212TH00024 (34.04 pct); 214tt00085 (31.91 pct); </v>
          </cell>
          <cell r="K144">
            <v>0.72157015779699996</v>
          </cell>
          <cell r="X144">
            <v>3.5</v>
          </cell>
          <cell r="Y144">
            <v>2</v>
          </cell>
          <cell r="Z144">
            <v>1</v>
          </cell>
          <cell r="AA144">
            <v>8</v>
          </cell>
          <cell r="AB144">
            <v>1</v>
          </cell>
          <cell r="AC144">
            <v>1</v>
          </cell>
          <cell r="AD144">
            <v>1</v>
          </cell>
          <cell r="AE144">
            <v>4</v>
          </cell>
          <cell r="AF144">
            <v>4</v>
          </cell>
          <cell r="AG144">
            <v>3</v>
          </cell>
          <cell r="AH144">
            <v>3</v>
          </cell>
        </row>
        <row r="145">
          <cell r="B145">
            <v>143</v>
          </cell>
          <cell r="K145">
            <v>1.5014701261199999E-2</v>
          </cell>
          <cell r="X145">
            <v>3.5</v>
          </cell>
          <cell r="Y145">
            <v>2</v>
          </cell>
          <cell r="Z145">
            <v>1</v>
          </cell>
          <cell r="AA145">
            <v>8</v>
          </cell>
          <cell r="AB145">
            <v>1</v>
          </cell>
          <cell r="AC145">
            <v>1</v>
          </cell>
          <cell r="AD145">
            <v>1</v>
          </cell>
          <cell r="AE145">
            <v>4</v>
          </cell>
          <cell r="AF145">
            <v>4</v>
          </cell>
          <cell r="AG145">
            <v>3</v>
          </cell>
          <cell r="AH145">
            <v>3</v>
          </cell>
        </row>
        <row r="146">
          <cell r="B146">
            <v>144</v>
          </cell>
          <cell r="D146">
            <v>5.0199999999999996</v>
          </cell>
          <cell r="J146" t="str">
            <v xml:space="preserve">Input VPROMMS: 212th00024 (33.33 pct); 214tt00097 (33.33 pct); 212TH00024 (33.33 pct); </v>
          </cell>
          <cell r="K146">
            <v>1.8327247395199999E-2</v>
          </cell>
          <cell r="X146">
            <v>3.5</v>
          </cell>
          <cell r="Y146">
            <v>2</v>
          </cell>
          <cell r="Z146">
            <v>1</v>
          </cell>
          <cell r="AA146">
            <v>8</v>
          </cell>
          <cell r="AB146">
            <v>1</v>
          </cell>
          <cell r="AC146">
            <v>1</v>
          </cell>
          <cell r="AD146">
            <v>1</v>
          </cell>
          <cell r="AE146">
            <v>4</v>
          </cell>
          <cell r="AF146">
            <v>4</v>
          </cell>
          <cell r="AG146">
            <v>3</v>
          </cell>
          <cell r="AH146">
            <v>2</v>
          </cell>
        </row>
        <row r="147">
          <cell r="B147">
            <v>145</v>
          </cell>
          <cell r="D147">
            <v>8.06</v>
          </cell>
          <cell r="J147" t="str">
            <v xml:space="preserve">Input VPROMMS: QL45_2 (46.67 pct); ql45_1 (46.67 pct); 212th00024 (6.67 pct); </v>
          </cell>
          <cell r="K147">
            <v>0.43761428296600002</v>
          </cell>
          <cell r="X147">
            <v>3.5</v>
          </cell>
          <cell r="Y147">
            <v>2</v>
          </cell>
          <cell r="Z147">
            <v>1</v>
          </cell>
          <cell r="AA147">
            <v>8</v>
          </cell>
          <cell r="AB147">
            <v>1</v>
          </cell>
          <cell r="AC147">
            <v>1</v>
          </cell>
          <cell r="AD147">
            <v>1</v>
          </cell>
          <cell r="AE147">
            <v>4</v>
          </cell>
          <cell r="AF147">
            <v>4</v>
          </cell>
          <cell r="AG147">
            <v>3</v>
          </cell>
          <cell r="AH147">
            <v>4</v>
          </cell>
        </row>
        <row r="148">
          <cell r="B148">
            <v>146</v>
          </cell>
          <cell r="J148" t="str">
            <v xml:space="preserve">Input VPROMMS: 212th00024 (57.14 pct); 212TH00024 (42.86 pct); </v>
          </cell>
          <cell r="K148">
            <v>8.5787961728000003E-2</v>
          </cell>
          <cell r="X148">
            <v>3.5</v>
          </cell>
          <cell r="Y148">
            <v>2</v>
          </cell>
          <cell r="Z148">
            <v>1</v>
          </cell>
          <cell r="AA148">
            <v>8</v>
          </cell>
          <cell r="AB148">
            <v>1</v>
          </cell>
          <cell r="AC148">
            <v>1</v>
          </cell>
          <cell r="AD148">
            <v>1</v>
          </cell>
          <cell r="AE148">
            <v>4</v>
          </cell>
          <cell r="AF148">
            <v>4</v>
          </cell>
          <cell r="AG148">
            <v>3</v>
          </cell>
          <cell r="AH148">
            <v>3</v>
          </cell>
        </row>
        <row r="149">
          <cell r="B149">
            <v>147</v>
          </cell>
          <cell r="D149">
            <v>5.5650000000000004</v>
          </cell>
          <cell r="J149" t="str">
            <v>214tt00097</v>
          </cell>
          <cell r="K149">
            <v>0.62154516951100003</v>
          </cell>
          <cell r="X149">
            <v>3.4</v>
          </cell>
          <cell r="Y149">
            <v>1</v>
          </cell>
          <cell r="Z149">
            <v>1</v>
          </cell>
          <cell r="AA149">
            <v>8</v>
          </cell>
          <cell r="AB149">
            <v>1</v>
          </cell>
          <cell r="AC149">
            <v>1</v>
          </cell>
          <cell r="AD149">
            <v>1</v>
          </cell>
          <cell r="AE149">
            <v>4</v>
          </cell>
          <cell r="AF149">
            <v>4</v>
          </cell>
          <cell r="AG149">
            <v>3</v>
          </cell>
          <cell r="AH149">
            <v>2</v>
          </cell>
        </row>
        <row r="150">
          <cell r="B150">
            <v>148</v>
          </cell>
          <cell r="D150">
            <v>7.16</v>
          </cell>
          <cell r="J150" t="str">
            <v>214tt00085</v>
          </cell>
          <cell r="K150">
            <v>1.3355915544300001</v>
          </cell>
          <cell r="X150">
            <v>3.4</v>
          </cell>
          <cell r="Y150">
            <v>1</v>
          </cell>
          <cell r="Z150">
            <v>1</v>
          </cell>
          <cell r="AA150">
            <v>8</v>
          </cell>
          <cell r="AB150">
            <v>1</v>
          </cell>
          <cell r="AC150">
            <v>1</v>
          </cell>
          <cell r="AD150">
            <v>1</v>
          </cell>
          <cell r="AE150">
            <v>4</v>
          </cell>
          <cell r="AF150">
            <v>4</v>
          </cell>
          <cell r="AG150">
            <v>3</v>
          </cell>
          <cell r="AH150">
            <v>3</v>
          </cell>
        </row>
        <row r="151">
          <cell r="B151">
            <v>149</v>
          </cell>
          <cell r="J151" t="str">
            <v xml:space="preserve">Input VPROMMS: 214TT00083 (50.0 pct); 213TT00005 (50.0 pct); </v>
          </cell>
          <cell r="K151">
            <v>3.1829959000500001E-2</v>
          </cell>
          <cell r="X151">
            <v>3.5</v>
          </cell>
          <cell r="Y151">
            <v>2</v>
          </cell>
          <cell r="Z151">
            <v>1</v>
          </cell>
          <cell r="AA151">
            <v>8</v>
          </cell>
          <cell r="AB151">
            <v>1</v>
          </cell>
          <cell r="AC151">
            <v>1</v>
          </cell>
          <cell r="AD151">
            <v>1</v>
          </cell>
          <cell r="AE151">
            <v>4</v>
          </cell>
          <cell r="AF151">
            <v>4</v>
          </cell>
          <cell r="AG151">
            <v>3</v>
          </cell>
          <cell r="AH151">
            <v>3</v>
          </cell>
        </row>
        <row r="152">
          <cell r="B152">
            <v>150</v>
          </cell>
          <cell r="D152">
            <v>8.2799999999999994</v>
          </cell>
          <cell r="J152" t="str">
            <v>214TT00082</v>
          </cell>
          <cell r="K152">
            <v>0.40882370533700002</v>
          </cell>
          <cell r="X152">
            <v>3.4</v>
          </cell>
          <cell r="Y152">
            <v>1</v>
          </cell>
          <cell r="Z152">
            <v>1</v>
          </cell>
          <cell r="AA152">
            <v>8</v>
          </cell>
          <cell r="AB152">
            <v>1</v>
          </cell>
          <cell r="AC152">
            <v>1</v>
          </cell>
          <cell r="AD152">
            <v>1</v>
          </cell>
          <cell r="AE152">
            <v>4</v>
          </cell>
          <cell r="AF152">
            <v>4</v>
          </cell>
          <cell r="AG152">
            <v>3</v>
          </cell>
          <cell r="AH152">
            <v>4</v>
          </cell>
        </row>
        <row r="153">
          <cell r="B153">
            <v>151</v>
          </cell>
          <cell r="D153">
            <v>10.38</v>
          </cell>
          <cell r="J153" t="str">
            <v xml:space="preserve">Input VPROMMS: 214TT00083 (50.0 pct); 213TT00005 (50.0 pct); </v>
          </cell>
          <cell r="K153">
            <v>0.39815303649799999</v>
          </cell>
          <cell r="X153">
            <v>3.5</v>
          </cell>
          <cell r="Y153">
            <v>2</v>
          </cell>
          <cell r="Z153">
            <v>1</v>
          </cell>
          <cell r="AA153">
            <v>8</v>
          </cell>
          <cell r="AB153">
            <v>1</v>
          </cell>
          <cell r="AC153">
            <v>1</v>
          </cell>
          <cell r="AD153">
            <v>1</v>
          </cell>
          <cell r="AE153">
            <v>4</v>
          </cell>
          <cell r="AF153">
            <v>4</v>
          </cell>
          <cell r="AG153">
            <v>3</v>
          </cell>
          <cell r="AH153">
            <v>4</v>
          </cell>
        </row>
        <row r="154">
          <cell r="B154">
            <v>152</v>
          </cell>
          <cell r="J154" t="str">
            <v xml:space="preserve">Input VPROMMS: 213TT00005 (66.67 pct); 214TT00083 (33.33 pct); </v>
          </cell>
          <cell r="K154">
            <v>3.8232467055699999E-2</v>
          </cell>
          <cell r="X154">
            <v>3.5</v>
          </cell>
          <cell r="Y154">
            <v>2</v>
          </cell>
          <cell r="Z154">
            <v>1</v>
          </cell>
          <cell r="AA154">
            <v>8</v>
          </cell>
          <cell r="AB154">
            <v>1</v>
          </cell>
          <cell r="AC154">
            <v>1</v>
          </cell>
          <cell r="AD154">
            <v>1</v>
          </cell>
          <cell r="AE154">
            <v>4</v>
          </cell>
          <cell r="AF154">
            <v>4</v>
          </cell>
          <cell r="AG154">
            <v>3</v>
          </cell>
          <cell r="AH154">
            <v>3</v>
          </cell>
        </row>
        <row r="155">
          <cell r="B155">
            <v>153</v>
          </cell>
          <cell r="J155" t="str">
            <v>213TT00005</v>
          </cell>
          <cell r="K155">
            <v>9.1986725373400004E-3</v>
          </cell>
          <cell r="X155">
            <v>3.8</v>
          </cell>
          <cell r="Y155">
            <v>2</v>
          </cell>
          <cell r="Z155">
            <v>3</v>
          </cell>
          <cell r="AA155">
            <v>6</v>
          </cell>
          <cell r="AB155">
            <v>1</v>
          </cell>
          <cell r="AC155">
            <v>1</v>
          </cell>
          <cell r="AD155">
            <v>1</v>
          </cell>
          <cell r="AE155">
            <v>4</v>
          </cell>
          <cell r="AF155">
            <v>6</v>
          </cell>
          <cell r="AG155">
            <v>3</v>
          </cell>
          <cell r="AH155">
            <v>3</v>
          </cell>
        </row>
        <row r="156">
          <cell r="B156">
            <v>154</v>
          </cell>
          <cell r="K156">
            <v>0.12382251176300001</v>
          </cell>
          <cell r="X156">
            <v>3.5</v>
          </cell>
          <cell r="Y156">
            <v>2</v>
          </cell>
          <cell r="Z156">
            <v>1</v>
          </cell>
          <cell r="AA156">
            <v>8</v>
          </cell>
          <cell r="AB156">
            <v>1</v>
          </cell>
          <cell r="AC156">
            <v>1</v>
          </cell>
          <cell r="AD156">
            <v>1</v>
          </cell>
          <cell r="AE156">
            <v>4</v>
          </cell>
          <cell r="AF156">
            <v>4</v>
          </cell>
          <cell r="AG156">
            <v>3</v>
          </cell>
          <cell r="AH156">
            <v>3</v>
          </cell>
        </row>
        <row r="157">
          <cell r="B157">
            <v>155</v>
          </cell>
          <cell r="D157">
            <v>7.58</v>
          </cell>
          <cell r="J157" t="str">
            <v>214tt00080</v>
          </cell>
          <cell r="K157">
            <v>6.5278041185800006</v>
          </cell>
          <cell r="X157">
            <v>3.4</v>
          </cell>
          <cell r="Y157">
            <v>1</v>
          </cell>
          <cell r="Z157">
            <v>1</v>
          </cell>
          <cell r="AA157">
            <v>8</v>
          </cell>
          <cell r="AB157">
            <v>1</v>
          </cell>
          <cell r="AC157">
            <v>1</v>
          </cell>
          <cell r="AD157">
            <v>1</v>
          </cell>
          <cell r="AE157">
            <v>4</v>
          </cell>
          <cell r="AF157">
            <v>4</v>
          </cell>
          <cell r="AG157">
            <v>3</v>
          </cell>
          <cell r="AH157">
            <v>3</v>
          </cell>
        </row>
        <row r="158">
          <cell r="B158">
            <v>156</v>
          </cell>
          <cell r="D158">
            <v>5.9249999999999998</v>
          </cell>
          <cell r="J158" t="str">
            <v xml:space="preserve">Input VPROMMS: 217b_1 (49.53 pct); 217B_1 (49.06 pct); 214tt00030 (0.94 pct); 214tt00025 (0.47 pct); </v>
          </cell>
          <cell r="K158">
            <v>5.5694915200300006</v>
          </cell>
          <cell r="X158">
            <v>3.5</v>
          </cell>
          <cell r="Y158">
            <v>2</v>
          </cell>
          <cell r="Z158">
            <v>1</v>
          </cell>
          <cell r="AA158">
            <v>8</v>
          </cell>
          <cell r="AB158">
            <v>1</v>
          </cell>
          <cell r="AC158">
            <v>1</v>
          </cell>
          <cell r="AD158">
            <v>1</v>
          </cell>
          <cell r="AE158">
            <v>4</v>
          </cell>
          <cell r="AF158">
            <v>4</v>
          </cell>
          <cell r="AG158">
            <v>3</v>
          </cell>
          <cell r="AH158">
            <v>2</v>
          </cell>
        </row>
        <row r="159">
          <cell r="B159">
            <v>157</v>
          </cell>
          <cell r="J159" t="str">
            <v xml:space="preserve">Input VPROMMS: 214TT00083 (50.0 pct); 213TT00005 (50.0 pct); </v>
          </cell>
          <cell r="K159">
            <v>5.9853421843900002E-2</v>
          </cell>
          <cell r="X159">
            <v>3.5</v>
          </cell>
          <cell r="Y159">
            <v>2</v>
          </cell>
          <cell r="Z159">
            <v>1</v>
          </cell>
          <cell r="AA159">
            <v>8</v>
          </cell>
          <cell r="AB159">
            <v>1</v>
          </cell>
          <cell r="AC159">
            <v>1</v>
          </cell>
          <cell r="AD159">
            <v>1</v>
          </cell>
          <cell r="AE159">
            <v>4</v>
          </cell>
          <cell r="AF159">
            <v>4</v>
          </cell>
          <cell r="AG159">
            <v>3</v>
          </cell>
          <cell r="AH159">
            <v>3</v>
          </cell>
        </row>
        <row r="160">
          <cell r="B160">
            <v>158</v>
          </cell>
          <cell r="D160">
            <v>8.0150000000000006</v>
          </cell>
          <cell r="J160" t="str">
            <v xml:space="preserve">Input VPROMMS: 212TH00024 (50.0 pct); 212th00024 (50.0 pct); </v>
          </cell>
          <cell r="K160">
            <v>0.63469588562500001</v>
          </cell>
          <cell r="X160">
            <v>3.5</v>
          </cell>
          <cell r="Y160">
            <v>2</v>
          </cell>
          <cell r="Z160">
            <v>1</v>
          </cell>
          <cell r="AA160">
            <v>8</v>
          </cell>
          <cell r="AB160">
            <v>1</v>
          </cell>
          <cell r="AC160">
            <v>1</v>
          </cell>
          <cell r="AD160">
            <v>1</v>
          </cell>
          <cell r="AE160">
            <v>4</v>
          </cell>
          <cell r="AF160">
            <v>4</v>
          </cell>
          <cell r="AG160">
            <v>3</v>
          </cell>
          <cell r="AH160">
            <v>4</v>
          </cell>
        </row>
        <row r="161">
          <cell r="B161">
            <v>159</v>
          </cell>
          <cell r="D161">
            <v>9.48</v>
          </cell>
          <cell r="J161" t="str">
            <v>214tt00030</v>
          </cell>
          <cell r="K161">
            <v>2.4275677736899999</v>
          </cell>
          <cell r="X161">
            <v>3.4</v>
          </cell>
          <cell r="Y161">
            <v>1</v>
          </cell>
          <cell r="Z161">
            <v>1</v>
          </cell>
          <cell r="AA161">
            <v>8</v>
          </cell>
          <cell r="AB161">
            <v>1</v>
          </cell>
          <cell r="AC161">
            <v>1</v>
          </cell>
          <cell r="AD161">
            <v>1</v>
          </cell>
          <cell r="AE161">
            <v>4</v>
          </cell>
          <cell r="AF161">
            <v>4</v>
          </cell>
          <cell r="AG161">
            <v>3</v>
          </cell>
          <cell r="AH161">
            <v>4</v>
          </cell>
        </row>
        <row r="162">
          <cell r="B162">
            <v>160</v>
          </cell>
          <cell r="D162">
            <v>9.2449999999999992</v>
          </cell>
          <cell r="J162" t="str">
            <v>212TH00036</v>
          </cell>
          <cell r="K162">
            <v>2.1731241696699999</v>
          </cell>
          <cell r="X162">
            <v>4.3</v>
          </cell>
          <cell r="Y162">
            <v>3</v>
          </cell>
          <cell r="Z162">
            <v>3</v>
          </cell>
          <cell r="AA162">
            <v>8</v>
          </cell>
          <cell r="AB162">
            <v>1</v>
          </cell>
          <cell r="AC162">
            <v>1</v>
          </cell>
          <cell r="AD162">
            <v>1</v>
          </cell>
          <cell r="AE162">
            <v>4</v>
          </cell>
          <cell r="AF162">
            <v>8</v>
          </cell>
          <cell r="AG162">
            <v>3</v>
          </cell>
          <cell r="AH162">
            <v>4</v>
          </cell>
        </row>
        <row r="163">
          <cell r="B163">
            <v>161</v>
          </cell>
          <cell r="J163" t="str">
            <v xml:space="preserve">Input VPROMMS: 214tt00097 (42.86 pct); QL45_2 (28.57 pct); ql45_1 (28.57 pct); </v>
          </cell>
          <cell r="K163">
            <v>0.113264525363</v>
          </cell>
          <cell r="X163">
            <v>3.5</v>
          </cell>
          <cell r="Y163">
            <v>2</v>
          </cell>
          <cell r="Z163">
            <v>1</v>
          </cell>
          <cell r="AA163">
            <v>8</v>
          </cell>
          <cell r="AB163">
            <v>1</v>
          </cell>
          <cell r="AC163">
            <v>1</v>
          </cell>
          <cell r="AD163">
            <v>1</v>
          </cell>
          <cell r="AE163">
            <v>4</v>
          </cell>
          <cell r="AF163">
            <v>4</v>
          </cell>
          <cell r="AG163">
            <v>3</v>
          </cell>
          <cell r="AH163">
            <v>3</v>
          </cell>
        </row>
        <row r="164">
          <cell r="B164">
            <v>162</v>
          </cell>
          <cell r="J164" t="str">
            <v xml:space="preserve">Input VPROMMS: QL45_2 (50.0 pct); ql45_1 (50.0 pct); </v>
          </cell>
          <cell r="K164">
            <v>0.56337027391299999</v>
          </cell>
          <cell r="X164">
            <v>3.5</v>
          </cell>
          <cell r="Y164">
            <v>2</v>
          </cell>
          <cell r="Z164">
            <v>1</v>
          </cell>
          <cell r="AA164">
            <v>8</v>
          </cell>
          <cell r="AB164">
            <v>1</v>
          </cell>
          <cell r="AC164">
            <v>1</v>
          </cell>
          <cell r="AD164">
            <v>1</v>
          </cell>
          <cell r="AE164">
            <v>4</v>
          </cell>
          <cell r="AF164">
            <v>4</v>
          </cell>
          <cell r="AG164">
            <v>3</v>
          </cell>
          <cell r="AH164">
            <v>3</v>
          </cell>
        </row>
        <row r="165">
          <cell r="B165">
            <v>163</v>
          </cell>
          <cell r="D165">
            <v>4.5199999999999996</v>
          </cell>
          <cell r="J165" t="str">
            <v xml:space="preserve">Input VPROMMS: 214tt00087 (50.0 pct); 214tt00097 (50.0 pct); </v>
          </cell>
          <cell r="K165">
            <v>0.12166109435</v>
          </cell>
          <cell r="X165">
            <v>3.5</v>
          </cell>
          <cell r="Y165">
            <v>2</v>
          </cell>
          <cell r="Z165">
            <v>1</v>
          </cell>
          <cell r="AA165">
            <v>8</v>
          </cell>
          <cell r="AB165">
            <v>1</v>
          </cell>
          <cell r="AC165">
            <v>1</v>
          </cell>
          <cell r="AD165">
            <v>1</v>
          </cell>
          <cell r="AE165">
            <v>4</v>
          </cell>
          <cell r="AF165">
            <v>4</v>
          </cell>
          <cell r="AG165">
            <v>3</v>
          </cell>
          <cell r="AH165">
            <v>2</v>
          </cell>
        </row>
        <row r="166">
          <cell r="B166">
            <v>164</v>
          </cell>
          <cell r="D166">
            <v>4.83</v>
          </cell>
          <cell r="J166" t="str">
            <v>214tt00097</v>
          </cell>
          <cell r="K166">
            <v>0.44619854391800001</v>
          </cell>
          <cell r="X166">
            <v>3.4</v>
          </cell>
          <cell r="Y166">
            <v>1</v>
          </cell>
          <cell r="Z166">
            <v>1</v>
          </cell>
          <cell r="AA166">
            <v>8</v>
          </cell>
          <cell r="AB166">
            <v>1</v>
          </cell>
          <cell r="AC166">
            <v>1</v>
          </cell>
          <cell r="AD166">
            <v>1</v>
          </cell>
          <cell r="AE166">
            <v>4</v>
          </cell>
          <cell r="AF166">
            <v>4</v>
          </cell>
          <cell r="AG166">
            <v>3</v>
          </cell>
          <cell r="AH166">
            <v>2</v>
          </cell>
        </row>
        <row r="167">
          <cell r="B167">
            <v>165</v>
          </cell>
          <cell r="D167">
            <v>6.01</v>
          </cell>
          <cell r="J167" t="str">
            <v>214tt00087</v>
          </cell>
          <cell r="K167">
            <v>0.35329402732999998</v>
          </cell>
          <cell r="X167">
            <v>3.4</v>
          </cell>
          <cell r="Y167">
            <v>1</v>
          </cell>
          <cell r="Z167">
            <v>1</v>
          </cell>
          <cell r="AA167">
            <v>8</v>
          </cell>
          <cell r="AB167">
            <v>1</v>
          </cell>
          <cell r="AC167">
            <v>1</v>
          </cell>
          <cell r="AD167">
            <v>1</v>
          </cell>
          <cell r="AE167">
            <v>4</v>
          </cell>
          <cell r="AF167">
            <v>4</v>
          </cell>
          <cell r="AG167">
            <v>3</v>
          </cell>
          <cell r="AH167">
            <v>3</v>
          </cell>
        </row>
        <row r="168">
          <cell r="B168">
            <v>166</v>
          </cell>
          <cell r="J168" t="str">
            <v>214tt00039</v>
          </cell>
          <cell r="K168">
            <v>3.8984263209699999E-2</v>
          </cell>
          <cell r="X168">
            <v>3.4</v>
          </cell>
          <cell r="Y168">
            <v>1</v>
          </cell>
          <cell r="Z168">
            <v>1</v>
          </cell>
          <cell r="AA168">
            <v>8</v>
          </cell>
          <cell r="AB168">
            <v>1</v>
          </cell>
          <cell r="AC168">
            <v>1</v>
          </cell>
          <cell r="AD168">
            <v>1</v>
          </cell>
          <cell r="AE168">
            <v>4</v>
          </cell>
          <cell r="AF168">
            <v>4</v>
          </cell>
          <cell r="AG168">
            <v>3</v>
          </cell>
          <cell r="AH168">
            <v>3</v>
          </cell>
        </row>
        <row r="169">
          <cell r="B169">
            <v>167</v>
          </cell>
          <cell r="D169">
            <v>5.2450000000000001</v>
          </cell>
          <cell r="J169" t="str">
            <v>214tt00086</v>
          </cell>
          <cell r="K169">
            <v>2.1384069705200002</v>
          </cell>
          <cell r="X169">
            <v>3.4</v>
          </cell>
          <cell r="Y169">
            <v>1</v>
          </cell>
          <cell r="Z169">
            <v>1</v>
          </cell>
          <cell r="AA169">
            <v>8</v>
          </cell>
          <cell r="AB169">
            <v>1</v>
          </cell>
          <cell r="AC169">
            <v>1</v>
          </cell>
          <cell r="AD169">
            <v>1</v>
          </cell>
          <cell r="AE169">
            <v>4</v>
          </cell>
          <cell r="AF169">
            <v>4</v>
          </cell>
          <cell r="AG169">
            <v>3</v>
          </cell>
          <cell r="AH169">
            <v>2</v>
          </cell>
        </row>
        <row r="170">
          <cell r="B170">
            <v>168</v>
          </cell>
          <cell r="D170">
            <v>7.9550000000000001</v>
          </cell>
          <cell r="J170" t="str">
            <v xml:space="preserve">Input VPROMMS: 212th00024 (42.86 pct); 212TH00024 (42.86 pct); 214tt00086 (14.29 pct); </v>
          </cell>
          <cell r="K170">
            <v>0.24654432866199999</v>
          </cell>
          <cell r="X170">
            <v>3.5</v>
          </cell>
          <cell r="Y170">
            <v>2</v>
          </cell>
          <cell r="Z170">
            <v>1</v>
          </cell>
          <cell r="AA170">
            <v>8</v>
          </cell>
          <cell r="AB170">
            <v>1</v>
          </cell>
          <cell r="AC170">
            <v>1</v>
          </cell>
          <cell r="AD170">
            <v>1</v>
          </cell>
          <cell r="AE170">
            <v>4</v>
          </cell>
          <cell r="AF170">
            <v>4</v>
          </cell>
          <cell r="AG170">
            <v>3</v>
          </cell>
          <cell r="AH170">
            <v>3</v>
          </cell>
        </row>
        <row r="171">
          <cell r="B171">
            <v>169</v>
          </cell>
          <cell r="D171">
            <v>8.8350000000000009</v>
          </cell>
          <cell r="J171" t="str">
            <v>214tt00081</v>
          </cell>
          <cell r="K171">
            <v>2.0196441996700001</v>
          </cell>
          <cell r="X171">
            <v>3.4</v>
          </cell>
          <cell r="Y171">
            <v>1</v>
          </cell>
          <cell r="Z171">
            <v>1</v>
          </cell>
          <cell r="AA171">
            <v>8</v>
          </cell>
          <cell r="AB171">
            <v>1</v>
          </cell>
          <cell r="AC171">
            <v>1</v>
          </cell>
          <cell r="AD171">
            <v>1</v>
          </cell>
          <cell r="AE171">
            <v>4</v>
          </cell>
          <cell r="AF171">
            <v>4</v>
          </cell>
          <cell r="AG171">
            <v>3</v>
          </cell>
          <cell r="AH171">
            <v>4</v>
          </cell>
        </row>
        <row r="172">
          <cell r="B172">
            <v>170</v>
          </cell>
          <cell r="D172">
            <v>8.15</v>
          </cell>
          <cell r="J172" t="str">
            <v xml:space="preserve">Input VPROMMS: 214tt00039 (30.0 pct); 214TT00040 (20.0 pct); 212TH00024 (20.0 pct); 214tt00040 (20.0 pct); 212th00024 (10.0 pct); </v>
          </cell>
          <cell r="K172">
            <v>6.3215339884800006E-2</v>
          </cell>
          <cell r="X172">
            <v>3.5</v>
          </cell>
          <cell r="Y172">
            <v>2</v>
          </cell>
          <cell r="Z172">
            <v>1</v>
          </cell>
          <cell r="AA172">
            <v>8</v>
          </cell>
          <cell r="AB172">
            <v>1</v>
          </cell>
          <cell r="AC172">
            <v>1</v>
          </cell>
          <cell r="AD172">
            <v>1</v>
          </cell>
          <cell r="AE172">
            <v>4</v>
          </cell>
          <cell r="AF172">
            <v>4</v>
          </cell>
          <cell r="AG172">
            <v>3</v>
          </cell>
          <cell r="AH172">
            <v>4</v>
          </cell>
        </row>
        <row r="173">
          <cell r="B173">
            <v>171</v>
          </cell>
          <cell r="D173">
            <v>7.31</v>
          </cell>
          <cell r="J173" t="str">
            <v xml:space="preserve">Input VPROMMS: 212th00024 (50.0 pct); 212TH00024 (49.0 pct); 214tt00039 (1.0 pct); </v>
          </cell>
          <cell r="K173">
            <v>2.5849496424799998</v>
          </cell>
          <cell r="X173">
            <v>3.5</v>
          </cell>
          <cell r="Y173">
            <v>2</v>
          </cell>
          <cell r="Z173">
            <v>1</v>
          </cell>
          <cell r="AA173">
            <v>8</v>
          </cell>
          <cell r="AB173">
            <v>1</v>
          </cell>
          <cell r="AC173">
            <v>1</v>
          </cell>
          <cell r="AD173">
            <v>1</v>
          </cell>
          <cell r="AE173">
            <v>4</v>
          </cell>
          <cell r="AF173">
            <v>4</v>
          </cell>
          <cell r="AG173">
            <v>3</v>
          </cell>
          <cell r="AH173">
            <v>3</v>
          </cell>
        </row>
        <row r="174">
          <cell r="B174">
            <v>172</v>
          </cell>
          <cell r="D174">
            <v>11.88</v>
          </cell>
          <cell r="J174" t="str">
            <v xml:space="preserve">Input VPROMMS: 214TT00040 (33.74 pct); 214tt00040 (33.13 pct); 214tt00039 (33.13 pct); </v>
          </cell>
          <cell r="K174">
            <v>1.85460780852</v>
          </cell>
          <cell r="X174">
            <v>3.5</v>
          </cell>
          <cell r="Y174">
            <v>2</v>
          </cell>
          <cell r="Z174">
            <v>1</v>
          </cell>
          <cell r="AA174">
            <v>8</v>
          </cell>
          <cell r="AB174">
            <v>1</v>
          </cell>
          <cell r="AC174">
            <v>1</v>
          </cell>
          <cell r="AD174">
            <v>1</v>
          </cell>
          <cell r="AE174">
            <v>4</v>
          </cell>
          <cell r="AF174">
            <v>4</v>
          </cell>
          <cell r="AG174">
            <v>3</v>
          </cell>
          <cell r="AH174">
            <v>4</v>
          </cell>
        </row>
        <row r="175">
          <cell r="B175">
            <v>173</v>
          </cell>
          <cell r="D175">
            <v>12.605</v>
          </cell>
          <cell r="J175" t="str">
            <v xml:space="preserve">Input VPROMMS: 214tt00040 (52.0 pct); 214tt00039 (48.0 pct); </v>
          </cell>
          <cell r="K175">
            <v>0.87271679982299999</v>
          </cell>
          <cell r="X175">
            <v>3.5</v>
          </cell>
          <cell r="Y175">
            <v>2</v>
          </cell>
          <cell r="Z175">
            <v>1</v>
          </cell>
          <cell r="AA175">
            <v>8</v>
          </cell>
          <cell r="AB175">
            <v>1</v>
          </cell>
          <cell r="AC175">
            <v>1</v>
          </cell>
          <cell r="AD175">
            <v>1</v>
          </cell>
          <cell r="AE175">
            <v>4</v>
          </cell>
          <cell r="AF175">
            <v>4</v>
          </cell>
          <cell r="AG175">
            <v>3</v>
          </cell>
          <cell r="AH175">
            <v>5</v>
          </cell>
        </row>
        <row r="176">
          <cell r="B176">
            <v>174</v>
          </cell>
          <cell r="D176">
            <v>7.11</v>
          </cell>
          <cell r="J176" t="str">
            <v>214tt00032</v>
          </cell>
          <cell r="K176">
            <v>2.4315525456299998</v>
          </cell>
          <cell r="X176">
            <v>3.4</v>
          </cell>
          <cell r="Y176">
            <v>1</v>
          </cell>
          <cell r="Z176">
            <v>1</v>
          </cell>
          <cell r="AA176">
            <v>8</v>
          </cell>
          <cell r="AB176">
            <v>1</v>
          </cell>
          <cell r="AC176">
            <v>1</v>
          </cell>
          <cell r="AD176">
            <v>1</v>
          </cell>
          <cell r="AE176">
            <v>4</v>
          </cell>
          <cell r="AF176">
            <v>4</v>
          </cell>
          <cell r="AG176">
            <v>3</v>
          </cell>
          <cell r="AH176">
            <v>3</v>
          </cell>
        </row>
        <row r="177">
          <cell r="B177">
            <v>175</v>
          </cell>
          <cell r="D177">
            <v>5.91</v>
          </cell>
          <cell r="J177" t="str">
            <v>214tt00032</v>
          </cell>
          <cell r="K177">
            <v>0.68052414162699992</v>
          </cell>
          <cell r="X177">
            <v>3.4</v>
          </cell>
          <cell r="Y177">
            <v>1</v>
          </cell>
          <cell r="Z177">
            <v>1</v>
          </cell>
          <cell r="AA177">
            <v>8</v>
          </cell>
          <cell r="AB177">
            <v>1</v>
          </cell>
          <cell r="AC177">
            <v>1</v>
          </cell>
          <cell r="AD177">
            <v>1</v>
          </cell>
          <cell r="AE177">
            <v>4</v>
          </cell>
          <cell r="AF177">
            <v>4</v>
          </cell>
          <cell r="AG177">
            <v>3</v>
          </cell>
          <cell r="AH177">
            <v>2</v>
          </cell>
        </row>
        <row r="178">
          <cell r="B178">
            <v>176</v>
          </cell>
          <cell r="J178" t="str">
            <v>214tt00085</v>
          </cell>
          <cell r="K178">
            <v>9.5135364457300003E-2</v>
          </cell>
          <cell r="X178">
            <v>3.4</v>
          </cell>
          <cell r="Y178">
            <v>1</v>
          </cell>
          <cell r="Z178">
            <v>1</v>
          </cell>
          <cell r="AA178">
            <v>8</v>
          </cell>
          <cell r="AB178">
            <v>1</v>
          </cell>
          <cell r="AC178">
            <v>1</v>
          </cell>
          <cell r="AD178">
            <v>1</v>
          </cell>
          <cell r="AE178">
            <v>4</v>
          </cell>
          <cell r="AF178">
            <v>4</v>
          </cell>
          <cell r="AG178">
            <v>3</v>
          </cell>
          <cell r="AH178">
            <v>3</v>
          </cell>
        </row>
        <row r="179">
          <cell r="B179">
            <v>177</v>
          </cell>
          <cell r="D179">
            <v>5.61</v>
          </cell>
          <cell r="J179" t="str">
            <v>214tt00086</v>
          </cell>
          <cell r="K179">
            <v>0.59494629103999996</v>
          </cell>
          <cell r="X179">
            <v>3.4</v>
          </cell>
          <cell r="Y179">
            <v>1</v>
          </cell>
          <cell r="Z179">
            <v>1</v>
          </cell>
          <cell r="AA179">
            <v>8</v>
          </cell>
          <cell r="AB179">
            <v>1</v>
          </cell>
          <cell r="AC179">
            <v>1</v>
          </cell>
          <cell r="AD179">
            <v>1</v>
          </cell>
          <cell r="AE179">
            <v>4</v>
          </cell>
          <cell r="AF179">
            <v>4</v>
          </cell>
          <cell r="AG179">
            <v>3</v>
          </cell>
          <cell r="AH179">
            <v>2</v>
          </cell>
        </row>
        <row r="180">
          <cell r="B180">
            <v>178</v>
          </cell>
          <cell r="D180">
            <v>4.84</v>
          </cell>
          <cell r="J180" t="str">
            <v xml:space="preserve">Input VPROMMS: 214tt00086 (57.14 pct); 214tt00087 (42.86 pct); </v>
          </cell>
          <cell r="K180">
            <v>0.37002271925000002</v>
          </cell>
          <cell r="X180">
            <v>3.5</v>
          </cell>
          <cell r="Y180">
            <v>2</v>
          </cell>
          <cell r="Z180">
            <v>1</v>
          </cell>
          <cell r="AA180">
            <v>8</v>
          </cell>
          <cell r="AB180">
            <v>1</v>
          </cell>
          <cell r="AC180">
            <v>1</v>
          </cell>
          <cell r="AD180">
            <v>1</v>
          </cell>
          <cell r="AE180">
            <v>4</v>
          </cell>
          <cell r="AF180">
            <v>4</v>
          </cell>
          <cell r="AG180">
            <v>3</v>
          </cell>
          <cell r="AH180">
            <v>2</v>
          </cell>
        </row>
        <row r="181">
          <cell r="B181">
            <v>179</v>
          </cell>
          <cell r="D181">
            <v>12.18</v>
          </cell>
          <cell r="J181" t="str">
            <v xml:space="preserve">Input VPROMMS: 212th00034 (46.67 pct); 214tt00012 (40.0 pct); 214tt00080 (13.33 pct); </v>
          </cell>
          <cell r="K181">
            <v>0.67287961263200002</v>
          </cell>
          <cell r="X181">
            <v>3.5</v>
          </cell>
          <cell r="Y181">
            <v>2</v>
          </cell>
          <cell r="Z181">
            <v>1</v>
          </cell>
          <cell r="AA181">
            <v>8</v>
          </cell>
          <cell r="AB181">
            <v>1</v>
          </cell>
          <cell r="AC181">
            <v>1</v>
          </cell>
          <cell r="AD181">
            <v>1</v>
          </cell>
          <cell r="AE181">
            <v>4</v>
          </cell>
          <cell r="AF181">
            <v>4</v>
          </cell>
          <cell r="AG181">
            <v>3</v>
          </cell>
          <cell r="AH181">
            <v>5</v>
          </cell>
        </row>
        <row r="182">
          <cell r="B182">
            <v>180</v>
          </cell>
          <cell r="J182" t="str">
            <v xml:space="preserve">Input VPROMMS: QL45_2 (50.0 pct); ql45_1 (50.0 pct); </v>
          </cell>
          <cell r="K182">
            <v>4.46910804237E-2</v>
          </cell>
          <cell r="X182">
            <v>3.5</v>
          </cell>
          <cell r="Y182">
            <v>2</v>
          </cell>
          <cell r="Z182">
            <v>1</v>
          </cell>
          <cell r="AA182">
            <v>8</v>
          </cell>
          <cell r="AB182">
            <v>1</v>
          </cell>
          <cell r="AC182">
            <v>1</v>
          </cell>
          <cell r="AD182">
            <v>1</v>
          </cell>
          <cell r="AE182">
            <v>4</v>
          </cell>
          <cell r="AF182">
            <v>4</v>
          </cell>
          <cell r="AG182">
            <v>3</v>
          </cell>
          <cell r="AH182">
            <v>3</v>
          </cell>
        </row>
        <row r="183">
          <cell r="B183">
            <v>181</v>
          </cell>
          <cell r="D183">
            <v>5.49</v>
          </cell>
          <cell r="J183" t="str">
            <v xml:space="preserve">Input VPROMMS: 214tt00085 (70.0 pct); 214tt00097 (30.0 pct); </v>
          </cell>
          <cell r="K183">
            <v>0.28683599034000001</v>
          </cell>
          <cell r="X183">
            <v>3.5</v>
          </cell>
          <cell r="Y183">
            <v>2</v>
          </cell>
          <cell r="Z183">
            <v>1</v>
          </cell>
          <cell r="AA183">
            <v>8</v>
          </cell>
          <cell r="AB183">
            <v>1</v>
          </cell>
          <cell r="AC183">
            <v>1</v>
          </cell>
          <cell r="AD183">
            <v>1</v>
          </cell>
          <cell r="AE183">
            <v>4</v>
          </cell>
          <cell r="AF183">
            <v>4</v>
          </cell>
          <cell r="AG183">
            <v>3</v>
          </cell>
          <cell r="AH183">
            <v>2</v>
          </cell>
        </row>
        <row r="184">
          <cell r="B184">
            <v>182</v>
          </cell>
          <cell r="J184" t="str">
            <v xml:space="preserve">Input VPROMMS: QL45_2 (40.0 pct); ql45_1 (40.0 pct); 212TH00036 (20.0 pct); </v>
          </cell>
          <cell r="K184">
            <v>0.36344588617700002</v>
          </cell>
          <cell r="X184">
            <v>3.5</v>
          </cell>
          <cell r="Y184">
            <v>2</v>
          </cell>
          <cell r="Z184">
            <v>1</v>
          </cell>
          <cell r="AA184">
            <v>8</v>
          </cell>
          <cell r="AB184">
            <v>1</v>
          </cell>
          <cell r="AC184">
            <v>1</v>
          </cell>
          <cell r="AD184">
            <v>1</v>
          </cell>
          <cell r="AE184">
            <v>4</v>
          </cell>
          <cell r="AF184">
            <v>4</v>
          </cell>
          <cell r="AG184">
            <v>3</v>
          </cell>
          <cell r="AH184">
            <v>3</v>
          </cell>
        </row>
        <row r="185">
          <cell r="B185">
            <v>183</v>
          </cell>
          <cell r="D185">
            <v>9.6300000000000008</v>
          </cell>
          <cell r="J185" t="str">
            <v xml:space="preserve">Input VPROMMS: 212TH00024 (40.0 pct); 214tt00040 (20.0 pct); 212th00024 (20.0 pct); 214tt00039 (20.0 pct); </v>
          </cell>
          <cell r="K185">
            <v>5.5140341720300003E-2</v>
          </cell>
          <cell r="X185">
            <v>3.5</v>
          </cell>
          <cell r="Y185">
            <v>2</v>
          </cell>
          <cell r="Z185">
            <v>1</v>
          </cell>
          <cell r="AA185">
            <v>8</v>
          </cell>
          <cell r="AB185">
            <v>1</v>
          </cell>
          <cell r="AC185">
            <v>1</v>
          </cell>
          <cell r="AD185">
            <v>1</v>
          </cell>
          <cell r="AE185">
            <v>4</v>
          </cell>
          <cell r="AF185">
            <v>4</v>
          </cell>
          <cell r="AG185">
            <v>3</v>
          </cell>
          <cell r="AH185">
            <v>4</v>
          </cell>
        </row>
        <row r="186">
          <cell r="B186">
            <v>184</v>
          </cell>
          <cell r="J186" t="str">
            <v>214tt00039</v>
          </cell>
          <cell r="K186">
            <v>0.131220892576</v>
          </cell>
          <cell r="X186">
            <v>3.4</v>
          </cell>
          <cell r="Y186">
            <v>1</v>
          </cell>
          <cell r="Z186">
            <v>1</v>
          </cell>
          <cell r="AA186">
            <v>8</v>
          </cell>
          <cell r="AB186">
            <v>1</v>
          </cell>
          <cell r="AC186">
            <v>1</v>
          </cell>
          <cell r="AD186">
            <v>1</v>
          </cell>
          <cell r="AE186">
            <v>4</v>
          </cell>
          <cell r="AF186">
            <v>4</v>
          </cell>
          <cell r="AG186">
            <v>3</v>
          </cell>
          <cell r="AH186">
            <v>3</v>
          </cell>
        </row>
        <row r="187">
          <cell r="B187">
            <v>185</v>
          </cell>
          <cell r="D187">
            <v>8.35</v>
          </cell>
          <cell r="J187" t="str">
            <v xml:space="preserve">Input VPROMMS: 212TH00024 (51.43 pct); 212th00024 (48.57 pct); </v>
          </cell>
          <cell r="K187">
            <v>0.809723318079</v>
          </cell>
          <cell r="X187">
            <v>3.5</v>
          </cell>
          <cell r="Y187">
            <v>2</v>
          </cell>
          <cell r="Z187">
            <v>1</v>
          </cell>
          <cell r="AA187">
            <v>8</v>
          </cell>
          <cell r="AB187">
            <v>1</v>
          </cell>
          <cell r="AC187">
            <v>1</v>
          </cell>
          <cell r="AD187">
            <v>1</v>
          </cell>
          <cell r="AE187">
            <v>4</v>
          </cell>
          <cell r="AF187">
            <v>4</v>
          </cell>
          <cell r="AG187">
            <v>3</v>
          </cell>
          <cell r="AH187">
            <v>4</v>
          </cell>
        </row>
        <row r="188">
          <cell r="B188">
            <v>186</v>
          </cell>
          <cell r="D188">
            <v>4.88</v>
          </cell>
          <cell r="J188" t="str">
            <v>214tt00087</v>
          </cell>
          <cell r="K188">
            <v>0.82508742738199992</v>
          </cell>
          <cell r="X188">
            <v>3.4</v>
          </cell>
          <cell r="Y188">
            <v>1</v>
          </cell>
          <cell r="Z188">
            <v>1</v>
          </cell>
          <cell r="AA188">
            <v>8</v>
          </cell>
          <cell r="AB188">
            <v>1</v>
          </cell>
          <cell r="AC188">
            <v>1</v>
          </cell>
          <cell r="AD188">
            <v>1</v>
          </cell>
          <cell r="AE188">
            <v>4</v>
          </cell>
          <cell r="AF188">
            <v>4</v>
          </cell>
          <cell r="AG188">
            <v>3</v>
          </cell>
          <cell r="AH188">
            <v>2</v>
          </cell>
        </row>
        <row r="189">
          <cell r="B189">
            <v>187</v>
          </cell>
          <cell r="J189" t="str">
            <v xml:space="preserve">Input VPROMMS: 212TH00036 (75.0 pct); ql45_1 (25.0 pct); </v>
          </cell>
          <cell r="K189">
            <v>2.7901723543499998E-2</v>
          </cell>
          <cell r="X189">
            <v>3.5</v>
          </cell>
          <cell r="Y189">
            <v>2</v>
          </cell>
          <cell r="Z189">
            <v>1</v>
          </cell>
          <cell r="AA189">
            <v>8</v>
          </cell>
          <cell r="AB189">
            <v>1</v>
          </cell>
          <cell r="AC189">
            <v>1</v>
          </cell>
          <cell r="AD189">
            <v>1</v>
          </cell>
          <cell r="AE189">
            <v>4</v>
          </cell>
          <cell r="AF189">
            <v>4</v>
          </cell>
          <cell r="AG189">
            <v>3</v>
          </cell>
          <cell r="AH189">
            <v>3</v>
          </cell>
        </row>
        <row r="190">
          <cell r="B190">
            <v>188</v>
          </cell>
          <cell r="D190">
            <v>7.73</v>
          </cell>
          <cell r="J190" t="str">
            <v>212TH00036</v>
          </cell>
          <cell r="K190">
            <v>0.72655475333899999</v>
          </cell>
          <cell r="X190">
            <v>4.3</v>
          </cell>
          <cell r="Y190">
            <v>3</v>
          </cell>
          <cell r="Z190">
            <v>3</v>
          </cell>
          <cell r="AA190">
            <v>8</v>
          </cell>
          <cell r="AB190">
            <v>1</v>
          </cell>
          <cell r="AC190">
            <v>1</v>
          </cell>
          <cell r="AD190">
            <v>1</v>
          </cell>
          <cell r="AE190">
            <v>4</v>
          </cell>
          <cell r="AF190">
            <v>8</v>
          </cell>
          <cell r="AG190">
            <v>3</v>
          </cell>
          <cell r="AH190">
            <v>3</v>
          </cell>
        </row>
        <row r="191">
          <cell r="B191">
            <v>189</v>
          </cell>
          <cell r="D191">
            <v>4.33</v>
          </cell>
          <cell r="J191" t="str">
            <v xml:space="preserve">Input VPROMMS: 212TH00036 (66.67 pct); QL45_2 (15.15 pct); ql45_1 (15.15 pct); 214tt00032 (3.03 pct); </v>
          </cell>
          <cell r="K191">
            <v>0.31407555055000003</v>
          </cell>
          <cell r="X191">
            <v>3.5</v>
          </cell>
          <cell r="Y191">
            <v>2</v>
          </cell>
          <cell r="Z191">
            <v>1</v>
          </cell>
          <cell r="AA191">
            <v>8</v>
          </cell>
          <cell r="AB191">
            <v>1</v>
          </cell>
          <cell r="AC191">
            <v>1</v>
          </cell>
          <cell r="AD191">
            <v>1</v>
          </cell>
          <cell r="AE191">
            <v>4</v>
          </cell>
          <cell r="AF191">
            <v>4</v>
          </cell>
          <cell r="AG191">
            <v>3</v>
          </cell>
          <cell r="AH191">
            <v>2</v>
          </cell>
        </row>
        <row r="192">
          <cell r="B192">
            <v>190</v>
          </cell>
          <cell r="D192">
            <v>7.8849999999999998</v>
          </cell>
          <cell r="J192" t="str">
            <v xml:space="preserve">Input VPROMMS: 214tt00012 (27.59 pct); 212th00034 (27.59 pct); 212th00024 (22.41 pct); 212TH00024 (22.41 pct); </v>
          </cell>
          <cell r="K192">
            <v>1.4577345559499999</v>
          </cell>
          <cell r="X192">
            <v>3.5</v>
          </cell>
          <cell r="Y192">
            <v>2</v>
          </cell>
          <cell r="Z192">
            <v>1</v>
          </cell>
          <cell r="AA192">
            <v>8</v>
          </cell>
          <cell r="AB192">
            <v>1</v>
          </cell>
          <cell r="AC192">
            <v>1</v>
          </cell>
          <cell r="AD192">
            <v>1</v>
          </cell>
          <cell r="AE192">
            <v>4</v>
          </cell>
          <cell r="AF192">
            <v>4</v>
          </cell>
          <cell r="AG192">
            <v>3</v>
          </cell>
          <cell r="AH192">
            <v>3</v>
          </cell>
        </row>
        <row r="193">
          <cell r="B193">
            <v>191</v>
          </cell>
          <cell r="D193">
            <v>9.4250000000000007</v>
          </cell>
          <cell r="J193" t="str">
            <v xml:space="preserve">Input VPROMMS: 212th00024 (49.57 pct); 212TH00024 (49.57 pct); 212th00034 (0.43 pct); 212TH00036 (0.43 pct); </v>
          </cell>
          <cell r="K193">
            <v>7.3600959384199998</v>
          </cell>
          <cell r="X193">
            <v>3.5</v>
          </cell>
          <cell r="Y193">
            <v>2</v>
          </cell>
          <cell r="Z193">
            <v>1</v>
          </cell>
          <cell r="AA193">
            <v>8</v>
          </cell>
          <cell r="AB193">
            <v>1</v>
          </cell>
          <cell r="AC193">
            <v>1</v>
          </cell>
          <cell r="AD193">
            <v>1</v>
          </cell>
          <cell r="AE193">
            <v>4</v>
          </cell>
          <cell r="AF193">
            <v>4</v>
          </cell>
          <cell r="AG193">
            <v>3</v>
          </cell>
          <cell r="AH193">
            <v>4</v>
          </cell>
        </row>
        <row r="194">
          <cell r="B194">
            <v>192</v>
          </cell>
          <cell r="D194">
            <v>11.28</v>
          </cell>
          <cell r="J194" t="str">
            <v xml:space="preserve">Input VPROMMS: QL45_2 (46.43 pct); ql45_1 (46.43 pct); 214tt00092 (7.14 pct); </v>
          </cell>
          <cell r="K194">
            <v>0.7323786517380001</v>
          </cell>
          <cell r="X194">
            <v>3.5</v>
          </cell>
          <cell r="Y194">
            <v>2</v>
          </cell>
          <cell r="Z194">
            <v>1</v>
          </cell>
          <cell r="AA194">
            <v>8</v>
          </cell>
          <cell r="AB194">
            <v>1</v>
          </cell>
          <cell r="AC194">
            <v>1</v>
          </cell>
          <cell r="AD194">
            <v>1</v>
          </cell>
          <cell r="AE194">
            <v>4</v>
          </cell>
          <cell r="AF194">
            <v>4</v>
          </cell>
          <cell r="AG194">
            <v>3</v>
          </cell>
          <cell r="AH194">
            <v>4</v>
          </cell>
        </row>
        <row r="195">
          <cell r="B195">
            <v>193</v>
          </cell>
          <cell r="D195">
            <v>8.3350000000000009</v>
          </cell>
          <cell r="J195" t="str">
            <v xml:space="preserve">Input VPROMMS: 214tt00012 (51.28 pct); 212th00034 (48.72 pct); </v>
          </cell>
          <cell r="K195">
            <v>0.83122035686600004</v>
          </cell>
          <cell r="X195">
            <v>3.5</v>
          </cell>
          <cell r="Y195">
            <v>2</v>
          </cell>
          <cell r="Z195">
            <v>1</v>
          </cell>
          <cell r="AA195">
            <v>8</v>
          </cell>
          <cell r="AB195">
            <v>1</v>
          </cell>
          <cell r="AC195">
            <v>1</v>
          </cell>
          <cell r="AD195">
            <v>1</v>
          </cell>
          <cell r="AE195">
            <v>4</v>
          </cell>
          <cell r="AF195">
            <v>4</v>
          </cell>
          <cell r="AG195">
            <v>3</v>
          </cell>
          <cell r="AH195">
            <v>4</v>
          </cell>
        </row>
        <row r="196">
          <cell r="B196">
            <v>194</v>
          </cell>
          <cell r="D196">
            <v>10.125</v>
          </cell>
          <cell r="J196" t="str">
            <v>212TH00036</v>
          </cell>
          <cell r="K196">
            <v>2.5260818995499998</v>
          </cell>
          <cell r="X196">
            <v>4.3</v>
          </cell>
          <cell r="Y196">
            <v>3</v>
          </cell>
          <cell r="Z196">
            <v>3</v>
          </cell>
          <cell r="AA196">
            <v>8</v>
          </cell>
          <cell r="AB196">
            <v>1</v>
          </cell>
          <cell r="AC196">
            <v>1</v>
          </cell>
          <cell r="AD196">
            <v>1</v>
          </cell>
          <cell r="AE196">
            <v>4</v>
          </cell>
          <cell r="AF196">
            <v>8</v>
          </cell>
          <cell r="AG196">
            <v>3</v>
          </cell>
          <cell r="AH196">
            <v>4</v>
          </cell>
        </row>
        <row r="197">
          <cell r="B197">
            <v>195</v>
          </cell>
          <cell r="D197">
            <v>11.38</v>
          </cell>
          <cell r="J197" t="str">
            <v>214tt00088</v>
          </cell>
          <cell r="K197">
            <v>2.0400536040500001</v>
          </cell>
          <cell r="X197">
            <v>3.4</v>
          </cell>
          <cell r="Y197">
            <v>1</v>
          </cell>
          <cell r="Z197">
            <v>1</v>
          </cell>
          <cell r="AA197">
            <v>8</v>
          </cell>
          <cell r="AB197">
            <v>1</v>
          </cell>
          <cell r="AC197">
            <v>1</v>
          </cell>
          <cell r="AD197">
            <v>1</v>
          </cell>
          <cell r="AE197">
            <v>4</v>
          </cell>
          <cell r="AF197">
            <v>4</v>
          </cell>
          <cell r="AG197">
            <v>3</v>
          </cell>
          <cell r="AH197">
            <v>4</v>
          </cell>
        </row>
        <row r="198">
          <cell r="B198">
            <v>196</v>
          </cell>
          <cell r="D198">
            <v>14.71</v>
          </cell>
          <cell r="J198" t="str">
            <v>214tt00092</v>
          </cell>
          <cell r="K198">
            <v>0.89889493996500003</v>
          </cell>
          <cell r="X198">
            <v>3.4</v>
          </cell>
          <cell r="Y198">
            <v>1</v>
          </cell>
          <cell r="Z198">
            <v>1</v>
          </cell>
          <cell r="AA198">
            <v>8</v>
          </cell>
          <cell r="AB198">
            <v>1</v>
          </cell>
          <cell r="AC198">
            <v>1</v>
          </cell>
          <cell r="AD198">
            <v>1</v>
          </cell>
          <cell r="AE198">
            <v>4</v>
          </cell>
          <cell r="AF198">
            <v>4</v>
          </cell>
          <cell r="AG198">
            <v>3</v>
          </cell>
          <cell r="AH198">
            <v>5</v>
          </cell>
        </row>
        <row r="199">
          <cell r="B199">
            <v>197</v>
          </cell>
          <cell r="D199">
            <v>12.895</v>
          </cell>
          <cell r="J199" t="str">
            <v>214tt00030</v>
          </cell>
          <cell r="K199">
            <v>0.42283780254199999</v>
          </cell>
          <cell r="X199">
            <v>3.4</v>
          </cell>
          <cell r="Y199">
            <v>1</v>
          </cell>
          <cell r="Z199">
            <v>1</v>
          </cell>
          <cell r="AA199">
            <v>8</v>
          </cell>
          <cell r="AB199">
            <v>1</v>
          </cell>
          <cell r="AC199">
            <v>1</v>
          </cell>
          <cell r="AD199">
            <v>1</v>
          </cell>
          <cell r="AE199">
            <v>4</v>
          </cell>
          <cell r="AF199">
            <v>4</v>
          </cell>
          <cell r="AG199">
            <v>3</v>
          </cell>
          <cell r="AH199">
            <v>5</v>
          </cell>
        </row>
        <row r="200">
          <cell r="B200">
            <v>198</v>
          </cell>
          <cell r="D200">
            <v>5.66</v>
          </cell>
          <cell r="J200" t="str">
            <v xml:space="preserve">Input VPROMMS: 214tt00032 (71.31 pct); 214tt00098 (27.46 pct); 214tt00099 (1.23 pct); </v>
          </cell>
          <cell r="K200">
            <v>5.3546267547099999</v>
          </cell>
          <cell r="X200">
            <v>3.5</v>
          </cell>
          <cell r="Y200">
            <v>2</v>
          </cell>
          <cell r="Z200">
            <v>1</v>
          </cell>
          <cell r="AA200">
            <v>8</v>
          </cell>
          <cell r="AB200">
            <v>1</v>
          </cell>
          <cell r="AC200">
            <v>1</v>
          </cell>
          <cell r="AD200">
            <v>1</v>
          </cell>
          <cell r="AE200">
            <v>4</v>
          </cell>
          <cell r="AF200">
            <v>4</v>
          </cell>
          <cell r="AG200">
            <v>3</v>
          </cell>
          <cell r="AH200">
            <v>2</v>
          </cell>
        </row>
        <row r="201">
          <cell r="B201">
            <v>199</v>
          </cell>
          <cell r="D201">
            <v>12.8</v>
          </cell>
          <cell r="J201" t="str">
            <v xml:space="preserve">Input VPROMMS: QL45_2 (49.64 pct); ql45_1 (49.64 pct); 214tt00099 (0.73 pct); </v>
          </cell>
          <cell r="K201">
            <v>4.3803431742700001</v>
          </cell>
          <cell r="X201">
            <v>3.5</v>
          </cell>
          <cell r="Y201">
            <v>2</v>
          </cell>
          <cell r="Z201">
            <v>1</v>
          </cell>
          <cell r="AA201">
            <v>8</v>
          </cell>
          <cell r="AB201">
            <v>1</v>
          </cell>
          <cell r="AC201">
            <v>1</v>
          </cell>
          <cell r="AD201">
            <v>1</v>
          </cell>
          <cell r="AE201">
            <v>4</v>
          </cell>
          <cell r="AF201">
            <v>4</v>
          </cell>
          <cell r="AG201">
            <v>3</v>
          </cell>
          <cell r="AH201">
            <v>5</v>
          </cell>
        </row>
        <row r="202">
          <cell r="B202">
            <v>200</v>
          </cell>
          <cell r="D202">
            <v>11.51</v>
          </cell>
          <cell r="J202" t="str">
            <v>214tt00030</v>
          </cell>
          <cell r="K202">
            <v>2.3360420839499998</v>
          </cell>
          <cell r="X202">
            <v>3.4</v>
          </cell>
          <cell r="Y202">
            <v>1</v>
          </cell>
          <cell r="Z202">
            <v>1</v>
          </cell>
          <cell r="AA202">
            <v>8</v>
          </cell>
          <cell r="AB202">
            <v>1</v>
          </cell>
          <cell r="AC202">
            <v>1</v>
          </cell>
          <cell r="AD202">
            <v>1</v>
          </cell>
          <cell r="AE202">
            <v>4</v>
          </cell>
          <cell r="AF202">
            <v>4</v>
          </cell>
          <cell r="AG202">
            <v>3</v>
          </cell>
          <cell r="AH202">
            <v>4</v>
          </cell>
        </row>
        <row r="203">
          <cell r="B203">
            <v>201</v>
          </cell>
          <cell r="D203">
            <v>10.17</v>
          </cell>
          <cell r="J203" t="str">
            <v>214tt00029</v>
          </cell>
          <cell r="K203">
            <v>2.0692651131700002</v>
          </cell>
          <cell r="X203">
            <v>3.4</v>
          </cell>
          <cell r="Y203">
            <v>1</v>
          </cell>
          <cell r="Z203">
            <v>1</v>
          </cell>
          <cell r="AA203">
            <v>8</v>
          </cell>
          <cell r="AB203">
            <v>1</v>
          </cell>
          <cell r="AC203">
            <v>1</v>
          </cell>
          <cell r="AD203">
            <v>1</v>
          </cell>
          <cell r="AE203">
            <v>4</v>
          </cell>
          <cell r="AF203">
            <v>4</v>
          </cell>
          <cell r="AG203">
            <v>3</v>
          </cell>
          <cell r="AH203">
            <v>4</v>
          </cell>
        </row>
        <row r="204">
          <cell r="B204">
            <v>202</v>
          </cell>
          <cell r="D204">
            <v>9.1349999999999998</v>
          </cell>
          <cell r="J204" t="str">
            <v xml:space="preserve">Input VPROMMS: 214tt00046 (52.38 pct); 214tt00047 (47.62 pct); </v>
          </cell>
          <cell r="K204">
            <v>0.29069273899199999</v>
          </cell>
          <cell r="X204">
            <v>3.5</v>
          </cell>
          <cell r="Y204">
            <v>2</v>
          </cell>
          <cell r="Z204">
            <v>1</v>
          </cell>
          <cell r="AA204">
            <v>8</v>
          </cell>
          <cell r="AB204">
            <v>1</v>
          </cell>
          <cell r="AC204">
            <v>1</v>
          </cell>
          <cell r="AD204">
            <v>1</v>
          </cell>
          <cell r="AE204">
            <v>4</v>
          </cell>
          <cell r="AF204">
            <v>4</v>
          </cell>
          <cell r="AG204">
            <v>3</v>
          </cell>
          <cell r="AH204">
            <v>4</v>
          </cell>
        </row>
        <row r="205">
          <cell r="B205">
            <v>203</v>
          </cell>
          <cell r="D205">
            <v>14.36</v>
          </cell>
          <cell r="J205" t="str">
            <v xml:space="preserve">Input VPROMMS: 214tt00046 (33.33 pct); 214tt00047 (33.33 pct); 214tt00012 (33.33 pct); </v>
          </cell>
          <cell r="K205">
            <v>2.1053056899499999E-2</v>
          </cell>
          <cell r="X205">
            <v>3.5</v>
          </cell>
          <cell r="Y205">
            <v>2</v>
          </cell>
          <cell r="Z205">
            <v>1</v>
          </cell>
          <cell r="AA205">
            <v>8</v>
          </cell>
          <cell r="AB205">
            <v>1</v>
          </cell>
          <cell r="AC205">
            <v>1</v>
          </cell>
          <cell r="AD205">
            <v>1</v>
          </cell>
          <cell r="AE205">
            <v>4</v>
          </cell>
          <cell r="AF205">
            <v>4</v>
          </cell>
          <cell r="AG205">
            <v>3</v>
          </cell>
          <cell r="AH205">
            <v>5</v>
          </cell>
        </row>
        <row r="206">
          <cell r="B206">
            <v>204</v>
          </cell>
          <cell r="D206">
            <v>7.61</v>
          </cell>
          <cell r="J206" t="str">
            <v xml:space="preserve">Input VPROMMS: 212th00034 (56.38 pct); 214tt00012 (43.62 pct); </v>
          </cell>
          <cell r="K206">
            <v>4.6241833749600003</v>
          </cell>
          <cell r="X206">
            <v>3.5</v>
          </cell>
          <cell r="Y206">
            <v>2</v>
          </cell>
          <cell r="Z206">
            <v>1</v>
          </cell>
          <cell r="AA206">
            <v>8</v>
          </cell>
          <cell r="AB206">
            <v>1</v>
          </cell>
          <cell r="AC206">
            <v>1</v>
          </cell>
          <cell r="AD206">
            <v>1</v>
          </cell>
          <cell r="AE206">
            <v>4</v>
          </cell>
          <cell r="AF206">
            <v>4</v>
          </cell>
          <cell r="AG206">
            <v>3</v>
          </cell>
          <cell r="AH206">
            <v>3</v>
          </cell>
        </row>
        <row r="207">
          <cell r="B207">
            <v>205</v>
          </cell>
          <cell r="D207">
            <v>10.039999999999999</v>
          </cell>
          <cell r="J207" t="str">
            <v xml:space="preserve">Input VPROMMS: 214tt00046 (50.0 pct); 214tt00047 (50.0 pct); </v>
          </cell>
          <cell r="K207">
            <v>2.9286211130800002</v>
          </cell>
          <cell r="X207">
            <v>3.5</v>
          </cell>
          <cell r="Y207">
            <v>2</v>
          </cell>
          <cell r="Z207">
            <v>1</v>
          </cell>
          <cell r="AA207">
            <v>8</v>
          </cell>
          <cell r="AB207">
            <v>1</v>
          </cell>
          <cell r="AC207">
            <v>1</v>
          </cell>
          <cell r="AD207">
            <v>1</v>
          </cell>
          <cell r="AE207">
            <v>4</v>
          </cell>
          <cell r="AF207">
            <v>4</v>
          </cell>
          <cell r="AG207">
            <v>3</v>
          </cell>
          <cell r="AH207">
            <v>4</v>
          </cell>
        </row>
        <row r="208">
          <cell r="B208">
            <v>206</v>
          </cell>
          <cell r="D208">
            <v>8.6050000000000004</v>
          </cell>
          <cell r="J208" t="str">
            <v xml:space="preserve">Input VPROMMS: 212th00023 (38.21 pct); 214tt00090 (37.8 pct); 213TT00006 (19.11 pct); 214tt00012 (3.25 pct); 212TH00024 (0.81 pct); 212th00024 (0.81 pct); </v>
          </cell>
          <cell r="K208">
            <v>1.87666721052</v>
          </cell>
          <cell r="X208">
            <v>3.5</v>
          </cell>
          <cell r="Y208">
            <v>2</v>
          </cell>
          <cell r="Z208">
            <v>1</v>
          </cell>
          <cell r="AA208">
            <v>8</v>
          </cell>
          <cell r="AB208">
            <v>1</v>
          </cell>
          <cell r="AC208">
            <v>1</v>
          </cell>
          <cell r="AD208">
            <v>1</v>
          </cell>
          <cell r="AE208">
            <v>4</v>
          </cell>
          <cell r="AF208">
            <v>4</v>
          </cell>
          <cell r="AG208">
            <v>3</v>
          </cell>
          <cell r="AH208">
            <v>4</v>
          </cell>
        </row>
        <row r="209">
          <cell r="B209">
            <v>207</v>
          </cell>
          <cell r="D209">
            <v>9.74</v>
          </cell>
          <cell r="J209" t="str">
            <v>212TH00036</v>
          </cell>
          <cell r="K209">
            <v>1.68088691377</v>
          </cell>
          <cell r="X209">
            <v>4.3</v>
          </cell>
          <cell r="Y209">
            <v>3</v>
          </cell>
          <cell r="Z209">
            <v>3</v>
          </cell>
          <cell r="AA209">
            <v>8</v>
          </cell>
          <cell r="AB209">
            <v>1</v>
          </cell>
          <cell r="AC209">
            <v>1</v>
          </cell>
          <cell r="AD209">
            <v>1</v>
          </cell>
          <cell r="AE209">
            <v>4</v>
          </cell>
          <cell r="AF209">
            <v>8</v>
          </cell>
          <cell r="AG209">
            <v>3</v>
          </cell>
          <cell r="AH209">
            <v>4</v>
          </cell>
        </row>
        <row r="210">
          <cell r="B210">
            <v>208</v>
          </cell>
          <cell r="D210">
            <v>10.275</v>
          </cell>
          <cell r="J210" t="str">
            <v>214tt00103</v>
          </cell>
          <cell r="K210">
            <v>1.58316649789</v>
          </cell>
          <cell r="X210">
            <v>3.4</v>
          </cell>
          <cell r="Y210">
            <v>1</v>
          </cell>
          <cell r="Z210">
            <v>1</v>
          </cell>
          <cell r="AA210">
            <v>8</v>
          </cell>
          <cell r="AB210">
            <v>1</v>
          </cell>
          <cell r="AC210">
            <v>1</v>
          </cell>
          <cell r="AD210">
            <v>1</v>
          </cell>
          <cell r="AE210">
            <v>4</v>
          </cell>
          <cell r="AF210">
            <v>4</v>
          </cell>
          <cell r="AG210">
            <v>3</v>
          </cell>
          <cell r="AH210">
            <v>4</v>
          </cell>
        </row>
        <row r="211">
          <cell r="B211">
            <v>209</v>
          </cell>
          <cell r="D211">
            <v>5.72</v>
          </cell>
          <cell r="J211" t="str">
            <v xml:space="preserve">Input VPROMMS: 217B_1 (50.41 pct); 217b_1 (49.59 pct); </v>
          </cell>
          <cell r="K211">
            <v>3.01411723961</v>
          </cell>
          <cell r="X211">
            <v>3.5</v>
          </cell>
          <cell r="Y211">
            <v>2</v>
          </cell>
          <cell r="Z211">
            <v>1</v>
          </cell>
          <cell r="AA211">
            <v>8</v>
          </cell>
          <cell r="AB211">
            <v>1</v>
          </cell>
          <cell r="AC211">
            <v>1</v>
          </cell>
          <cell r="AD211">
            <v>1</v>
          </cell>
          <cell r="AE211">
            <v>4</v>
          </cell>
          <cell r="AF211">
            <v>4</v>
          </cell>
          <cell r="AG211">
            <v>3</v>
          </cell>
          <cell r="AH211">
            <v>2</v>
          </cell>
        </row>
        <row r="212">
          <cell r="B212">
            <v>210</v>
          </cell>
          <cell r="D212">
            <v>11.195</v>
          </cell>
          <cell r="J212" t="str">
            <v xml:space="preserve">Input VPROMMS: 212TH00036 (74.27 pct); 212th00034 (25.73 pct); </v>
          </cell>
          <cell r="K212">
            <v>1.9136808566500001</v>
          </cell>
          <cell r="X212">
            <v>3.5</v>
          </cell>
          <cell r="Y212">
            <v>2</v>
          </cell>
          <cell r="Z212">
            <v>1</v>
          </cell>
          <cell r="AA212">
            <v>8</v>
          </cell>
          <cell r="AB212">
            <v>1</v>
          </cell>
          <cell r="AC212">
            <v>1</v>
          </cell>
          <cell r="AD212">
            <v>1</v>
          </cell>
          <cell r="AE212">
            <v>4</v>
          </cell>
          <cell r="AF212">
            <v>4</v>
          </cell>
          <cell r="AG212">
            <v>3</v>
          </cell>
          <cell r="AH212">
            <v>4</v>
          </cell>
        </row>
        <row r="213">
          <cell r="B213">
            <v>211</v>
          </cell>
          <cell r="D213">
            <v>9.1199999999999992</v>
          </cell>
          <cell r="J213" t="str">
            <v xml:space="preserve">Input VPROMMS: 212th00023 (40.0 pct); 214tt00012 (39.02 pct); 213TT00006 (20.0 pct); 214tt00092 (0.98 pct); </v>
          </cell>
          <cell r="K213">
            <v>3.4622302651400001</v>
          </cell>
          <cell r="X213">
            <v>3.5</v>
          </cell>
          <cell r="Y213">
            <v>2</v>
          </cell>
          <cell r="Z213">
            <v>1</v>
          </cell>
          <cell r="AA213">
            <v>8</v>
          </cell>
          <cell r="AB213">
            <v>1</v>
          </cell>
          <cell r="AC213">
            <v>1</v>
          </cell>
          <cell r="AD213">
            <v>1</v>
          </cell>
          <cell r="AE213">
            <v>4</v>
          </cell>
          <cell r="AF213">
            <v>4</v>
          </cell>
          <cell r="AG213">
            <v>3</v>
          </cell>
          <cell r="AH213">
            <v>4</v>
          </cell>
        </row>
        <row r="214">
          <cell r="B214">
            <v>212</v>
          </cell>
          <cell r="J214" t="str">
            <v>214tt00012</v>
          </cell>
          <cell r="K214">
            <v>6.5972976545499995E-2</v>
          </cell>
          <cell r="X214">
            <v>3.4</v>
          </cell>
          <cell r="Y214">
            <v>1</v>
          </cell>
          <cell r="Z214">
            <v>1</v>
          </cell>
          <cell r="AA214">
            <v>8</v>
          </cell>
          <cell r="AB214">
            <v>1</v>
          </cell>
          <cell r="AC214">
            <v>1</v>
          </cell>
          <cell r="AD214">
            <v>1</v>
          </cell>
          <cell r="AE214">
            <v>4</v>
          </cell>
          <cell r="AF214">
            <v>4</v>
          </cell>
          <cell r="AG214">
            <v>3</v>
          </cell>
          <cell r="AH214">
            <v>3</v>
          </cell>
        </row>
        <row r="215">
          <cell r="B215">
            <v>213</v>
          </cell>
          <cell r="J215" t="str">
            <v xml:space="preserve">Input VPROMMS: QL45_2 (50.0 pct); ql45_1 (50.0 pct); </v>
          </cell>
          <cell r="K215">
            <v>0.157670934909</v>
          </cell>
          <cell r="X215">
            <v>3.5</v>
          </cell>
          <cell r="Y215">
            <v>2</v>
          </cell>
          <cell r="Z215">
            <v>1</v>
          </cell>
          <cell r="AA215">
            <v>8</v>
          </cell>
          <cell r="AB215">
            <v>1</v>
          </cell>
          <cell r="AC215">
            <v>1</v>
          </cell>
          <cell r="AD215">
            <v>1</v>
          </cell>
          <cell r="AE215">
            <v>4</v>
          </cell>
          <cell r="AF215">
            <v>4</v>
          </cell>
          <cell r="AG215">
            <v>3</v>
          </cell>
          <cell r="AH215">
            <v>3</v>
          </cell>
        </row>
        <row r="216">
          <cell r="B216">
            <v>214</v>
          </cell>
          <cell r="J216" t="str">
            <v>212th00023</v>
          </cell>
          <cell r="K216">
            <v>6.1368138755899998E-2</v>
          </cell>
          <cell r="X216">
            <v>4.3</v>
          </cell>
          <cell r="Y216">
            <v>3</v>
          </cell>
          <cell r="Z216">
            <v>3</v>
          </cell>
          <cell r="AA216">
            <v>8</v>
          </cell>
          <cell r="AB216">
            <v>1</v>
          </cell>
          <cell r="AC216">
            <v>1</v>
          </cell>
          <cell r="AD216">
            <v>1</v>
          </cell>
          <cell r="AE216">
            <v>4</v>
          </cell>
          <cell r="AF216">
            <v>8</v>
          </cell>
          <cell r="AG216">
            <v>3</v>
          </cell>
          <cell r="AH216">
            <v>3</v>
          </cell>
        </row>
        <row r="217">
          <cell r="B217">
            <v>215</v>
          </cell>
          <cell r="J217" t="str">
            <v>ql45_1</v>
          </cell>
          <cell r="K217">
            <v>6.8873664986999986E-3</v>
          </cell>
          <cell r="X217">
            <v>3.4</v>
          </cell>
          <cell r="Y217">
            <v>1</v>
          </cell>
          <cell r="Z217">
            <v>1</v>
          </cell>
          <cell r="AA217">
            <v>8</v>
          </cell>
          <cell r="AB217">
            <v>1</v>
          </cell>
          <cell r="AC217">
            <v>1</v>
          </cell>
          <cell r="AD217">
            <v>1</v>
          </cell>
          <cell r="AE217">
            <v>4</v>
          </cell>
          <cell r="AF217">
            <v>4</v>
          </cell>
          <cell r="AG217">
            <v>3</v>
          </cell>
          <cell r="AH217">
            <v>3</v>
          </cell>
        </row>
        <row r="218">
          <cell r="B218">
            <v>216</v>
          </cell>
          <cell r="D218">
            <v>10.02</v>
          </cell>
          <cell r="J218" t="str">
            <v xml:space="preserve">Input VPROMMS: QL45_2 (33.33 pct); ql45_1 (33.33 pct); 212th00023 (14.81 pct); 217B_1 (7.41 pct); 214tt00092 (7.41 pct); 213TT00006 (3.7 pct); </v>
          </cell>
          <cell r="K218">
            <v>0.40498234013700002</v>
          </cell>
          <cell r="X218">
            <v>3.5</v>
          </cell>
          <cell r="Y218">
            <v>2</v>
          </cell>
          <cell r="Z218">
            <v>1</v>
          </cell>
          <cell r="AA218">
            <v>8</v>
          </cell>
          <cell r="AB218">
            <v>1</v>
          </cell>
          <cell r="AC218">
            <v>1</v>
          </cell>
          <cell r="AD218">
            <v>1</v>
          </cell>
          <cell r="AE218">
            <v>4</v>
          </cell>
          <cell r="AF218">
            <v>4</v>
          </cell>
          <cell r="AG218">
            <v>3</v>
          </cell>
          <cell r="AH218">
            <v>4</v>
          </cell>
        </row>
        <row r="219">
          <cell r="B219">
            <v>217</v>
          </cell>
          <cell r="K219">
            <v>3.13213308194E-3</v>
          </cell>
          <cell r="X219">
            <v>3.5</v>
          </cell>
          <cell r="Y219">
            <v>2</v>
          </cell>
          <cell r="Z219">
            <v>1</v>
          </cell>
          <cell r="AA219">
            <v>8</v>
          </cell>
          <cell r="AB219">
            <v>1</v>
          </cell>
          <cell r="AC219">
            <v>1</v>
          </cell>
          <cell r="AD219">
            <v>1</v>
          </cell>
          <cell r="AE219">
            <v>4</v>
          </cell>
          <cell r="AF219">
            <v>4</v>
          </cell>
          <cell r="AG219">
            <v>3</v>
          </cell>
          <cell r="AH219">
            <v>3</v>
          </cell>
        </row>
        <row r="220">
          <cell r="B220">
            <v>218</v>
          </cell>
          <cell r="D220">
            <v>10.06</v>
          </cell>
          <cell r="J220" t="str">
            <v xml:space="preserve">Input VPROMMS: QL45_2 (50.0 pct); ql45_1 (49.14 pct); 213tt00004 (0.86 pct); </v>
          </cell>
          <cell r="K220">
            <v>3.2087493881100002</v>
          </cell>
          <cell r="X220">
            <v>3.5</v>
          </cell>
          <cell r="Y220">
            <v>2</v>
          </cell>
          <cell r="Z220">
            <v>1</v>
          </cell>
          <cell r="AA220">
            <v>8</v>
          </cell>
          <cell r="AB220">
            <v>1</v>
          </cell>
          <cell r="AC220">
            <v>1</v>
          </cell>
          <cell r="AD220">
            <v>1</v>
          </cell>
          <cell r="AE220">
            <v>4</v>
          </cell>
          <cell r="AF220">
            <v>4</v>
          </cell>
          <cell r="AG220">
            <v>3</v>
          </cell>
          <cell r="AH220">
            <v>4</v>
          </cell>
        </row>
        <row r="221">
          <cell r="B221">
            <v>219</v>
          </cell>
          <cell r="D221">
            <v>7.89</v>
          </cell>
          <cell r="J221" t="str">
            <v xml:space="preserve">Input VPROMMS: 217B_1 (47.62 pct); 217b_1 (47.62 pct); QL45_2 (4.76 pct); </v>
          </cell>
          <cell r="K221">
            <v>0.473771331967</v>
          </cell>
          <cell r="X221">
            <v>3.5</v>
          </cell>
          <cell r="Y221">
            <v>2</v>
          </cell>
          <cell r="Z221">
            <v>1</v>
          </cell>
          <cell r="AA221">
            <v>8</v>
          </cell>
          <cell r="AB221">
            <v>1</v>
          </cell>
          <cell r="AC221">
            <v>1</v>
          </cell>
          <cell r="AD221">
            <v>1</v>
          </cell>
          <cell r="AE221">
            <v>4</v>
          </cell>
          <cell r="AF221">
            <v>4</v>
          </cell>
          <cell r="AG221">
            <v>3</v>
          </cell>
          <cell r="AH221">
            <v>3</v>
          </cell>
        </row>
        <row r="222">
          <cell r="B222">
            <v>220</v>
          </cell>
          <cell r="D222">
            <v>7.66</v>
          </cell>
          <cell r="J222" t="str">
            <v xml:space="preserve">Input VPROMMS: 212th00034 (65.55 pct); 214tt00012 (31.93 pct); 217tt00084 (1.68 pct); 214tt00084 (0.84 pct); </v>
          </cell>
          <cell r="K222">
            <v>3.91371298437</v>
          </cell>
          <cell r="X222">
            <v>3.5</v>
          </cell>
          <cell r="Y222">
            <v>2</v>
          </cell>
          <cell r="Z222">
            <v>1</v>
          </cell>
          <cell r="AA222">
            <v>8</v>
          </cell>
          <cell r="AB222">
            <v>1</v>
          </cell>
          <cell r="AC222">
            <v>1</v>
          </cell>
          <cell r="AD222">
            <v>1</v>
          </cell>
          <cell r="AE222">
            <v>4</v>
          </cell>
          <cell r="AF222">
            <v>4</v>
          </cell>
          <cell r="AG222">
            <v>3</v>
          </cell>
          <cell r="AH222">
            <v>3</v>
          </cell>
        </row>
        <row r="223">
          <cell r="B223">
            <v>221</v>
          </cell>
          <cell r="D223">
            <v>9.41</v>
          </cell>
          <cell r="J223" t="str">
            <v>212TH00036</v>
          </cell>
          <cell r="K223">
            <v>3.225480915309999</v>
          </cell>
          <cell r="X223">
            <v>4.3</v>
          </cell>
          <cell r="Y223">
            <v>3</v>
          </cell>
          <cell r="Z223">
            <v>3</v>
          </cell>
          <cell r="AA223">
            <v>8</v>
          </cell>
          <cell r="AB223">
            <v>1</v>
          </cell>
          <cell r="AC223">
            <v>1</v>
          </cell>
          <cell r="AD223">
            <v>1</v>
          </cell>
          <cell r="AE223">
            <v>4</v>
          </cell>
          <cell r="AF223">
            <v>8</v>
          </cell>
          <cell r="AG223">
            <v>3</v>
          </cell>
          <cell r="AH223">
            <v>4</v>
          </cell>
        </row>
        <row r="224">
          <cell r="B224">
            <v>222</v>
          </cell>
          <cell r="D224">
            <v>9.1</v>
          </cell>
          <cell r="J224" t="str">
            <v>214tt00100</v>
          </cell>
          <cell r="K224">
            <v>0.649885298419</v>
          </cell>
          <cell r="X224">
            <v>3.4</v>
          </cell>
          <cell r="Y224">
            <v>1</v>
          </cell>
          <cell r="Z224">
            <v>1</v>
          </cell>
          <cell r="AA224">
            <v>8</v>
          </cell>
          <cell r="AB224">
            <v>1</v>
          </cell>
          <cell r="AC224">
            <v>1</v>
          </cell>
          <cell r="AD224">
            <v>1</v>
          </cell>
          <cell r="AE224">
            <v>4</v>
          </cell>
          <cell r="AF224">
            <v>4</v>
          </cell>
          <cell r="AG224">
            <v>3</v>
          </cell>
          <cell r="AH224">
            <v>4</v>
          </cell>
        </row>
        <row r="225">
          <cell r="B225">
            <v>223</v>
          </cell>
          <cell r="D225">
            <v>9.42</v>
          </cell>
          <cell r="J225" t="str">
            <v>214tt00099</v>
          </cell>
          <cell r="K225">
            <v>0.88549709690599998</v>
          </cell>
          <cell r="X225">
            <v>3.4</v>
          </cell>
          <cell r="Y225">
            <v>1</v>
          </cell>
          <cell r="Z225">
            <v>1</v>
          </cell>
          <cell r="AA225">
            <v>8</v>
          </cell>
          <cell r="AB225">
            <v>1</v>
          </cell>
          <cell r="AC225">
            <v>1</v>
          </cell>
          <cell r="AD225">
            <v>1</v>
          </cell>
          <cell r="AE225">
            <v>4</v>
          </cell>
          <cell r="AF225">
            <v>4</v>
          </cell>
          <cell r="AG225">
            <v>3</v>
          </cell>
          <cell r="AH225">
            <v>4</v>
          </cell>
        </row>
        <row r="226">
          <cell r="B226">
            <v>224</v>
          </cell>
          <cell r="D226">
            <v>7.3849999999999998</v>
          </cell>
          <cell r="J226" t="str">
            <v xml:space="preserve">Input VPROMMS: 217b_1 (50.0 pct); 217B_1 (45.83 pct); 214tt00099 (4.17 pct); </v>
          </cell>
          <cell r="K226">
            <v>0.54172342329099998</v>
          </cell>
          <cell r="X226">
            <v>3.5</v>
          </cell>
          <cell r="Y226">
            <v>2</v>
          </cell>
          <cell r="Z226">
            <v>1</v>
          </cell>
          <cell r="AA226">
            <v>8</v>
          </cell>
          <cell r="AB226">
            <v>1</v>
          </cell>
          <cell r="AC226">
            <v>1</v>
          </cell>
          <cell r="AD226">
            <v>1</v>
          </cell>
          <cell r="AE226">
            <v>4</v>
          </cell>
          <cell r="AF226">
            <v>4</v>
          </cell>
          <cell r="AG226">
            <v>3</v>
          </cell>
          <cell r="AH226">
            <v>3</v>
          </cell>
        </row>
        <row r="227">
          <cell r="B227">
            <v>225</v>
          </cell>
          <cell r="D227">
            <v>10.94</v>
          </cell>
          <cell r="J227" t="str">
            <v>214tt00034</v>
          </cell>
          <cell r="K227">
            <v>5.0028009455599998</v>
          </cell>
          <cell r="X227">
            <v>3.4</v>
          </cell>
          <cell r="Y227">
            <v>1</v>
          </cell>
          <cell r="Z227">
            <v>1</v>
          </cell>
          <cell r="AA227">
            <v>8</v>
          </cell>
          <cell r="AB227">
            <v>1</v>
          </cell>
          <cell r="AC227">
            <v>1</v>
          </cell>
          <cell r="AD227">
            <v>1</v>
          </cell>
          <cell r="AE227">
            <v>4</v>
          </cell>
          <cell r="AF227">
            <v>4</v>
          </cell>
          <cell r="AG227">
            <v>3</v>
          </cell>
          <cell r="AH227">
            <v>4</v>
          </cell>
        </row>
        <row r="228">
          <cell r="B228">
            <v>226</v>
          </cell>
          <cell r="J228" t="str">
            <v xml:space="preserve">Input VPROMMS: 217B_1 (50.0 pct); 214tt00100 (50.0 pct); </v>
          </cell>
          <cell r="K228">
            <v>2.0439974469200001E-2</v>
          </cell>
          <cell r="X228">
            <v>3.5</v>
          </cell>
          <cell r="Y228">
            <v>2</v>
          </cell>
          <cell r="Z228">
            <v>1</v>
          </cell>
          <cell r="AA228">
            <v>8</v>
          </cell>
          <cell r="AB228">
            <v>1</v>
          </cell>
          <cell r="AC228">
            <v>1</v>
          </cell>
          <cell r="AD228">
            <v>1</v>
          </cell>
          <cell r="AE228">
            <v>4</v>
          </cell>
          <cell r="AF228">
            <v>4</v>
          </cell>
          <cell r="AG228">
            <v>3</v>
          </cell>
          <cell r="AH228">
            <v>3</v>
          </cell>
        </row>
        <row r="229">
          <cell r="B229">
            <v>227</v>
          </cell>
          <cell r="D229">
            <v>10.039999999999999</v>
          </cell>
          <cell r="J229" t="str">
            <v>214tt00100</v>
          </cell>
          <cell r="K229">
            <v>0.26177339019599999</v>
          </cell>
          <cell r="X229">
            <v>3.4</v>
          </cell>
          <cell r="Y229">
            <v>1</v>
          </cell>
          <cell r="Z229">
            <v>1</v>
          </cell>
          <cell r="AA229">
            <v>8</v>
          </cell>
          <cell r="AB229">
            <v>1</v>
          </cell>
          <cell r="AC229">
            <v>1</v>
          </cell>
          <cell r="AD229">
            <v>1</v>
          </cell>
          <cell r="AE229">
            <v>4</v>
          </cell>
          <cell r="AF229">
            <v>4</v>
          </cell>
          <cell r="AG229">
            <v>3</v>
          </cell>
          <cell r="AH229">
            <v>4</v>
          </cell>
        </row>
        <row r="230">
          <cell r="B230">
            <v>228</v>
          </cell>
          <cell r="D230">
            <v>9.5950000000000006</v>
          </cell>
          <cell r="J230" t="str">
            <v xml:space="preserve">Input VPROMMS: 217b_1 (50.0 pct); 217B_1 (50.0 pct); </v>
          </cell>
          <cell r="K230">
            <v>0.53732056668799999</v>
          </cell>
          <cell r="X230">
            <v>3.5</v>
          </cell>
          <cell r="Y230">
            <v>2</v>
          </cell>
          <cell r="Z230">
            <v>1</v>
          </cell>
          <cell r="AA230">
            <v>8</v>
          </cell>
          <cell r="AB230">
            <v>1</v>
          </cell>
          <cell r="AC230">
            <v>1</v>
          </cell>
          <cell r="AD230">
            <v>1</v>
          </cell>
          <cell r="AE230">
            <v>4</v>
          </cell>
          <cell r="AF230">
            <v>4</v>
          </cell>
          <cell r="AG230">
            <v>3</v>
          </cell>
          <cell r="AH230">
            <v>4</v>
          </cell>
        </row>
        <row r="231">
          <cell r="B231">
            <v>229</v>
          </cell>
          <cell r="D231">
            <v>7.68</v>
          </cell>
          <cell r="J231" t="str">
            <v>214tt00093</v>
          </cell>
          <cell r="K231">
            <v>4.3559539648700003</v>
          </cell>
          <cell r="X231">
            <v>3.4</v>
          </cell>
          <cell r="Y231">
            <v>1</v>
          </cell>
          <cell r="Z231">
            <v>1</v>
          </cell>
          <cell r="AA231">
            <v>8</v>
          </cell>
          <cell r="AB231">
            <v>1</v>
          </cell>
          <cell r="AC231">
            <v>1</v>
          </cell>
          <cell r="AD231">
            <v>1</v>
          </cell>
          <cell r="AE231">
            <v>4</v>
          </cell>
          <cell r="AF231">
            <v>4</v>
          </cell>
          <cell r="AG231">
            <v>3</v>
          </cell>
          <cell r="AH231">
            <v>3</v>
          </cell>
        </row>
        <row r="232">
          <cell r="B232">
            <v>230</v>
          </cell>
          <cell r="D232">
            <v>9.0299999999999994</v>
          </cell>
          <cell r="J232" t="str">
            <v>214tt00100</v>
          </cell>
          <cell r="K232">
            <v>1.40938642852</v>
          </cell>
          <cell r="X232">
            <v>3.4</v>
          </cell>
          <cell r="Y232">
            <v>1</v>
          </cell>
          <cell r="Z232">
            <v>1</v>
          </cell>
          <cell r="AA232">
            <v>8</v>
          </cell>
          <cell r="AB232">
            <v>1</v>
          </cell>
          <cell r="AC232">
            <v>1</v>
          </cell>
          <cell r="AD232">
            <v>1</v>
          </cell>
          <cell r="AE232">
            <v>4</v>
          </cell>
          <cell r="AF232">
            <v>4</v>
          </cell>
          <cell r="AG232">
            <v>3</v>
          </cell>
          <cell r="AH232">
            <v>4</v>
          </cell>
        </row>
        <row r="233">
          <cell r="B233">
            <v>231</v>
          </cell>
          <cell r="D233">
            <v>8.9</v>
          </cell>
          <cell r="J233" t="str">
            <v>214tt00100</v>
          </cell>
          <cell r="K233">
            <v>2.1044603549100001</v>
          </cell>
          <cell r="X233">
            <v>3.4</v>
          </cell>
          <cell r="Y233">
            <v>1</v>
          </cell>
          <cell r="Z233">
            <v>1</v>
          </cell>
          <cell r="AA233">
            <v>8</v>
          </cell>
          <cell r="AB233">
            <v>1</v>
          </cell>
          <cell r="AC233">
            <v>1</v>
          </cell>
          <cell r="AD233">
            <v>1</v>
          </cell>
          <cell r="AE233">
            <v>4</v>
          </cell>
          <cell r="AF233">
            <v>4</v>
          </cell>
          <cell r="AG233">
            <v>3</v>
          </cell>
          <cell r="AH233">
            <v>4</v>
          </cell>
        </row>
        <row r="234">
          <cell r="B234">
            <v>232</v>
          </cell>
          <cell r="D234">
            <v>6.9550000000000001</v>
          </cell>
          <cell r="J234" t="str">
            <v xml:space="preserve">Input VPROMMS: 217B_1 (50.0 pct); 217b_1 (50.0 pct); </v>
          </cell>
          <cell r="K234">
            <v>1.2827287187900001</v>
          </cell>
          <cell r="X234">
            <v>3.5</v>
          </cell>
          <cell r="Y234">
            <v>2</v>
          </cell>
          <cell r="Z234">
            <v>1</v>
          </cell>
          <cell r="AA234">
            <v>8</v>
          </cell>
          <cell r="AB234">
            <v>1</v>
          </cell>
          <cell r="AC234">
            <v>1</v>
          </cell>
          <cell r="AD234">
            <v>1</v>
          </cell>
          <cell r="AE234">
            <v>4</v>
          </cell>
          <cell r="AF234">
            <v>4</v>
          </cell>
          <cell r="AG234">
            <v>3</v>
          </cell>
          <cell r="AH234">
            <v>3</v>
          </cell>
        </row>
        <row r="235">
          <cell r="B235">
            <v>233</v>
          </cell>
          <cell r="D235">
            <v>12.34</v>
          </cell>
          <cell r="J235" t="str">
            <v xml:space="preserve">Input VPROMMS: 212TH00036 (70.0 pct); 214tt00093 (30.0 pct); </v>
          </cell>
          <cell r="K235">
            <v>0.14548930638300001</v>
          </cell>
          <cell r="X235">
            <v>3.5</v>
          </cell>
          <cell r="Y235">
            <v>2</v>
          </cell>
          <cell r="Z235">
            <v>1</v>
          </cell>
          <cell r="AA235">
            <v>8</v>
          </cell>
          <cell r="AB235">
            <v>1</v>
          </cell>
          <cell r="AC235">
            <v>1</v>
          </cell>
          <cell r="AD235">
            <v>1</v>
          </cell>
          <cell r="AE235">
            <v>4</v>
          </cell>
          <cell r="AF235">
            <v>4</v>
          </cell>
          <cell r="AG235">
            <v>3</v>
          </cell>
          <cell r="AH235">
            <v>5</v>
          </cell>
        </row>
        <row r="236">
          <cell r="B236">
            <v>234</v>
          </cell>
          <cell r="D236">
            <v>9.84</v>
          </cell>
          <cell r="J236" t="str">
            <v>212TH00036</v>
          </cell>
          <cell r="K236">
            <v>11.631067508099999</v>
          </cell>
          <cell r="X236">
            <v>4.3</v>
          </cell>
          <cell r="Y236">
            <v>3</v>
          </cell>
          <cell r="Z236">
            <v>3</v>
          </cell>
          <cell r="AA236">
            <v>8</v>
          </cell>
          <cell r="AB236">
            <v>1</v>
          </cell>
          <cell r="AC236">
            <v>1</v>
          </cell>
          <cell r="AD236">
            <v>1</v>
          </cell>
          <cell r="AE236">
            <v>4</v>
          </cell>
          <cell r="AF236">
            <v>8</v>
          </cell>
          <cell r="AG236">
            <v>3</v>
          </cell>
          <cell r="AH236">
            <v>4</v>
          </cell>
        </row>
        <row r="237">
          <cell r="B237">
            <v>235</v>
          </cell>
          <cell r="D237">
            <v>9.49</v>
          </cell>
          <cell r="J237" t="str">
            <v>214tt00095</v>
          </cell>
          <cell r="K237">
            <v>2.3704749610900002</v>
          </cell>
          <cell r="X237">
            <v>3.4</v>
          </cell>
          <cell r="Y237">
            <v>1</v>
          </cell>
          <cell r="Z237">
            <v>1</v>
          </cell>
          <cell r="AA237">
            <v>8</v>
          </cell>
          <cell r="AB237">
            <v>1</v>
          </cell>
          <cell r="AC237">
            <v>1</v>
          </cell>
          <cell r="AD237">
            <v>1</v>
          </cell>
          <cell r="AE237">
            <v>4</v>
          </cell>
          <cell r="AF237">
            <v>4</v>
          </cell>
          <cell r="AG237">
            <v>3</v>
          </cell>
          <cell r="AH237">
            <v>4</v>
          </cell>
        </row>
        <row r="238">
          <cell r="B238">
            <v>236</v>
          </cell>
          <cell r="J238" t="str">
            <v>212TH00036</v>
          </cell>
          <cell r="K238">
            <v>5.5359151208499997E-2</v>
          </cell>
          <cell r="X238">
            <v>4.3</v>
          </cell>
          <cell r="Y238">
            <v>3</v>
          </cell>
          <cell r="Z238">
            <v>3</v>
          </cell>
          <cell r="AA238">
            <v>8</v>
          </cell>
          <cell r="AB238">
            <v>1</v>
          </cell>
          <cell r="AC238">
            <v>1</v>
          </cell>
          <cell r="AD238">
            <v>1</v>
          </cell>
          <cell r="AE238">
            <v>4</v>
          </cell>
          <cell r="AF238">
            <v>8</v>
          </cell>
          <cell r="AG238">
            <v>3</v>
          </cell>
          <cell r="AH238">
            <v>3</v>
          </cell>
        </row>
        <row r="239">
          <cell r="B239">
            <v>237</v>
          </cell>
          <cell r="D239">
            <v>10.28</v>
          </cell>
          <cell r="J239" t="str">
            <v>214tt00094</v>
          </cell>
          <cell r="K239">
            <v>6.6145884047099992</v>
          </cell>
          <cell r="X239">
            <v>3.4</v>
          </cell>
          <cell r="Y239">
            <v>1</v>
          </cell>
          <cell r="Z239">
            <v>1</v>
          </cell>
          <cell r="AA239">
            <v>8</v>
          </cell>
          <cell r="AB239">
            <v>1</v>
          </cell>
          <cell r="AC239">
            <v>1</v>
          </cell>
          <cell r="AD239">
            <v>1</v>
          </cell>
          <cell r="AE239">
            <v>4</v>
          </cell>
          <cell r="AF239">
            <v>4</v>
          </cell>
          <cell r="AG239">
            <v>3</v>
          </cell>
          <cell r="AH239">
            <v>4</v>
          </cell>
        </row>
        <row r="240">
          <cell r="B240">
            <v>238</v>
          </cell>
          <cell r="D240">
            <v>7.585</v>
          </cell>
          <cell r="J240" t="str">
            <v xml:space="preserve">Input VPROMMS: 217b_1 (46.43 pct); 217B_1 (44.64 pct); 214tt00034 (5.36 pct); 214tt00084 (1.79 pct); 217tt00084 (1.79 pct); </v>
          </cell>
          <cell r="K240">
            <v>1.3359853371099999</v>
          </cell>
          <cell r="X240">
            <v>3.5</v>
          </cell>
          <cell r="Y240">
            <v>2</v>
          </cell>
          <cell r="Z240">
            <v>1</v>
          </cell>
          <cell r="AA240">
            <v>8</v>
          </cell>
          <cell r="AB240">
            <v>1</v>
          </cell>
          <cell r="AC240">
            <v>1</v>
          </cell>
          <cell r="AD240">
            <v>1</v>
          </cell>
          <cell r="AE240">
            <v>4</v>
          </cell>
          <cell r="AF240">
            <v>4</v>
          </cell>
          <cell r="AG240">
            <v>3</v>
          </cell>
          <cell r="AH240">
            <v>3</v>
          </cell>
        </row>
        <row r="241">
          <cell r="B241">
            <v>239</v>
          </cell>
          <cell r="J241" t="str">
            <v xml:space="preserve">Input VPROMMS: ql45_1 (50.54 pct); QL45_2 (49.46 pct); </v>
          </cell>
          <cell r="K241">
            <v>3.42656605092</v>
          </cell>
          <cell r="X241">
            <v>3.5</v>
          </cell>
          <cell r="Y241">
            <v>2</v>
          </cell>
          <cell r="Z241">
            <v>1</v>
          </cell>
          <cell r="AA241">
            <v>8</v>
          </cell>
          <cell r="AB241">
            <v>1</v>
          </cell>
          <cell r="AC241">
            <v>1</v>
          </cell>
          <cell r="AD241">
            <v>1</v>
          </cell>
          <cell r="AE241">
            <v>4</v>
          </cell>
          <cell r="AF241">
            <v>4</v>
          </cell>
          <cell r="AG241">
            <v>3</v>
          </cell>
          <cell r="AH241">
            <v>3</v>
          </cell>
        </row>
        <row r="242">
          <cell r="B242">
            <v>240</v>
          </cell>
          <cell r="D242">
            <v>7.7549999999999999</v>
          </cell>
          <cell r="J242" t="str">
            <v>213tt00004</v>
          </cell>
          <cell r="K242">
            <v>4.8907352388800014</v>
          </cell>
          <cell r="X242">
            <v>3.8</v>
          </cell>
          <cell r="Y242">
            <v>2</v>
          </cell>
          <cell r="Z242">
            <v>3</v>
          </cell>
          <cell r="AA242">
            <v>6</v>
          </cell>
          <cell r="AB242">
            <v>1</v>
          </cell>
          <cell r="AC242">
            <v>1</v>
          </cell>
          <cell r="AD242">
            <v>1</v>
          </cell>
          <cell r="AE242">
            <v>4</v>
          </cell>
          <cell r="AF242">
            <v>6</v>
          </cell>
          <cell r="AG242">
            <v>3</v>
          </cell>
          <cell r="AH242">
            <v>3</v>
          </cell>
        </row>
        <row r="243">
          <cell r="B243">
            <v>241</v>
          </cell>
          <cell r="D243">
            <v>7.55</v>
          </cell>
          <cell r="J243" t="str">
            <v xml:space="preserve">Input VPROMMS: 214tt00084 (50.0 pct); 217tt00084 (50.0 pct); </v>
          </cell>
          <cell r="K243">
            <v>2.6274584175500002</v>
          </cell>
          <cell r="X243">
            <v>3.5</v>
          </cell>
          <cell r="Y243">
            <v>2</v>
          </cell>
          <cell r="Z243">
            <v>1</v>
          </cell>
          <cell r="AA243">
            <v>8</v>
          </cell>
          <cell r="AB243">
            <v>1</v>
          </cell>
          <cell r="AC243">
            <v>1</v>
          </cell>
          <cell r="AD243">
            <v>1</v>
          </cell>
          <cell r="AE243">
            <v>4</v>
          </cell>
          <cell r="AF243">
            <v>4</v>
          </cell>
          <cell r="AG243">
            <v>3</v>
          </cell>
          <cell r="AH243">
            <v>3</v>
          </cell>
        </row>
        <row r="244">
          <cell r="B244">
            <v>242</v>
          </cell>
          <cell r="D244">
            <v>7.3</v>
          </cell>
          <cell r="J244" t="str">
            <v xml:space="preserve">Input VPROMMS: 212th00034 (48.86 pct); 214tt00012 (48.86 pct); 214tt00084 (1.14 pct); 217tt00084 (1.14 pct); </v>
          </cell>
          <cell r="K244">
            <v>1.9296073016199999</v>
          </cell>
          <cell r="X244">
            <v>3.5</v>
          </cell>
          <cell r="Y244">
            <v>2</v>
          </cell>
          <cell r="Z244">
            <v>1</v>
          </cell>
          <cell r="AA244">
            <v>8</v>
          </cell>
          <cell r="AB244">
            <v>1</v>
          </cell>
          <cell r="AC244">
            <v>1</v>
          </cell>
          <cell r="AD244">
            <v>1</v>
          </cell>
          <cell r="AE244">
            <v>4</v>
          </cell>
          <cell r="AF244">
            <v>4</v>
          </cell>
          <cell r="AG244">
            <v>3</v>
          </cell>
          <cell r="AH244">
            <v>3</v>
          </cell>
        </row>
        <row r="245">
          <cell r="B245">
            <v>243</v>
          </cell>
          <cell r="D245">
            <v>6.6</v>
          </cell>
          <cell r="J245" t="str">
            <v xml:space="preserve">Input VPROMMS: 214tt00084 (27.59 pct); 217tt00084 (27.59 pct); 217b_1 (24.14 pct); 217B_1 (20.69 pct); </v>
          </cell>
          <cell r="K245">
            <v>0.28270072110400002</v>
          </cell>
          <cell r="X245">
            <v>3.5</v>
          </cell>
          <cell r="Y245">
            <v>2</v>
          </cell>
          <cell r="Z245">
            <v>1</v>
          </cell>
          <cell r="AA245">
            <v>8</v>
          </cell>
          <cell r="AB245">
            <v>1</v>
          </cell>
          <cell r="AC245">
            <v>1</v>
          </cell>
          <cell r="AD245">
            <v>1</v>
          </cell>
          <cell r="AE245">
            <v>4</v>
          </cell>
          <cell r="AF245">
            <v>4</v>
          </cell>
          <cell r="AG245">
            <v>3</v>
          </cell>
          <cell r="AH245">
            <v>3</v>
          </cell>
        </row>
        <row r="246">
          <cell r="B246">
            <v>244</v>
          </cell>
          <cell r="D246">
            <v>8</v>
          </cell>
          <cell r="J246" t="str">
            <v xml:space="preserve">Input VPROMMS: 217tt00084 (49.81 pct); 214tt00084 (47.13 pct); 214tt00012 (2.68 pct); 212th00034 (0.38 pct); </v>
          </cell>
          <cell r="K246">
            <v>3.3995738524000001</v>
          </cell>
          <cell r="X246">
            <v>3.5</v>
          </cell>
          <cell r="Y246">
            <v>2</v>
          </cell>
          <cell r="Z246">
            <v>1</v>
          </cell>
          <cell r="AA246">
            <v>8</v>
          </cell>
          <cell r="AB246">
            <v>1</v>
          </cell>
          <cell r="AC246">
            <v>1</v>
          </cell>
          <cell r="AD246">
            <v>1</v>
          </cell>
          <cell r="AE246">
            <v>4</v>
          </cell>
          <cell r="AF246">
            <v>4</v>
          </cell>
          <cell r="AG246">
            <v>3</v>
          </cell>
          <cell r="AH246">
            <v>3</v>
          </cell>
        </row>
        <row r="247">
          <cell r="B247">
            <v>245</v>
          </cell>
          <cell r="D247">
            <v>6.89</v>
          </cell>
          <cell r="J247" t="str">
            <v xml:space="preserve">Input VPROMMS: 217B_1 (50.0 pct); 217b_1 (50.0 pct); </v>
          </cell>
          <cell r="K247">
            <v>1.2729679627599999</v>
          </cell>
          <cell r="X247">
            <v>3.5</v>
          </cell>
          <cell r="Y247">
            <v>2</v>
          </cell>
          <cell r="Z247">
            <v>1</v>
          </cell>
          <cell r="AA247">
            <v>8</v>
          </cell>
          <cell r="AB247">
            <v>1</v>
          </cell>
          <cell r="AC247">
            <v>1</v>
          </cell>
          <cell r="AD247">
            <v>1</v>
          </cell>
          <cell r="AE247">
            <v>4</v>
          </cell>
          <cell r="AF247">
            <v>4</v>
          </cell>
          <cell r="AG247">
            <v>3</v>
          </cell>
          <cell r="AH247">
            <v>3</v>
          </cell>
        </row>
        <row r="248">
          <cell r="B248">
            <v>246</v>
          </cell>
          <cell r="D248">
            <v>6.7549999999999999</v>
          </cell>
          <cell r="J248" t="str">
            <v xml:space="preserve">Input VPROMMS: 217B_1 (44.44 pct); 217b_1 (44.44 pct); 212th00034 (5.56 pct); 214tt00012 (5.56 pct); </v>
          </cell>
          <cell r="K248">
            <v>0.36886869125600003</v>
          </cell>
          <cell r="X248">
            <v>3.5</v>
          </cell>
          <cell r="Y248">
            <v>2</v>
          </cell>
          <cell r="Z248">
            <v>1</v>
          </cell>
          <cell r="AA248">
            <v>8</v>
          </cell>
          <cell r="AB248">
            <v>1</v>
          </cell>
          <cell r="AC248">
            <v>1</v>
          </cell>
          <cell r="AD248">
            <v>1</v>
          </cell>
          <cell r="AE248">
            <v>4</v>
          </cell>
          <cell r="AF248">
            <v>4</v>
          </cell>
          <cell r="AG248">
            <v>3</v>
          </cell>
          <cell r="AH248">
            <v>3</v>
          </cell>
        </row>
        <row r="249">
          <cell r="B249">
            <v>247</v>
          </cell>
          <cell r="D249">
            <v>6.2</v>
          </cell>
          <cell r="J249" t="str">
            <v xml:space="preserve">Input VPROMMS: 217B_1 (50.0 pct); 217b_1 (50.0 pct); </v>
          </cell>
          <cell r="K249">
            <v>0.77624768215000006</v>
          </cell>
          <cell r="X249">
            <v>3.5</v>
          </cell>
          <cell r="Y249">
            <v>2</v>
          </cell>
          <cell r="Z249">
            <v>1</v>
          </cell>
          <cell r="AA249">
            <v>8</v>
          </cell>
          <cell r="AB249">
            <v>1</v>
          </cell>
          <cell r="AC249">
            <v>1</v>
          </cell>
          <cell r="AD249">
            <v>1</v>
          </cell>
          <cell r="AE249">
            <v>4</v>
          </cell>
          <cell r="AF249">
            <v>4</v>
          </cell>
          <cell r="AG249">
            <v>3</v>
          </cell>
          <cell r="AH249">
            <v>3</v>
          </cell>
        </row>
        <row r="250">
          <cell r="B250">
            <v>248</v>
          </cell>
          <cell r="D250">
            <v>7.1849999999999996</v>
          </cell>
          <cell r="J250" t="str">
            <v xml:space="preserve">Input VPROMMS: 217b_1 (50.0 pct); 217B_1 (50.0 pct); </v>
          </cell>
          <cell r="K250">
            <v>9.2692988801800009</v>
          </cell>
          <cell r="X250">
            <v>3.5</v>
          </cell>
          <cell r="Y250">
            <v>2</v>
          </cell>
          <cell r="Z250">
            <v>1</v>
          </cell>
          <cell r="AA250">
            <v>8</v>
          </cell>
          <cell r="AB250">
            <v>1</v>
          </cell>
          <cell r="AC250">
            <v>1</v>
          </cell>
          <cell r="AD250">
            <v>1</v>
          </cell>
          <cell r="AE250">
            <v>4</v>
          </cell>
          <cell r="AF250">
            <v>4</v>
          </cell>
          <cell r="AG250">
            <v>3</v>
          </cell>
          <cell r="AH250">
            <v>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279"/>
  <sheetViews>
    <sheetView showGridLines="0" tabSelected="1" topLeftCell="AJ30" zoomScale="70" zoomScaleNormal="70" workbookViewId="0">
      <selection activeCell="BF31" sqref="BF31"/>
    </sheetView>
  </sheetViews>
  <sheetFormatPr defaultColWidth="9.109375" defaultRowHeight="13.8" x14ac:dyDescent="0.25"/>
  <cols>
    <col min="1" max="1" width="1.77734375" style="355" customWidth="1"/>
    <col min="2" max="2" width="30.6640625" style="355" customWidth="1"/>
    <col min="3" max="3" width="10.77734375" style="355" customWidth="1"/>
    <col min="4" max="4" width="20.77734375" style="355" customWidth="1"/>
    <col min="5" max="5" width="11.5546875" style="355" bestFit="1" customWidth="1"/>
    <col min="6" max="6" width="7" style="355" customWidth="1"/>
    <col min="7" max="7" width="8.109375" style="355" bestFit="1" customWidth="1"/>
    <col min="8" max="8" width="6.77734375" style="355" bestFit="1" customWidth="1"/>
    <col min="9" max="9" width="9.33203125" style="355" bestFit="1" customWidth="1"/>
    <col min="10" max="10" width="8.77734375" style="355" bestFit="1" customWidth="1"/>
    <col min="11" max="11" width="8.33203125" style="355" bestFit="1" customWidth="1"/>
    <col min="12" max="12" width="7.5546875" style="355" bestFit="1" customWidth="1"/>
    <col min="13" max="13" width="9" style="355" bestFit="1" customWidth="1"/>
    <col min="14" max="14" width="7.5546875" style="355" bestFit="1" customWidth="1"/>
    <col min="15" max="15" width="9" style="355" bestFit="1" customWidth="1"/>
    <col min="16" max="16" width="6.5546875" style="355" bestFit="1" customWidth="1"/>
    <col min="17" max="17" width="19" style="355" bestFit="1" customWidth="1"/>
    <col min="18" max="18" width="11.88671875" style="355" bestFit="1" customWidth="1"/>
    <col min="19" max="19" width="11.88671875" style="355" customWidth="1"/>
    <col min="20" max="21" width="12.109375" style="355" customWidth="1"/>
    <col min="22" max="22" width="14.109375" style="355" customWidth="1"/>
    <col min="23" max="23" width="19.44140625" style="355" bestFit="1" customWidth="1"/>
    <col min="24" max="24" width="12.6640625" style="355" bestFit="1" customWidth="1"/>
    <col min="25" max="25" width="10.21875" style="355" bestFit="1" customWidth="1"/>
    <col min="26" max="26" width="19.33203125" style="355" bestFit="1" customWidth="1"/>
    <col min="27" max="28" width="9.109375" style="355"/>
    <col min="29" max="29" width="10.109375" style="355" customWidth="1"/>
    <col min="30" max="30" width="13.109375" style="355" bestFit="1" customWidth="1"/>
    <col min="31" max="31" width="9.6640625" style="355" bestFit="1" customWidth="1"/>
    <col min="32" max="33" width="9.109375" style="355"/>
    <col min="34" max="34" width="14.5546875" style="355" bestFit="1" customWidth="1"/>
    <col min="35" max="35" width="9.109375" style="355"/>
    <col min="36" max="36" width="12.33203125" style="355" bestFit="1" customWidth="1"/>
    <col min="37" max="37" width="9.109375" style="355"/>
    <col min="38" max="38" width="9.88671875" style="355" customWidth="1"/>
    <col min="39" max="48" width="9.109375" style="355"/>
    <col min="49" max="51" width="10.6640625" style="355" customWidth="1"/>
    <col min="52" max="53" width="9.109375" style="355"/>
    <col min="54" max="54" width="39.5546875" style="355" customWidth="1"/>
    <col min="55" max="55" width="9.109375" style="355"/>
    <col min="56" max="56" width="11.5546875" style="355" bestFit="1" customWidth="1"/>
    <col min="57" max="57" width="14.88671875" style="355" bestFit="1" customWidth="1"/>
    <col min="58" max="59" width="9.109375" style="355"/>
    <col min="60" max="60" width="15" style="355" bestFit="1" customWidth="1"/>
    <col min="61" max="64" width="9.109375" style="355"/>
    <col min="65" max="65" width="11.33203125" style="355" bestFit="1" customWidth="1"/>
    <col min="66" max="125" width="5.77734375" style="355" customWidth="1"/>
    <col min="126" max="128" width="9.109375" style="355"/>
    <col min="129" max="129" width="11.88671875" style="355" bestFit="1" customWidth="1"/>
    <col min="130" max="130" width="11.88671875" style="355" customWidth="1"/>
    <col min="131" max="16384" width="9.109375" style="355"/>
  </cols>
  <sheetData>
    <row r="2" spans="2:61" x14ac:dyDescent="0.25">
      <c r="B2" s="354" t="s">
        <v>848</v>
      </c>
    </row>
    <row r="4" spans="2:61" x14ac:dyDescent="0.25">
      <c r="B4" s="356" t="s">
        <v>325</v>
      </c>
      <c r="C4" s="357"/>
      <c r="D4" s="357"/>
      <c r="E4" s="358"/>
    </row>
    <row r="5" spans="2:61" x14ac:dyDescent="0.25">
      <c r="B5" s="359" t="s">
        <v>550</v>
      </c>
      <c r="C5" s="360"/>
      <c r="D5" s="360"/>
      <c r="E5" s="361">
        <v>31</v>
      </c>
    </row>
    <row r="6" spans="2:61" x14ac:dyDescent="0.25">
      <c r="B6" s="362" t="s">
        <v>551</v>
      </c>
      <c r="C6" s="363"/>
      <c r="D6" s="363"/>
      <c r="E6" s="364">
        <f>E5+COUNTA(B31:B1000)-1</f>
        <v>279</v>
      </c>
      <c r="I6" s="365"/>
    </row>
    <row r="7" spans="2:61" x14ac:dyDescent="0.25">
      <c r="B7" s="366" t="s">
        <v>481</v>
      </c>
      <c r="C7" s="367"/>
      <c r="D7" s="367"/>
      <c r="E7" s="368" t="s">
        <v>326</v>
      </c>
      <c r="I7" s="365"/>
      <c r="Q7" s="365" t="s">
        <v>334</v>
      </c>
      <c r="T7" s="365" t="s">
        <v>15</v>
      </c>
      <c r="U7" s="369" t="s">
        <v>245</v>
      </c>
      <c r="V7" s="365" t="s">
        <v>24</v>
      </c>
      <c r="W7" s="365" t="s">
        <v>104</v>
      </c>
      <c r="X7" s="365" t="s">
        <v>109</v>
      </c>
      <c r="Y7" s="365" t="s">
        <v>347</v>
      </c>
      <c r="Z7" s="365" t="s">
        <v>29</v>
      </c>
      <c r="AD7" s="365" t="s">
        <v>7</v>
      </c>
      <c r="AJ7" s="365" t="s">
        <v>843</v>
      </c>
      <c r="AK7" s="355" t="s">
        <v>114</v>
      </c>
      <c r="AY7" s="365" t="s">
        <v>782</v>
      </c>
    </row>
    <row r="8" spans="2:61" x14ac:dyDescent="0.25">
      <c r="I8" s="365"/>
      <c r="Q8" s="365" t="s">
        <v>332</v>
      </c>
      <c r="T8" s="365" t="s">
        <v>16</v>
      </c>
      <c r="U8" s="369" t="s">
        <v>246</v>
      </c>
      <c r="V8" s="365" t="s">
        <v>25</v>
      </c>
      <c r="W8" s="365" t="s">
        <v>105</v>
      </c>
      <c r="X8" s="365" t="s">
        <v>110</v>
      </c>
      <c r="Y8" s="365" t="s">
        <v>348</v>
      </c>
      <c r="Z8" s="365" t="s">
        <v>2</v>
      </c>
      <c r="AD8" s="365" t="s">
        <v>8</v>
      </c>
      <c r="AJ8" s="365" t="s">
        <v>844</v>
      </c>
      <c r="AK8" s="370" t="s">
        <v>265</v>
      </c>
      <c r="AY8" s="365" t="s">
        <v>781</v>
      </c>
    </row>
    <row r="9" spans="2:61" x14ac:dyDescent="0.25">
      <c r="I9" s="365"/>
      <c r="Q9" s="365" t="s">
        <v>335</v>
      </c>
      <c r="T9" s="365"/>
      <c r="U9" s="369" t="s">
        <v>247</v>
      </c>
      <c r="V9" s="365" t="s">
        <v>26</v>
      </c>
      <c r="W9" s="365" t="s">
        <v>106</v>
      </c>
      <c r="X9" s="365" t="s">
        <v>112</v>
      </c>
      <c r="Y9" s="365"/>
      <c r="Z9" s="365" t="s">
        <v>3</v>
      </c>
      <c r="AD9" s="365" t="s">
        <v>9</v>
      </c>
      <c r="AJ9" s="365" t="s">
        <v>845</v>
      </c>
      <c r="AK9" s="370" t="s">
        <v>266</v>
      </c>
      <c r="AY9" s="365" t="s">
        <v>778</v>
      </c>
    </row>
    <row r="10" spans="2:61" x14ac:dyDescent="0.25">
      <c r="I10" s="365"/>
      <c r="Q10" s="365" t="s">
        <v>333</v>
      </c>
      <c r="U10" s="369" t="s">
        <v>248</v>
      </c>
      <c r="W10" s="365" t="s">
        <v>107</v>
      </c>
      <c r="X10" s="365" t="s">
        <v>111</v>
      </c>
      <c r="Y10" s="365"/>
      <c r="Z10" s="365" t="s">
        <v>4</v>
      </c>
      <c r="AD10" s="365" t="s">
        <v>10</v>
      </c>
      <c r="AJ10" s="365" t="s">
        <v>846</v>
      </c>
      <c r="AK10" s="371" t="s">
        <v>267</v>
      </c>
      <c r="AY10" s="365" t="s">
        <v>779</v>
      </c>
    </row>
    <row r="11" spans="2:61" x14ac:dyDescent="0.25">
      <c r="I11" s="365"/>
      <c r="Q11" s="365" t="s">
        <v>336</v>
      </c>
      <c r="U11" s="369" t="s">
        <v>249</v>
      </c>
      <c r="W11" s="365" t="s">
        <v>108</v>
      </c>
      <c r="X11" s="365" t="s">
        <v>113</v>
      </c>
      <c r="Y11" s="365"/>
      <c r="Z11" s="365" t="s">
        <v>5</v>
      </c>
      <c r="AD11" s="365" t="s">
        <v>11</v>
      </c>
      <c r="AK11" s="370" t="s">
        <v>268</v>
      </c>
      <c r="AY11" s="365" t="s">
        <v>780</v>
      </c>
    </row>
    <row r="12" spans="2:61" x14ac:dyDescent="0.25">
      <c r="I12" s="365"/>
      <c r="Q12" s="365" t="s">
        <v>337</v>
      </c>
      <c r="U12" s="369" t="s">
        <v>344</v>
      </c>
      <c r="W12" s="365"/>
      <c r="X12" s="365"/>
      <c r="Y12" s="365"/>
      <c r="Z12" s="365" t="s">
        <v>461</v>
      </c>
      <c r="AD12" s="365"/>
      <c r="AK12" s="370" t="s">
        <v>269</v>
      </c>
    </row>
    <row r="13" spans="2:61" x14ac:dyDescent="0.25">
      <c r="Q13" s="365" t="s">
        <v>338</v>
      </c>
      <c r="U13" s="355" t="s">
        <v>345</v>
      </c>
      <c r="W13" s="365"/>
      <c r="X13" s="365"/>
      <c r="Y13" s="365"/>
      <c r="Z13" s="365" t="s">
        <v>462</v>
      </c>
      <c r="AD13" s="365"/>
      <c r="AK13" s="370" t="s">
        <v>270</v>
      </c>
    </row>
    <row r="14" spans="2:61" x14ac:dyDescent="0.25">
      <c r="U14" s="355" t="s">
        <v>341</v>
      </c>
      <c r="W14" s="365"/>
      <c r="X14" s="365"/>
      <c r="Y14" s="365"/>
      <c r="AD14" s="365"/>
      <c r="AK14" s="355" t="s">
        <v>271</v>
      </c>
      <c r="BI14" s="372" t="s">
        <v>836</v>
      </c>
    </row>
    <row r="15" spans="2:61" x14ac:dyDescent="0.25">
      <c r="U15" s="371" t="s">
        <v>342</v>
      </c>
      <c r="AK15" s="355" t="s">
        <v>272</v>
      </c>
      <c r="BI15" s="372" t="s">
        <v>837</v>
      </c>
    </row>
    <row r="16" spans="2:61" x14ac:dyDescent="0.25">
      <c r="U16" s="371" t="s">
        <v>343</v>
      </c>
      <c r="AK16" s="370" t="s">
        <v>273</v>
      </c>
      <c r="BI16" s="372" t="s">
        <v>838</v>
      </c>
    </row>
    <row r="17" spans="1:144" x14ac:dyDescent="0.25">
      <c r="AK17" s="370" t="s">
        <v>274</v>
      </c>
      <c r="BI17" s="372" t="s">
        <v>839</v>
      </c>
    </row>
    <row r="18" spans="1:144" x14ac:dyDescent="0.25">
      <c r="B18" s="373" t="s">
        <v>544</v>
      </c>
      <c r="C18" s="374"/>
      <c r="D18" s="374"/>
      <c r="E18" s="374"/>
      <c r="AK18" s="370" t="s">
        <v>275</v>
      </c>
      <c r="BI18" s="372" t="s">
        <v>840</v>
      </c>
    </row>
    <row r="19" spans="1:144" x14ac:dyDescent="0.25">
      <c r="B19" s="372" t="s">
        <v>545</v>
      </c>
      <c r="AK19" s="370" t="s">
        <v>276</v>
      </c>
      <c r="BI19" s="372" t="s">
        <v>841</v>
      </c>
    </row>
    <row r="20" spans="1:144" x14ac:dyDescent="0.25">
      <c r="B20" s="355" t="s">
        <v>543</v>
      </c>
      <c r="AK20" s="355" t="s">
        <v>277</v>
      </c>
      <c r="BI20" s="375" t="s">
        <v>842</v>
      </c>
    </row>
    <row r="21" spans="1:144" x14ac:dyDescent="0.25">
      <c r="AK21" s="355" t="s">
        <v>278</v>
      </c>
    </row>
    <row r="23" spans="1:144" x14ac:dyDescent="0.25">
      <c r="B23" s="376" t="s">
        <v>129</v>
      </c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8"/>
      <c r="AZ23" s="356" t="s">
        <v>351</v>
      </c>
      <c r="BA23" s="379"/>
      <c r="BB23" s="379"/>
      <c r="BC23" s="379"/>
      <c r="BD23" s="379"/>
      <c r="BE23" s="379"/>
      <c r="BF23" s="379"/>
      <c r="BG23" s="379"/>
      <c r="BH23" s="379"/>
      <c r="BI23" s="379"/>
      <c r="BJ23" s="379"/>
      <c r="BK23" s="379"/>
      <c r="BL23" s="379"/>
      <c r="BM23" s="379"/>
      <c r="BN23" s="379"/>
      <c r="BO23" s="379"/>
      <c r="BP23" s="379"/>
      <c r="BQ23" s="379"/>
      <c r="BR23" s="379"/>
      <c r="BS23" s="379"/>
      <c r="BT23" s="379"/>
      <c r="BU23" s="379"/>
      <c r="BV23" s="379"/>
      <c r="BW23" s="379"/>
      <c r="BX23" s="379"/>
      <c r="BY23" s="379"/>
      <c r="BZ23" s="379"/>
      <c r="CA23" s="379"/>
      <c r="CB23" s="379"/>
      <c r="CC23" s="379"/>
      <c r="CD23" s="379"/>
      <c r="CE23" s="379"/>
      <c r="CF23" s="379"/>
      <c r="CG23" s="379"/>
      <c r="CH23" s="379"/>
      <c r="CI23" s="379"/>
      <c r="CJ23" s="379"/>
      <c r="CK23" s="379"/>
      <c r="CL23" s="379"/>
      <c r="CM23" s="379"/>
      <c r="CN23" s="379"/>
      <c r="CO23" s="379"/>
      <c r="CP23" s="379"/>
      <c r="CQ23" s="379"/>
      <c r="CR23" s="379"/>
      <c r="CS23" s="379"/>
      <c r="CT23" s="379"/>
      <c r="CU23" s="379"/>
      <c r="CV23" s="379"/>
      <c r="CW23" s="379"/>
      <c r="CX23" s="379"/>
      <c r="CY23" s="379"/>
      <c r="CZ23" s="379"/>
      <c r="DA23" s="379"/>
      <c r="DB23" s="379"/>
      <c r="DC23" s="379"/>
      <c r="DD23" s="379"/>
      <c r="DE23" s="379"/>
      <c r="DF23" s="379"/>
      <c r="DG23" s="379"/>
      <c r="DH23" s="379"/>
      <c r="DI23" s="379"/>
      <c r="DJ23" s="379"/>
      <c r="DK23" s="379"/>
      <c r="DL23" s="379"/>
      <c r="DM23" s="379"/>
      <c r="DN23" s="379"/>
      <c r="DO23" s="379"/>
      <c r="DP23" s="379"/>
      <c r="DQ23" s="379"/>
      <c r="DR23" s="379"/>
      <c r="DS23" s="379"/>
      <c r="DT23" s="379"/>
      <c r="DU23" s="379"/>
      <c r="DV23" s="380" t="s">
        <v>352</v>
      </c>
      <c r="DW23" s="381"/>
      <c r="DX23" s="381"/>
      <c r="DY23" s="381"/>
      <c r="DZ23" s="381"/>
      <c r="EA23" s="381"/>
      <c r="EB23" s="381"/>
      <c r="EC23" s="381"/>
      <c r="ED23" s="381"/>
      <c r="EE23" s="381"/>
      <c r="EF23" s="381"/>
      <c r="EG23" s="381"/>
      <c r="EH23" s="381"/>
      <c r="EI23" s="381"/>
      <c r="EJ23" s="381"/>
      <c r="EK23" s="381"/>
      <c r="EL23" s="381"/>
      <c r="EM23" s="382"/>
    </row>
    <row r="24" spans="1:144" x14ac:dyDescent="0.25">
      <c r="B24" s="383" t="s">
        <v>30</v>
      </c>
      <c r="C24" s="384" t="s">
        <v>331</v>
      </c>
      <c r="D24" s="385"/>
      <c r="E24" s="384" t="s">
        <v>57</v>
      </c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4" t="s">
        <v>74</v>
      </c>
      <c r="Q24" s="385"/>
      <c r="R24" s="385"/>
      <c r="S24" s="385"/>
      <c r="T24" s="385"/>
      <c r="U24" s="385"/>
      <c r="V24" s="385"/>
      <c r="W24" s="385"/>
      <c r="X24" s="385"/>
      <c r="Y24" s="385"/>
      <c r="Z24" s="386"/>
      <c r="AA24" s="387" t="s">
        <v>81</v>
      </c>
      <c r="AB24" s="388"/>
      <c r="AC24" s="389"/>
      <c r="AD24" s="387" t="s">
        <v>75</v>
      </c>
      <c r="AE24" s="385"/>
      <c r="AF24" s="385"/>
      <c r="AG24" s="385"/>
      <c r="AH24" s="388"/>
      <c r="AI24" s="385"/>
      <c r="AJ24" s="385"/>
      <c r="AK24" s="366"/>
      <c r="AL24" s="388" t="s">
        <v>99</v>
      </c>
      <c r="AM24" s="388"/>
      <c r="AN24" s="388"/>
      <c r="AO24" s="388"/>
      <c r="AP24" s="388"/>
      <c r="AQ24" s="388"/>
      <c r="AR24" s="388"/>
      <c r="AS24" s="388"/>
      <c r="AT24" s="388"/>
      <c r="AU24" s="388"/>
      <c r="AV24" s="388"/>
      <c r="AW24" s="389"/>
      <c r="AX24" s="388"/>
      <c r="AY24" s="390" t="s">
        <v>60</v>
      </c>
      <c r="AZ24" s="391" t="s">
        <v>128</v>
      </c>
      <c r="BA24" s="391"/>
      <c r="BB24" s="391"/>
      <c r="BC24" s="391"/>
      <c r="BD24" s="391"/>
      <c r="BE24" s="391"/>
      <c r="BF24" s="391"/>
      <c r="BG24" s="391"/>
      <c r="BH24" s="391"/>
      <c r="BI24" s="391"/>
      <c r="BJ24" s="392"/>
      <c r="BK24" s="392"/>
      <c r="BL24" s="392"/>
      <c r="BM24" s="392"/>
      <c r="BN24" s="393"/>
      <c r="BO24" s="393"/>
      <c r="BP24" s="393"/>
      <c r="BQ24" s="393"/>
      <c r="BR24" s="393"/>
      <c r="BS24" s="393"/>
      <c r="BT24" s="393"/>
      <c r="BU24" s="393"/>
      <c r="BV24" s="393"/>
      <c r="BW24" s="393"/>
      <c r="BX24" s="393"/>
      <c r="BY24" s="393"/>
      <c r="BZ24" s="393"/>
      <c r="CA24" s="393"/>
      <c r="CB24" s="393"/>
      <c r="CC24" s="393"/>
      <c r="CD24" s="393"/>
      <c r="CE24" s="393"/>
      <c r="CF24" s="393"/>
      <c r="CG24" s="394"/>
      <c r="CH24" s="393"/>
      <c r="CI24" s="393"/>
      <c r="CJ24" s="393"/>
      <c r="CK24" s="393"/>
      <c r="CL24" s="393"/>
      <c r="CM24" s="393"/>
      <c r="CN24" s="393"/>
      <c r="CO24" s="393"/>
      <c r="CP24" s="393"/>
      <c r="CQ24" s="393"/>
      <c r="CR24" s="393"/>
      <c r="CS24" s="393"/>
      <c r="CT24" s="393"/>
      <c r="CU24" s="393"/>
      <c r="CV24" s="393"/>
      <c r="CW24" s="393"/>
      <c r="CX24" s="393"/>
      <c r="CY24" s="393"/>
      <c r="CZ24" s="393"/>
      <c r="DA24" s="394"/>
      <c r="DB24" s="393"/>
      <c r="DC24" s="393"/>
      <c r="DD24" s="393"/>
      <c r="DE24" s="393"/>
      <c r="DF24" s="393"/>
      <c r="DG24" s="393"/>
      <c r="DH24" s="393"/>
      <c r="DI24" s="393"/>
      <c r="DJ24" s="393"/>
      <c r="DK24" s="393"/>
      <c r="DL24" s="393"/>
      <c r="DM24" s="393"/>
      <c r="DN24" s="393"/>
      <c r="DO24" s="393"/>
      <c r="DP24" s="393"/>
      <c r="DQ24" s="393"/>
      <c r="DR24" s="393"/>
      <c r="DS24" s="393"/>
      <c r="DT24" s="393"/>
      <c r="DU24" s="394"/>
      <c r="DV24" s="395" t="s">
        <v>161</v>
      </c>
      <c r="DW24" s="391"/>
      <c r="DX24" s="391"/>
      <c r="DY24" s="388"/>
      <c r="DZ24" s="388"/>
      <c r="EA24" s="388"/>
      <c r="EB24" s="388"/>
      <c r="EC24" s="388"/>
      <c r="ED24" s="388"/>
      <c r="EE24" s="388"/>
      <c r="EF24" s="388"/>
      <c r="EG24" s="388"/>
      <c r="EH24" s="388"/>
      <c r="EI24" s="388"/>
      <c r="EJ24" s="388"/>
      <c r="EK24" s="388"/>
      <c r="EL24" s="388"/>
      <c r="EM24" s="389"/>
    </row>
    <row r="25" spans="1:144" x14ac:dyDescent="0.25">
      <c r="B25" s="396" t="s">
        <v>330</v>
      </c>
      <c r="C25" s="359"/>
      <c r="D25" s="397"/>
      <c r="E25" s="360"/>
      <c r="F25" s="360"/>
      <c r="G25" s="360"/>
      <c r="H25" s="360"/>
      <c r="I25" s="360"/>
      <c r="J25" s="398"/>
      <c r="K25" s="398"/>
      <c r="L25" s="398"/>
      <c r="M25" s="398"/>
      <c r="N25" s="398"/>
      <c r="O25" s="398"/>
      <c r="P25" s="399"/>
      <c r="Q25" s="400" t="s">
        <v>36</v>
      </c>
      <c r="R25" s="398"/>
      <c r="S25" s="398"/>
      <c r="T25" s="398"/>
      <c r="U25" s="398"/>
      <c r="V25" s="398"/>
      <c r="W25" s="398"/>
      <c r="X25" s="398"/>
      <c r="Y25" s="398"/>
      <c r="Z25" s="360"/>
      <c r="AA25" s="359"/>
      <c r="AB25" s="360"/>
      <c r="AC25" s="397"/>
      <c r="AD25" s="399" t="s">
        <v>64</v>
      </c>
      <c r="AE25" s="401"/>
      <c r="AF25" s="388" t="s">
        <v>285</v>
      </c>
      <c r="AG25" s="389"/>
      <c r="AH25" s="402" t="s">
        <v>284</v>
      </c>
      <c r="AI25" s="401"/>
      <c r="AJ25" s="403" t="s">
        <v>495</v>
      </c>
      <c r="AK25" s="404"/>
      <c r="AL25" s="387" t="s">
        <v>100</v>
      </c>
      <c r="AM25" s="388"/>
      <c r="AN25" s="388"/>
      <c r="AO25" s="388"/>
      <c r="AP25" s="388"/>
      <c r="AQ25" s="388"/>
      <c r="AR25" s="388"/>
      <c r="AS25" s="388"/>
      <c r="AT25" s="388"/>
      <c r="AU25" s="388"/>
      <c r="AV25" s="388"/>
      <c r="AW25" s="389"/>
      <c r="AX25" s="388"/>
      <c r="AY25" s="390" t="s">
        <v>497</v>
      </c>
      <c r="AZ25" s="391" t="s">
        <v>126</v>
      </c>
      <c r="BA25" s="391"/>
      <c r="BB25" s="391"/>
      <c r="BC25" s="391"/>
      <c r="BD25" s="391"/>
      <c r="BE25" s="405"/>
      <c r="BF25" s="406" t="s">
        <v>124</v>
      </c>
      <c r="BG25" s="407"/>
      <c r="BH25" s="388"/>
      <c r="BI25" s="407"/>
      <c r="BJ25" s="406" t="s">
        <v>281</v>
      </c>
      <c r="BK25" s="407"/>
      <c r="BL25" s="407"/>
      <c r="BM25" s="408"/>
      <c r="BN25" s="388" t="s">
        <v>381</v>
      </c>
      <c r="BO25" s="388"/>
      <c r="BP25" s="388"/>
      <c r="BQ25" s="388"/>
      <c r="BR25" s="388"/>
      <c r="BS25" s="388"/>
      <c r="BT25" s="388"/>
      <c r="BU25" s="388"/>
      <c r="BV25" s="388"/>
      <c r="BW25" s="388"/>
      <c r="BX25" s="388"/>
      <c r="BY25" s="388"/>
      <c r="BZ25" s="388"/>
      <c r="CA25" s="388"/>
      <c r="CB25" s="388"/>
      <c r="CC25" s="388"/>
      <c r="CD25" s="388"/>
      <c r="CE25" s="388"/>
      <c r="CF25" s="388"/>
      <c r="CG25" s="389"/>
      <c r="CH25" s="388" t="s">
        <v>130</v>
      </c>
      <c r="CI25" s="388"/>
      <c r="CJ25" s="388"/>
      <c r="CK25" s="388"/>
      <c r="CL25" s="388"/>
      <c r="CM25" s="388"/>
      <c r="CN25" s="388"/>
      <c r="CO25" s="388"/>
      <c r="CP25" s="388"/>
      <c r="CQ25" s="388"/>
      <c r="CR25" s="388"/>
      <c r="CS25" s="388"/>
      <c r="CT25" s="388"/>
      <c r="CU25" s="388"/>
      <c r="CV25" s="388"/>
      <c r="CW25" s="388"/>
      <c r="CX25" s="388"/>
      <c r="CY25" s="388"/>
      <c r="CZ25" s="388"/>
      <c r="DA25" s="389"/>
      <c r="DB25" s="388" t="s">
        <v>402</v>
      </c>
      <c r="DC25" s="388"/>
      <c r="DD25" s="388"/>
      <c r="DE25" s="388"/>
      <c r="DF25" s="388"/>
      <c r="DG25" s="388"/>
      <c r="DH25" s="388"/>
      <c r="DI25" s="388"/>
      <c r="DJ25" s="388"/>
      <c r="DK25" s="388"/>
      <c r="DL25" s="388"/>
      <c r="DM25" s="388"/>
      <c r="DN25" s="388"/>
      <c r="DO25" s="388"/>
      <c r="DP25" s="388"/>
      <c r="DQ25" s="388"/>
      <c r="DR25" s="388"/>
      <c r="DS25" s="388"/>
      <c r="DT25" s="388"/>
      <c r="DU25" s="389"/>
      <c r="DV25" s="409" t="s">
        <v>380</v>
      </c>
      <c r="DW25" s="409"/>
      <c r="DX25" s="388"/>
      <c r="DY25" s="367"/>
      <c r="DZ25" s="410"/>
      <c r="EA25" s="411" t="s">
        <v>100</v>
      </c>
      <c r="EB25" s="412"/>
      <c r="EC25" s="412"/>
      <c r="ED25" s="412"/>
      <c r="EE25" s="412"/>
      <c r="EF25" s="412"/>
      <c r="EG25" s="412"/>
      <c r="EH25" s="412"/>
      <c r="EI25" s="412"/>
      <c r="EJ25" s="412"/>
      <c r="EK25" s="412"/>
      <c r="EL25" s="412"/>
      <c r="EM25" s="413"/>
    </row>
    <row r="26" spans="1:144" x14ac:dyDescent="0.25">
      <c r="B26" s="396" t="s">
        <v>48</v>
      </c>
      <c r="C26" s="362" t="s">
        <v>30</v>
      </c>
      <c r="D26" s="414" t="s">
        <v>30</v>
      </c>
      <c r="E26" s="415" t="s">
        <v>32</v>
      </c>
      <c r="F26" s="363" t="s">
        <v>31</v>
      </c>
      <c r="G26" s="363"/>
      <c r="H26" s="363"/>
      <c r="I26" s="363"/>
      <c r="J26" s="416" t="s">
        <v>51</v>
      </c>
      <c r="K26" s="416" t="s">
        <v>52</v>
      </c>
      <c r="L26" s="416" t="s">
        <v>51</v>
      </c>
      <c r="M26" s="416" t="s">
        <v>51</v>
      </c>
      <c r="N26" s="417" t="s">
        <v>52</v>
      </c>
      <c r="O26" s="417" t="s">
        <v>52</v>
      </c>
      <c r="P26" s="418"/>
      <c r="Q26" s="419" t="s">
        <v>310</v>
      </c>
      <c r="R26" s="420" t="s">
        <v>59</v>
      </c>
      <c r="S26" s="421" t="s">
        <v>346</v>
      </c>
      <c r="T26" s="417" t="s">
        <v>60</v>
      </c>
      <c r="U26" s="419" t="s">
        <v>30</v>
      </c>
      <c r="V26" s="419" t="s">
        <v>136</v>
      </c>
      <c r="W26" s="419" t="s">
        <v>103</v>
      </c>
      <c r="X26" s="419" t="s">
        <v>102</v>
      </c>
      <c r="Y26" s="419" t="s">
        <v>30</v>
      </c>
      <c r="Z26" s="422" t="s">
        <v>33</v>
      </c>
      <c r="AA26" s="362" t="s">
        <v>41</v>
      </c>
      <c r="AB26" s="363" t="s">
        <v>42</v>
      </c>
      <c r="AC26" s="414" t="s">
        <v>44</v>
      </c>
      <c r="AD26" s="418" t="s">
        <v>6</v>
      </c>
      <c r="AE26" s="423"/>
      <c r="AF26" s="416" t="s">
        <v>70</v>
      </c>
      <c r="AG26" s="424" t="s">
        <v>160</v>
      </c>
      <c r="AH26" s="425" t="s">
        <v>72</v>
      </c>
      <c r="AI26" s="426" t="s">
        <v>64</v>
      </c>
      <c r="AJ26" s="427" t="s">
        <v>6</v>
      </c>
      <c r="AK26" s="428" t="s">
        <v>60</v>
      </c>
      <c r="AL26" s="429" t="s">
        <v>162</v>
      </c>
      <c r="AM26" s="420" t="s">
        <v>93</v>
      </c>
      <c r="AN26" s="430" t="s">
        <v>95</v>
      </c>
      <c r="AO26" s="430" t="s">
        <v>163</v>
      </c>
      <c r="AP26" s="430" t="s">
        <v>164</v>
      </c>
      <c r="AQ26" s="430" t="s">
        <v>165</v>
      </c>
      <c r="AR26" s="430" t="s">
        <v>95</v>
      </c>
      <c r="AS26" s="430" t="s">
        <v>166</v>
      </c>
      <c r="AT26" s="430" t="s">
        <v>98</v>
      </c>
      <c r="AU26" s="430" t="s">
        <v>93</v>
      </c>
      <c r="AV26" s="430" t="s">
        <v>95</v>
      </c>
      <c r="AW26" s="430" t="s">
        <v>96</v>
      </c>
      <c r="AX26" s="431" t="s">
        <v>131</v>
      </c>
      <c r="AY26" s="390" t="s">
        <v>498</v>
      </c>
      <c r="AZ26" s="432" t="s">
        <v>250</v>
      </c>
      <c r="BA26" s="432" t="s">
        <v>250</v>
      </c>
      <c r="BB26" s="432" t="s">
        <v>250</v>
      </c>
      <c r="BC26" s="432" t="s">
        <v>207</v>
      </c>
      <c r="BD26" s="432" t="s">
        <v>207</v>
      </c>
      <c r="BE26" s="433" t="s">
        <v>127</v>
      </c>
      <c r="BF26" s="434"/>
      <c r="BG26" s="421" t="s">
        <v>122</v>
      </c>
      <c r="BH26" s="421" t="s">
        <v>122</v>
      </c>
      <c r="BI26" s="421"/>
      <c r="BJ26" s="435" t="s">
        <v>131</v>
      </c>
      <c r="BK26" s="436" t="s">
        <v>135</v>
      </c>
      <c r="BL26" s="436" t="s">
        <v>92</v>
      </c>
      <c r="BM26" s="437" t="s">
        <v>133</v>
      </c>
      <c r="BN26" s="398"/>
      <c r="BO26" s="398"/>
      <c r="BP26" s="398"/>
      <c r="BQ26" s="398"/>
      <c r="BR26" s="398"/>
      <c r="BS26" s="398"/>
      <c r="BT26" s="398"/>
      <c r="BU26" s="398"/>
      <c r="BV26" s="398"/>
      <c r="BW26" s="398"/>
      <c r="BX26" s="398"/>
      <c r="BY26" s="398"/>
      <c r="BZ26" s="398"/>
      <c r="CA26" s="398"/>
      <c r="CB26" s="398"/>
      <c r="CC26" s="398"/>
      <c r="CD26" s="398"/>
      <c r="CE26" s="398"/>
      <c r="CF26" s="398"/>
      <c r="CG26" s="438"/>
      <c r="CH26" s="398"/>
      <c r="CI26" s="398"/>
      <c r="CJ26" s="398"/>
      <c r="CK26" s="398"/>
      <c r="CL26" s="398"/>
      <c r="CM26" s="398"/>
      <c r="CN26" s="398"/>
      <c r="CO26" s="398"/>
      <c r="CP26" s="398"/>
      <c r="CQ26" s="398"/>
      <c r="CR26" s="398"/>
      <c r="CS26" s="398"/>
      <c r="CT26" s="398"/>
      <c r="CU26" s="398"/>
      <c r="CV26" s="398"/>
      <c r="CW26" s="398"/>
      <c r="CX26" s="398"/>
      <c r="CY26" s="398"/>
      <c r="CZ26" s="398"/>
      <c r="DA26" s="438"/>
      <c r="DB26" s="398"/>
      <c r="DC26" s="398"/>
      <c r="DD26" s="398"/>
      <c r="DE26" s="398"/>
      <c r="DF26" s="398"/>
      <c r="DG26" s="398"/>
      <c r="DH26" s="398"/>
      <c r="DI26" s="398"/>
      <c r="DJ26" s="398"/>
      <c r="DK26" s="398"/>
      <c r="DL26" s="398"/>
      <c r="DM26" s="398"/>
      <c r="DN26" s="398"/>
      <c r="DO26" s="398"/>
      <c r="DP26" s="398"/>
      <c r="DQ26" s="398"/>
      <c r="DR26" s="398"/>
      <c r="DS26" s="398"/>
      <c r="DT26" s="398"/>
      <c r="DU26" s="438"/>
      <c r="DV26" s="439" t="s">
        <v>59</v>
      </c>
      <c r="DW26" s="439" t="s">
        <v>33</v>
      </c>
      <c r="DX26" s="438"/>
      <c r="DY26" s="440" t="s">
        <v>160</v>
      </c>
      <c r="DZ26" s="441" t="s">
        <v>64</v>
      </c>
      <c r="EA26" s="442" t="s">
        <v>162</v>
      </c>
      <c r="EB26" s="398" t="s">
        <v>93</v>
      </c>
      <c r="EC26" s="425" t="s">
        <v>95</v>
      </c>
      <c r="ED26" s="425" t="s">
        <v>163</v>
      </c>
      <c r="EE26" s="425" t="s">
        <v>164</v>
      </c>
      <c r="EF26" s="425" t="s">
        <v>165</v>
      </c>
      <c r="EG26" s="425" t="s">
        <v>95</v>
      </c>
      <c r="EH26" s="425" t="s">
        <v>166</v>
      </c>
      <c r="EI26" s="425" t="s">
        <v>98</v>
      </c>
      <c r="EJ26" s="425" t="s">
        <v>93</v>
      </c>
      <c r="EK26" s="425" t="s">
        <v>95</v>
      </c>
      <c r="EL26" s="425" t="s">
        <v>96</v>
      </c>
      <c r="EM26" s="443" t="s">
        <v>131</v>
      </c>
    </row>
    <row r="27" spans="1:144" x14ac:dyDescent="0.25">
      <c r="B27" s="396" t="s">
        <v>49</v>
      </c>
      <c r="C27" s="362" t="s">
        <v>36</v>
      </c>
      <c r="D27" s="414" t="s">
        <v>1</v>
      </c>
      <c r="E27" s="363" t="s">
        <v>36</v>
      </c>
      <c r="F27" s="363" t="s">
        <v>1</v>
      </c>
      <c r="G27" s="363" t="s">
        <v>327</v>
      </c>
      <c r="H27" s="363" t="s">
        <v>328</v>
      </c>
      <c r="I27" s="363" t="s">
        <v>329</v>
      </c>
      <c r="J27" s="417" t="s">
        <v>53</v>
      </c>
      <c r="K27" s="417" t="s">
        <v>53</v>
      </c>
      <c r="L27" s="416" t="s">
        <v>55</v>
      </c>
      <c r="M27" s="416" t="s">
        <v>56</v>
      </c>
      <c r="N27" s="417" t="s">
        <v>55</v>
      </c>
      <c r="O27" s="417" t="s">
        <v>56</v>
      </c>
      <c r="P27" s="418" t="s">
        <v>17</v>
      </c>
      <c r="Q27" s="419" t="s">
        <v>34</v>
      </c>
      <c r="R27" s="420" t="s">
        <v>13</v>
      </c>
      <c r="S27" s="421" t="s">
        <v>13</v>
      </c>
      <c r="T27" s="417" t="s">
        <v>61</v>
      </c>
      <c r="U27" s="419" t="s">
        <v>34</v>
      </c>
      <c r="V27" s="419" t="s">
        <v>34</v>
      </c>
      <c r="W27" s="419" t="s">
        <v>34</v>
      </c>
      <c r="X27" s="419" t="s">
        <v>34</v>
      </c>
      <c r="Y27" s="419" t="s">
        <v>0</v>
      </c>
      <c r="Z27" s="422" t="s">
        <v>0</v>
      </c>
      <c r="AA27" s="362" t="s">
        <v>42</v>
      </c>
      <c r="AB27" s="363" t="s">
        <v>43</v>
      </c>
      <c r="AC27" s="414" t="s">
        <v>42</v>
      </c>
      <c r="AD27" s="418" t="s">
        <v>34</v>
      </c>
      <c r="AE27" s="444" t="s">
        <v>12</v>
      </c>
      <c r="AF27" s="416" t="s">
        <v>68</v>
      </c>
      <c r="AG27" s="424" t="s">
        <v>36</v>
      </c>
      <c r="AH27" s="416" t="s">
        <v>73</v>
      </c>
      <c r="AI27" s="445" t="s">
        <v>71</v>
      </c>
      <c r="AJ27" s="427" t="s">
        <v>34</v>
      </c>
      <c r="AK27" s="428" t="s">
        <v>159</v>
      </c>
      <c r="AL27" s="446" t="s">
        <v>167</v>
      </c>
      <c r="AM27" s="430" t="s">
        <v>90</v>
      </c>
      <c r="AN27" s="430" t="s">
        <v>90</v>
      </c>
      <c r="AO27" s="430" t="s">
        <v>92</v>
      </c>
      <c r="AP27" s="430" t="s">
        <v>168</v>
      </c>
      <c r="AQ27" s="430" t="s">
        <v>97</v>
      </c>
      <c r="AR27" s="430" t="s">
        <v>97</v>
      </c>
      <c r="AS27" s="430" t="s">
        <v>97</v>
      </c>
      <c r="AT27" s="430" t="s">
        <v>97</v>
      </c>
      <c r="AU27" s="430" t="s">
        <v>94</v>
      </c>
      <c r="AV27" s="430" t="s">
        <v>94</v>
      </c>
      <c r="AW27" s="430" t="s">
        <v>94</v>
      </c>
      <c r="AX27" s="430" t="s">
        <v>60</v>
      </c>
      <c r="AY27" s="390" t="s">
        <v>499</v>
      </c>
      <c r="AZ27" s="432" t="s">
        <v>34</v>
      </c>
      <c r="BA27" s="432" t="s">
        <v>353</v>
      </c>
      <c r="BB27" s="432" t="s">
        <v>354</v>
      </c>
      <c r="BC27" s="432" t="s">
        <v>116</v>
      </c>
      <c r="BD27" s="432" t="s">
        <v>125</v>
      </c>
      <c r="BE27" s="447" t="s">
        <v>118</v>
      </c>
      <c r="BF27" s="434" t="s">
        <v>119</v>
      </c>
      <c r="BG27" s="421" t="s">
        <v>50</v>
      </c>
      <c r="BH27" s="421" t="s">
        <v>121</v>
      </c>
      <c r="BI27" s="421" t="s">
        <v>123</v>
      </c>
      <c r="BJ27" s="448" t="s">
        <v>60</v>
      </c>
      <c r="BK27" s="421" t="s">
        <v>68</v>
      </c>
      <c r="BL27" s="421" t="s">
        <v>132</v>
      </c>
      <c r="BM27" s="447" t="s">
        <v>134</v>
      </c>
      <c r="BN27" s="432" t="s">
        <v>118</v>
      </c>
      <c r="BO27" s="432" t="s">
        <v>118</v>
      </c>
      <c r="BP27" s="432" t="s">
        <v>118</v>
      </c>
      <c r="BQ27" s="432" t="s">
        <v>118</v>
      </c>
      <c r="BR27" s="432" t="s">
        <v>118</v>
      </c>
      <c r="BS27" s="432" t="s">
        <v>118</v>
      </c>
      <c r="BT27" s="432" t="s">
        <v>118</v>
      </c>
      <c r="BU27" s="432" t="s">
        <v>118</v>
      </c>
      <c r="BV27" s="432" t="s">
        <v>118</v>
      </c>
      <c r="BW27" s="432" t="s">
        <v>118</v>
      </c>
      <c r="BX27" s="432" t="s">
        <v>118</v>
      </c>
      <c r="BY27" s="432" t="s">
        <v>118</v>
      </c>
      <c r="BZ27" s="432" t="s">
        <v>118</v>
      </c>
      <c r="CA27" s="432" t="s">
        <v>118</v>
      </c>
      <c r="CB27" s="432" t="s">
        <v>118</v>
      </c>
      <c r="CC27" s="432" t="s">
        <v>118</v>
      </c>
      <c r="CD27" s="432" t="s">
        <v>118</v>
      </c>
      <c r="CE27" s="432" t="s">
        <v>118</v>
      </c>
      <c r="CF27" s="432" t="s">
        <v>118</v>
      </c>
      <c r="CG27" s="433" t="s">
        <v>118</v>
      </c>
      <c r="CH27" s="432" t="s">
        <v>118</v>
      </c>
      <c r="CI27" s="432" t="s">
        <v>118</v>
      </c>
      <c r="CJ27" s="432" t="s">
        <v>118</v>
      </c>
      <c r="CK27" s="432" t="s">
        <v>118</v>
      </c>
      <c r="CL27" s="432" t="s">
        <v>118</v>
      </c>
      <c r="CM27" s="432" t="s">
        <v>118</v>
      </c>
      <c r="CN27" s="432" t="s">
        <v>118</v>
      </c>
      <c r="CO27" s="432" t="s">
        <v>118</v>
      </c>
      <c r="CP27" s="432" t="s">
        <v>118</v>
      </c>
      <c r="CQ27" s="432" t="s">
        <v>118</v>
      </c>
      <c r="CR27" s="432" t="s">
        <v>118</v>
      </c>
      <c r="CS27" s="432" t="s">
        <v>118</v>
      </c>
      <c r="CT27" s="432" t="s">
        <v>118</v>
      </c>
      <c r="CU27" s="432" t="s">
        <v>118</v>
      </c>
      <c r="CV27" s="432" t="s">
        <v>118</v>
      </c>
      <c r="CW27" s="432" t="s">
        <v>118</v>
      </c>
      <c r="CX27" s="432" t="s">
        <v>118</v>
      </c>
      <c r="CY27" s="432" t="s">
        <v>118</v>
      </c>
      <c r="CZ27" s="432" t="s">
        <v>118</v>
      </c>
      <c r="DA27" s="433" t="s">
        <v>118</v>
      </c>
      <c r="DB27" s="432" t="s">
        <v>118</v>
      </c>
      <c r="DC27" s="432" t="s">
        <v>118</v>
      </c>
      <c r="DD27" s="432" t="s">
        <v>118</v>
      </c>
      <c r="DE27" s="432" t="s">
        <v>118</v>
      </c>
      <c r="DF27" s="432" t="s">
        <v>118</v>
      </c>
      <c r="DG27" s="432" t="s">
        <v>118</v>
      </c>
      <c r="DH27" s="432" t="s">
        <v>118</v>
      </c>
      <c r="DI27" s="432" t="s">
        <v>118</v>
      </c>
      <c r="DJ27" s="432" t="s">
        <v>118</v>
      </c>
      <c r="DK27" s="432" t="s">
        <v>118</v>
      </c>
      <c r="DL27" s="432" t="s">
        <v>118</v>
      </c>
      <c r="DM27" s="432" t="s">
        <v>118</v>
      </c>
      <c r="DN27" s="432" t="s">
        <v>118</v>
      </c>
      <c r="DO27" s="432" t="s">
        <v>118</v>
      </c>
      <c r="DP27" s="432" t="s">
        <v>118</v>
      </c>
      <c r="DQ27" s="432" t="s">
        <v>118</v>
      </c>
      <c r="DR27" s="432" t="s">
        <v>118</v>
      </c>
      <c r="DS27" s="432" t="s">
        <v>118</v>
      </c>
      <c r="DT27" s="432" t="s">
        <v>118</v>
      </c>
      <c r="DU27" s="433" t="s">
        <v>118</v>
      </c>
      <c r="DV27" s="423" t="s">
        <v>13</v>
      </c>
      <c r="DW27" s="423" t="s">
        <v>0</v>
      </c>
      <c r="DX27" s="449" t="s">
        <v>12</v>
      </c>
      <c r="DY27" s="450" t="s">
        <v>36</v>
      </c>
      <c r="DZ27" s="451" t="s">
        <v>71</v>
      </c>
      <c r="EA27" s="448" t="s">
        <v>167</v>
      </c>
      <c r="EB27" s="416" t="s">
        <v>90</v>
      </c>
      <c r="EC27" s="416" t="s">
        <v>90</v>
      </c>
      <c r="ED27" s="416" t="s">
        <v>92</v>
      </c>
      <c r="EE27" s="416" t="s">
        <v>168</v>
      </c>
      <c r="EF27" s="416" t="s">
        <v>97</v>
      </c>
      <c r="EG27" s="416" t="s">
        <v>97</v>
      </c>
      <c r="EH27" s="416" t="s">
        <v>97</v>
      </c>
      <c r="EI27" s="416" t="s">
        <v>97</v>
      </c>
      <c r="EJ27" s="416" t="s">
        <v>94</v>
      </c>
      <c r="EK27" s="416" t="s">
        <v>94</v>
      </c>
      <c r="EL27" s="416" t="s">
        <v>94</v>
      </c>
      <c r="EM27" s="452" t="s">
        <v>60</v>
      </c>
    </row>
    <row r="28" spans="1:144" x14ac:dyDescent="0.25">
      <c r="B28" s="453" t="s">
        <v>58</v>
      </c>
      <c r="C28" s="454" t="s">
        <v>58</v>
      </c>
      <c r="D28" s="455" t="s">
        <v>58</v>
      </c>
      <c r="E28" s="456" t="s">
        <v>38</v>
      </c>
      <c r="F28" s="457" t="s">
        <v>58</v>
      </c>
      <c r="G28" s="457" t="s">
        <v>58</v>
      </c>
      <c r="H28" s="457" t="s">
        <v>58</v>
      </c>
      <c r="I28" s="457" t="s">
        <v>58</v>
      </c>
      <c r="J28" s="458" t="s">
        <v>39</v>
      </c>
      <c r="K28" s="458" t="s">
        <v>39</v>
      </c>
      <c r="L28" s="458" t="s">
        <v>38</v>
      </c>
      <c r="M28" s="458" t="s">
        <v>38</v>
      </c>
      <c r="N28" s="458" t="s">
        <v>38</v>
      </c>
      <c r="O28" s="458" t="s">
        <v>38</v>
      </c>
      <c r="P28" s="459" t="s">
        <v>39</v>
      </c>
      <c r="Q28" s="460" t="s">
        <v>339</v>
      </c>
      <c r="R28" s="461" t="s">
        <v>35</v>
      </c>
      <c r="S28" s="462" t="s">
        <v>35</v>
      </c>
      <c r="T28" s="458" t="s">
        <v>62</v>
      </c>
      <c r="U28" s="460" t="s">
        <v>340</v>
      </c>
      <c r="V28" s="460" t="s">
        <v>63</v>
      </c>
      <c r="W28" s="460" t="s">
        <v>65</v>
      </c>
      <c r="X28" s="460" t="s">
        <v>65</v>
      </c>
      <c r="Y28" s="460" t="s">
        <v>349</v>
      </c>
      <c r="Z28" s="463" t="s">
        <v>339</v>
      </c>
      <c r="AA28" s="464" t="s">
        <v>40</v>
      </c>
      <c r="AB28" s="456" t="s">
        <v>40</v>
      </c>
      <c r="AC28" s="465" t="s">
        <v>40</v>
      </c>
      <c r="AD28" s="466" t="s">
        <v>65</v>
      </c>
      <c r="AE28" s="467" t="s">
        <v>66</v>
      </c>
      <c r="AF28" s="468" t="s">
        <v>67</v>
      </c>
      <c r="AG28" s="469" t="s">
        <v>38</v>
      </c>
      <c r="AH28" s="468" t="s">
        <v>69</v>
      </c>
      <c r="AI28" s="470" t="s">
        <v>153</v>
      </c>
      <c r="AJ28" s="471" t="s">
        <v>847</v>
      </c>
      <c r="AK28" s="472" t="s">
        <v>115</v>
      </c>
      <c r="AL28" s="473" t="s">
        <v>101</v>
      </c>
      <c r="AM28" s="461" t="s">
        <v>101</v>
      </c>
      <c r="AN28" s="461" t="s">
        <v>101</v>
      </c>
      <c r="AO28" s="461" t="s">
        <v>101</v>
      </c>
      <c r="AP28" s="461" t="s">
        <v>101</v>
      </c>
      <c r="AQ28" s="461" t="s">
        <v>101</v>
      </c>
      <c r="AR28" s="461" t="s">
        <v>101</v>
      </c>
      <c r="AS28" s="461" t="s">
        <v>101</v>
      </c>
      <c r="AT28" s="461" t="s">
        <v>101</v>
      </c>
      <c r="AU28" s="461" t="s">
        <v>101</v>
      </c>
      <c r="AV28" s="461" t="s">
        <v>101</v>
      </c>
      <c r="AW28" s="461" t="s">
        <v>101</v>
      </c>
      <c r="AX28" s="461" t="s">
        <v>101</v>
      </c>
      <c r="AY28" s="474" t="s">
        <v>65</v>
      </c>
      <c r="AZ28" s="475" t="s">
        <v>58</v>
      </c>
      <c r="BA28" s="475" t="s">
        <v>58</v>
      </c>
      <c r="BB28" s="475" t="s">
        <v>58</v>
      </c>
      <c r="BC28" s="475" t="s">
        <v>251</v>
      </c>
      <c r="BD28" s="475" t="s">
        <v>117</v>
      </c>
      <c r="BE28" s="476" t="s">
        <v>38</v>
      </c>
      <c r="BF28" s="477" t="s">
        <v>251</v>
      </c>
      <c r="BG28" s="462" t="s">
        <v>120</v>
      </c>
      <c r="BH28" s="462" t="s">
        <v>38</v>
      </c>
      <c r="BI28" s="462" t="s">
        <v>67</v>
      </c>
      <c r="BJ28" s="478" t="s">
        <v>101</v>
      </c>
      <c r="BK28" s="462" t="s">
        <v>67</v>
      </c>
      <c r="BL28" s="462" t="s">
        <v>252</v>
      </c>
      <c r="BM28" s="476" t="s">
        <v>253</v>
      </c>
      <c r="BN28" s="458">
        <v>1</v>
      </c>
      <c r="BO28" s="458">
        <v>2</v>
      </c>
      <c r="BP28" s="458">
        <v>3</v>
      </c>
      <c r="BQ28" s="458">
        <v>4</v>
      </c>
      <c r="BR28" s="458">
        <v>5</v>
      </c>
      <c r="BS28" s="458">
        <v>6</v>
      </c>
      <c r="BT28" s="458">
        <v>7</v>
      </c>
      <c r="BU28" s="458">
        <v>8</v>
      </c>
      <c r="BV28" s="458">
        <v>9</v>
      </c>
      <c r="BW28" s="458">
        <v>10</v>
      </c>
      <c r="BX28" s="458">
        <v>11</v>
      </c>
      <c r="BY28" s="458">
        <v>12</v>
      </c>
      <c r="BZ28" s="458">
        <v>13</v>
      </c>
      <c r="CA28" s="458">
        <v>14</v>
      </c>
      <c r="CB28" s="458">
        <v>15</v>
      </c>
      <c r="CC28" s="458">
        <v>16</v>
      </c>
      <c r="CD28" s="458">
        <v>17</v>
      </c>
      <c r="CE28" s="458">
        <v>18</v>
      </c>
      <c r="CF28" s="458">
        <v>19</v>
      </c>
      <c r="CG28" s="479">
        <v>20</v>
      </c>
      <c r="CH28" s="458">
        <v>1</v>
      </c>
      <c r="CI28" s="458">
        <v>2</v>
      </c>
      <c r="CJ28" s="458">
        <v>3</v>
      </c>
      <c r="CK28" s="458">
        <v>4</v>
      </c>
      <c r="CL28" s="458">
        <v>5</v>
      </c>
      <c r="CM28" s="458">
        <v>6</v>
      </c>
      <c r="CN28" s="458">
        <v>7</v>
      </c>
      <c r="CO28" s="458">
        <v>8</v>
      </c>
      <c r="CP28" s="458">
        <v>9</v>
      </c>
      <c r="CQ28" s="458">
        <v>10</v>
      </c>
      <c r="CR28" s="458">
        <v>11</v>
      </c>
      <c r="CS28" s="458">
        <v>12</v>
      </c>
      <c r="CT28" s="458">
        <v>13</v>
      </c>
      <c r="CU28" s="458">
        <v>14</v>
      </c>
      <c r="CV28" s="458">
        <v>15</v>
      </c>
      <c r="CW28" s="458">
        <v>16</v>
      </c>
      <c r="CX28" s="458">
        <v>17</v>
      </c>
      <c r="CY28" s="458">
        <v>18</v>
      </c>
      <c r="CZ28" s="458">
        <v>19</v>
      </c>
      <c r="DA28" s="479">
        <v>20</v>
      </c>
      <c r="DB28" s="458">
        <v>1</v>
      </c>
      <c r="DC28" s="458">
        <v>2</v>
      </c>
      <c r="DD28" s="458">
        <v>3</v>
      </c>
      <c r="DE28" s="458">
        <v>4</v>
      </c>
      <c r="DF28" s="458">
        <v>5</v>
      </c>
      <c r="DG28" s="458">
        <v>6</v>
      </c>
      <c r="DH28" s="458">
        <v>7</v>
      </c>
      <c r="DI28" s="458">
        <v>8</v>
      </c>
      <c r="DJ28" s="458">
        <v>9</v>
      </c>
      <c r="DK28" s="458">
        <v>10</v>
      </c>
      <c r="DL28" s="458">
        <v>11</v>
      </c>
      <c r="DM28" s="458">
        <v>12</v>
      </c>
      <c r="DN28" s="458">
        <v>13</v>
      </c>
      <c r="DO28" s="458">
        <v>14</v>
      </c>
      <c r="DP28" s="458">
        <v>15</v>
      </c>
      <c r="DQ28" s="458">
        <v>16</v>
      </c>
      <c r="DR28" s="458">
        <v>17</v>
      </c>
      <c r="DS28" s="458">
        <v>18</v>
      </c>
      <c r="DT28" s="458">
        <v>19</v>
      </c>
      <c r="DU28" s="479">
        <v>20</v>
      </c>
      <c r="DV28" s="480" t="s">
        <v>35</v>
      </c>
      <c r="DW28" s="480" t="s">
        <v>65</v>
      </c>
      <c r="DX28" s="479" t="s">
        <v>66</v>
      </c>
      <c r="DY28" s="481" t="s">
        <v>38</v>
      </c>
      <c r="DZ28" s="482" t="s">
        <v>38</v>
      </c>
      <c r="EA28" s="478" t="s">
        <v>101</v>
      </c>
      <c r="EB28" s="458" t="s">
        <v>101</v>
      </c>
      <c r="EC28" s="458" t="s">
        <v>101</v>
      </c>
      <c r="ED28" s="458" t="s">
        <v>101</v>
      </c>
      <c r="EE28" s="458" t="s">
        <v>101</v>
      </c>
      <c r="EF28" s="458" t="s">
        <v>101</v>
      </c>
      <c r="EG28" s="458" t="s">
        <v>101</v>
      </c>
      <c r="EH28" s="458" t="s">
        <v>101</v>
      </c>
      <c r="EI28" s="458" t="s">
        <v>101</v>
      </c>
      <c r="EJ28" s="458" t="s">
        <v>101</v>
      </c>
      <c r="EK28" s="458" t="s">
        <v>101</v>
      </c>
      <c r="EL28" s="458" t="s">
        <v>101</v>
      </c>
      <c r="EM28" s="479" t="s">
        <v>101</v>
      </c>
    </row>
    <row r="29" spans="1:144" x14ac:dyDescent="0.25">
      <c r="A29" s="483">
        <v>1</v>
      </c>
      <c r="B29" s="484">
        <f>A29+1</f>
        <v>2</v>
      </c>
      <c r="C29" s="484">
        <f t="shared" ref="C29:AP29" si="0">B29+1</f>
        <v>3</v>
      </c>
      <c r="D29" s="484">
        <f t="shared" si="0"/>
        <v>4</v>
      </c>
      <c r="E29" s="484">
        <f t="shared" si="0"/>
        <v>5</v>
      </c>
      <c r="F29" s="484">
        <f t="shared" si="0"/>
        <v>6</v>
      </c>
      <c r="G29" s="484">
        <f t="shared" si="0"/>
        <v>7</v>
      </c>
      <c r="H29" s="484">
        <f t="shared" si="0"/>
        <v>8</v>
      </c>
      <c r="I29" s="484">
        <f t="shared" si="0"/>
        <v>9</v>
      </c>
      <c r="J29" s="484">
        <f t="shared" si="0"/>
        <v>10</v>
      </c>
      <c r="K29" s="484">
        <f t="shared" si="0"/>
        <v>11</v>
      </c>
      <c r="L29" s="484">
        <f t="shared" si="0"/>
        <v>12</v>
      </c>
      <c r="M29" s="484">
        <f t="shared" si="0"/>
        <v>13</v>
      </c>
      <c r="N29" s="484">
        <f t="shared" si="0"/>
        <v>14</v>
      </c>
      <c r="O29" s="484">
        <f t="shared" si="0"/>
        <v>15</v>
      </c>
      <c r="P29" s="484">
        <f t="shared" si="0"/>
        <v>16</v>
      </c>
      <c r="Q29" s="485">
        <f t="shared" si="0"/>
        <v>17</v>
      </c>
      <c r="R29" s="484">
        <f t="shared" si="0"/>
        <v>18</v>
      </c>
      <c r="S29" s="484">
        <f t="shared" si="0"/>
        <v>19</v>
      </c>
      <c r="T29" s="484">
        <f t="shared" si="0"/>
        <v>20</v>
      </c>
      <c r="U29" s="484">
        <f t="shared" si="0"/>
        <v>21</v>
      </c>
      <c r="V29" s="484">
        <f t="shared" si="0"/>
        <v>22</v>
      </c>
      <c r="W29" s="484">
        <f t="shared" si="0"/>
        <v>23</v>
      </c>
      <c r="X29" s="484">
        <f t="shared" si="0"/>
        <v>24</v>
      </c>
      <c r="Y29" s="484">
        <f t="shared" si="0"/>
        <v>25</v>
      </c>
      <c r="Z29" s="484">
        <f t="shared" si="0"/>
        <v>26</v>
      </c>
      <c r="AA29" s="484">
        <f t="shared" si="0"/>
        <v>27</v>
      </c>
      <c r="AB29" s="484">
        <f t="shared" si="0"/>
        <v>28</v>
      </c>
      <c r="AC29" s="484">
        <f t="shared" si="0"/>
        <v>29</v>
      </c>
      <c r="AD29" s="484">
        <f t="shared" si="0"/>
        <v>30</v>
      </c>
      <c r="AE29" s="484">
        <f t="shared" si="0"/>
        <v>31</v>
      </c>
      <c r="AF29" s="484">
        <f t="shared" si="0"/>
        <v>32</v>
      </c>
      <c r="AG29" s="484">
        <f t="shared" si="0"/>
        <v>33</v>
      </c>
      <c r="AH29" s="484">
        <f t="shared" si="0"/>
        <v>34</v>
      </c>
      <c r="AI29" s="484">
        <f t="shared" si="0"/>
        <v>35</v>
      </c>
      <c r="AJ29" s="484">
        <f t="shared" si="0"/>
        <v>36</v>
      </c>
      <c r="AK29" s="484">
        <f t="shared" si="0"/>
        <v>37</v>
      </c>
      <c r="AL29" s="484">
        <f t="shared" si="0"/>
        <v>38</v>
      </c>
      <c r="AM29" s="484">
        <f t="shared" si="0"/>
        <v>39</v>
      </c>
      <c r="AN29" s="484">
        <f t="shared" si="0"/>
        <v>40</v>
      </c>
      <c r="AO29" s="484">
        <f t="shared" si="0"/>
        <v>41</v>
      </c>
      <c r="AP29" s="484">
        <f t="shared" si="0"/>
        <v>42</v>
      </c>
      <c r="AQ29" s="486"/>
      <c r="AR29" s="486"/>
      <c r="AS29" s="486"/>
      <c r="AT29" s="486"/>
      <c r="AU29" s="486"/>
      <c r="AV29" s="486"/>
      <c r="AW29" s="486"/>
      <c r="AX29" s="486"/>
      <c r="AY29" s="487"/>
      <c r="AZ29" s="488"/>
      <c r="BA29" s="488"/>
      <c r="BB29" s="488"/>
      <c r="BC29" s="488"/>
      <c r="BD29" s="488"/>
      <c r="BE29" s="485"/>
      <c r="BF29" s="432"/>
      <c r="BG29" s="421"/>
      <c r="BH29" s="421"/>
      <c r="BI29" s="421"/>
      <c r="BJ29" s="434"/>
      <c r="BK29" s="421"/>
      <c r="BL29" s="421"/>
      <c r="BM29" s="421"/>
      <c r="BN29" s="417"/>
      <c r="BO29" s="417"/>
      <c r="BP29" s="417"/>
      <c r="BQ29" s="417"/>
      <c r="BR29" s="417"/>
      <c r="BS29" s="417"/>
      <c r="BT29" s="417"/>
      <c r="BU29" s="417"/>
      <c r="BV29" s="417"/>
      <c r="BW29" s="417"/>
      <c r="BX29" s="417"/>
      <c r="BY29" s="417"/>
      <c r="BZ29" s="417"/>
      <c r="CA29" s="417"/>
      <c r="CB29" s="417"/>
      <c r="CC29" s="417"/>
      <c r="CD29" s="417"/>
      <c r="CE29" s="417"/>
      <c r="CF29" s="417"/>
      <c r="CG29" s="417"/>
      <c r="CH29" s="417"/>
      <c r="CI29" s="417"/>
      <c r="CJ29" s="417"/>
      <c r="CK29" s="417"/>
      <c r="CL29" s="417"/>
      <c r="CM29" s="417"/>
      <c r="CN29" s="417"/>
      <c r="CO29" s="417"/>
      <c r="CP29" s="417"/>
      <c r="CQ29" s="417"/>
      <c r="CR29" s="417"/>
      <c r="CS29" s="417"/>
      <c r="CT29" s="417"/>
      <c r="CU29" s="417"/>
      <c r="CV29" s="417"/>
      <c r="CW29" s="417"/>
      <c r="CX29" s="417"/>
      <c r="CY29" s="417"/>
      <c r="CZ29" s="417"/>
      <c r="DA29" s="417"/>
      <c r="DB29" s="417"/>
      <c r="DC29" s="417"/>
      <c r="DD29" s="417"/>
      <c r="DE29" s="417"/>
      <c r="DF29" s="417"/>
      <c r="DG29" s="417"/>
      <c r="DH29" s="417"/>
      <c r="DI29" s="417"/>
      <c r="DJ29" s="417"/>
      <c r="DK29" s="417"/>
      <c r="DL29" s="417"/>
      <c r="DM29" s="417"/>
      <c r="DN29" s="417"/>
      <c r="DO29" s="417"/>
      <c r="DP29" s="417"/>
      <c r="DQ29" s="417"/>
      <c r="DR29" s="417"/>
      <c r="DS29" s="417"/>
      <c r="DT29" s="417"/>
      <c r="DU29" s="417"/>
      <c r="DV29" s="417"/>
      <c r="DW29" s="421"/>
      <c r="DX29" s="421"/>
      <c r="EL29" s="360"/>
      <c r="EM29" s="360"/>
    </row>
    <row r="30" spans="1:144" x14ac:dyDescent="0.25">
      <c r="B30" s="383" t="s">
        <v>54</v>
      </c>
      <c r="C30" s="359" t="s">
        <v>47</v>
      </c>
      <c r="D30" s="397" t="s">
        <v>46</v>
      </c>
      <c r="E30" s="360" t="s">
        <v>299</v>
      </c>
      <c r="F30" s="360" t="s">
        <v>298</v>
      </c>
      <c r="G30" s="360" t="s">
        <v>327</v>
      </c>
      <c r="H30" s="360" t="s">
        <v>328</v>
      </c>
      <c r="I30" s="360" t="s">
        <v>329</v>
      </c>
      <c r="J30" s="360" t="s">
        <v>76</v>
      </c>
      <c r="K30" s="360" t="s">
        <v>77</v>
      </c>
      <c r="L30" s="360" t="s">
        <v>20</v>
      </c>
      <c r="M30" s="360" t="s">
        <v>21</v>
      </c>
      <c r="N30" s="360" t="s">
        <v>22</v>
      </c>
      <c r="O30" s="360" t="s">
        <v>23</v>
      </c>
      <c r="P30" s="489" t="s">
        <v>17</v>
      </c>
      <c r="Q30" s="400" t="s">
        <v>37</v>
      </c>
      <c r="R30" s="431" t="s">
        <v>13</v>
      </c>
      <c r="S30" s="490" t="s">
        <v>346</v>
      </c>
      <c r="T30" s="360" t="s">
        <v>14</v>
      </c>
      <c r="U30" s="404" t="s">
        <v>244</v>
      </c>
      <c r="V30" s="491" t="s">
        <v>136</v>
      </c>
      <c r="W30" s="491" t="s">
        <v>103</v>
      </c>
      <c r="X30" s="491" t="s">
        <v>102</v>
      </c>
      <c r="Y30" s="491" t="s">
        <v>350</v>
      </c>
      <c r="Z30" s="492" t="s">
        <v>78</v>
      </c>
      <c r="AA30" s="359" t="s">
        <v>18</v>
      </c>
      <c r="AB30" s="360" t="s">
        <v>19</v>
      </c>
      <c r="AC30" s="397" t="s">
        <v>45</v>
      </c>
      <c r="AD30" s="489" t="s">
        <v>79</v>
      </c>
      <c r="AE30" s="493" t="s">
        <v>12</v>
      </c>
      <c r="AF30" s="360" t="s">
        <v>27</v>
      </c>
      <c r="AG30" s="431" t="s">
        <v>283</v>
      </c>
      <c r="AH30" s="425" t="s">
        <v>80</v>
      </c>
      <c r="AI30" s="494" t="s">
        <v>28</v>
      </c>
      <c r="AJ30" s="383" t="s">
        <v>496</v>
      </c>
      <c r="AK30" s="489" t="s">
        <v>286</v>
      </c>
      <c r="AL30" s="495" t="s">
        <v>82</v>
      </c>
      <c r="AM30" s="493" t="s">
        <v>260</v>
      </c>
      <c r="AN30" s="493" t="s">
        <v>261</v>
      </c>
      <c r="AO30" s="493" t="s">
        <v>262</v>
      </c>
      <c r="AP30" s="493" t="s">
        <v>263</v>
      </c>
      <c r="AQ30" s="493" t="s">
        <v>86</v>
      </c>
      <c r="AR30" s="493" t="s">
        <v>87</v>
      </c>
      <c r="AS30" s="493" t="s">
        <v>88</v>
      </c>
      <c r="AT30" s="493" t="s">
        <v>89</v>
      </c>
      <c r="AU30" s="493" t="s">
        <v>83</v>
      </c>
      <c r="AV30" s="493" t="s">
        <v>84</v>
      </c>
      <c r="AW30" s="493" t="s">
        <v>85</v>
      </c>
      <c r="AX30" s="496" t="s">
        <v>264</v>
      </c>
      <c r="AY30" s="404" t="s">
        <v>500</v>
      </c>
      <c r="AZ30" s="497" t="s">
        <v>300</v>
      </c>
      <c r="BA30" s="498" t="s">
        <v>301</v>
      </c>
      <c r="BB30" s="498" t="s">
        <v>355</v>
      </c>
      <c r="BC30" s="498" t="s">
        <v>302</v>
      </c>
      <c r="BD30" s="498" t="s">
        <v>304</v>
      </c>
      <c r="BE30" s="499" t="s">
        <v>303</v>
      </c>
      <c r="BF30" s="497" t="s">
        <v>119</v>
      </c>
      <c r="BG30" s="498" t="s">
        <v>305</v>
      </c>
      <c r="BH30" s="498" t="s">
        <v>306</v>
      </c>
      <c r="BI30" s="498" t="s">
        <v>123</v>
      </c>
      <c r="BJ30" s="497" t="s">
        <v>356</v>
      </c>
      <c r="BK30" s="498" t="s">
        <v>357</v>
      </c>
      <c r="BL30" s="498" t="s">
        <v>358</v>
      </c>
      <c r="BM30" s="498" t="s">
        <v>359</v>
      </c>
      <c r="BN30" s="500" t="s">
        <v>382</v>
      </c>
      <c r="BO30" s="402" t="s">
        <v>383</v>
      </c>
      <c r="BP30" s="501" t="s">
        <v>384</v>
      </c>
      <c r="BQ30" s="402" t="s">
        <v>385</v>
      </c>
      <c r="BR30" s="501" t="s">
        <v>386</v>
      </c>
      <c r="BS30" s="402" t="s">
        <v>387</v>
      </c>
      <c r="BT30" s="501" t="s">
        <v>388</v>
      </c>
      <c r="BU30" s="402" t="s">
        <v>389</v>
      </c>
      <c r="BV30" s="501" t="s">
        <v>390</v>
      </c>
      <c r="BW30" s="402" t="s">
        <v>391</v>
      </c>
      <c r="BX30" s="501" t="s">
        <v>392</v>
      </c>
      <c r="BY30" s="402" t="s">
        <v>393</v>
      </c>
      <c r="BZ30" s="501" t="s">
        <v>394</v>
      </c>
      <c r="CA30" s="402" t="s">
        <v>395</v>
      </c>
      <c r="CB30" s="501" t="s">
        <v>396</v>
      </c>
      <c r="CC30" s="402" t="s">
        <v>397</v>
      </c>
      <c r="CD30" s="501" t="s">
        <v>398</v>
      </c>
      <c r="CE30" s="402" t="s">
        <v>399</v>
      </c>
      <c r="CF30" s="501" t="s">
        <v>400</v>
      </c>
      <c r="CG30" s="502" t="s">
        <v>401</v>
      </c>
      <c r="CH30" s="500" t="s">
        <v>360</v>
      </c>
      <c r="CI30" s="402" t="s">
        <v>361</v>
      </c>
      <c r="CJ30" s="501" t="s">
        <v>362</v>
      </c>
      <c r="CK30" s="402" t="s">
        <v>363</v>
      </c>
      <c r="CL30" s="501" t="s">
        <v>364</v>
      </c>
      <c r="CM30" s="402" t="s">
        <v>365</v>
      </c>
      <c r="CN30" s="501" t="s">
        <v>366</v>
      </c>
      <c r="CO30" s="402" t="s">
        <v>367</v>
      </c>
      <c r="CP30" s="501" t="s">
        <v>368</v>
      </c>
      <c r="CQ30" s="402" t="s">
        <v>369</v>
      </c>
      <c r="CR30" s="501" t="s">
        <v>370</v>
      </c>
      <c r="CS30" s="402" t="s">
        <v>371</v>
      </c>
      <c r="CT30" s="501" t="s">
        <v>372</v>
      </c>
      <c r="CU30" s="402" t="s">
        <v>373</v>
      </c>
      <c r="CV30" s="501" t="s">
        <v>374</v>
      </c>
      <c r="CW30" s="402" t="s">
        <v>375</v>
      </c>
      <c r="CX30" s="501" t="s">
        <v>376</v>
      </c>
      <c r="CY30" s="402" t="s">
        <v>377</v>
      </c>
      <c r="CZ30" s="501" t="s">
        <v>378</v>
      </c>
      <c r="DA30" s="502" t="s">
        <v>379</v>
      </c>
      <c r="DB30" s="500" t="s">
        <v>403</v>
      </c>
      <c r="DC30" s="402" t="s">
        <v>404</v>
      </c>
      <c r="DD30" s="501" t="s">
        <v>405</v>
      </c>
      <c r="DE30" s="402" t="s">
        <v>406</v>
      </c>
      <c r="DF30" s="501" t="s">
        <v>407</v>
      </c>
      <c r="DG30" s="402" t="s">
        <v>408</v>
      </c>
      <c r="DH30" s="501" t="s">
        <v>409</v>
      </c>
      <c r="DI30" s="402" t="s">
        <v>410</v>
      </c>
      <c r="DJ30" s="501" t="s">
        <v>411</v>
      </c>
      <c r="DK30" s="402" t="s">
        <v>412</v>
      </c>
      <c r="DL30" s="501" t="s">
        <v>413</v>
      </c>
      <c r="DM30" s="402" t="s">
        <v>414</v>
      </c>
      <c r="DN30" s="501" t="s">
        <v>415</v>
      </c>
      <c r="DO30" s="402" t="s">
        <v>416</v>
      </c>
      <c r="DP30" s="501" t="s">
        <v>417</v>
      </c>
      <c r="DQ30" s="402" t="s">
        <v>418</v>
      </c>
      <c r="DR30" s="501" t="s">
        <v>419</v>
      </c>
      <c r="DS30" s="402" t="s">
        <v>420</v>
      </c>
      <c r="DT30" s="501" t="s">
        <v>421</v>
      </c>
      <c r="DU30" s="502" t="s">
        <v>422</v>
      </c>
      <c r="DV30" s="490" t="s">
        <v>423</v>
      </c>
      <c r="DW30" s="490" t="s">
        <v>424</v>
      </c>
      <c r="DX30" s="503" t="s">
        <v>425</v>
      </c>
      <c r="DY30" s="490" t="s">
        <v>426</v>
      </c>
      <c r="DZ30" s="504" t="s">
        <v>427</v>
      </c>
      <c r="EA30" s="383" t="s">
        <v>428</v>
      </c>
      <c r="EB30" s="503" t="s">
        <v>429</v>
      </c>
      <c r="EC30" s="503" t="s">
        <v>430</v>
      </c>
      <c r="ED30" s="503" t="s">
        <v>431</v>
      </c>
      <c r="EE30" s="503" t="s">
        <v>432</v>
      </c>
      <c r="EF30" s="503" t="s">
        <v>433</v>
      </c>
      <c r="EG30" s="503" t="s">
        <v>434</v>
      </c>
      <c r="EH30" s="503" t="s">
        <v>435</v>
      </c>
      <c r="EI30" s="503" t="s">
        <v>436</v>
      </c>
      <c r="EJ30" s="503" t="s">
        <v>437</v>
      </c>
      <c r="EK30" s="503" t="s">
        <v>438</v>
      </c>
      <c r="EL30" s="503" t="s">
        <v>439</v>
      </c>
      <c r="EM30" s="505" t="s">
        <v>440</v>
      </c>
      <c r="EN30" s="355" t="s">
        <v>380</v>
      </c>
    </row>
    <row r="31" spans="1:144" x14ac:dyDescent="0.25">
      <c r="B31" s="506" t="str">
        <f>[1]RONET_Input!J2</f>
        <v>213TT00001</v>
      </c>
      <c r="C31" s="359">
        <f>[1]RONET_Input!B2</f>
        <v>0</v>
      </c>
      <c r="D31" s="397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/>
      <c r="P31" s="442">
        <f>[1]RONET_Input!K2</f>
        <v>2.2129831904900001</v>
      </c>
      <c r="Q31" s="398">
        <f>[1]RONET_Input!Y2</f>
        <v>2</v>
      </c>
      <c r="R31" s="398">
        <f>[1]RONET_Input!X2</f>
        <v>3.8</v>
      </c>
      <c r="S31" s="398"/>
      <c r="T31" s="398"/>
      <c r="U31" s="398">
        <f>[1]RONET_Input!AA2</f>
        <v>6</v>
      </c>
      <c r="V31" s="398">
        <f>[1]RONET_Input!AC2</f>
        <v>1</v>
      </c>
      <c r="W31" s="398">
        <f>[1]RONET_Input!AD2</f>
        <v>1</v>
      </c>
      <c r="X31" s="398">
        <f>[1]RONET_Input!AE2</f>
        <v>4</v>
      </c>
      <c r="Y31" s="398">
        <f>[1]RONET_Input!AB2</f>
        <v>1</v>
      </c>
      <c r="Z31" s="438">
        <f>[1]RONET_Input!Z2</f>
        <v>3</v>
      </c>
      <c r="AA31" s="442"/>
      <c r="AB31" s="398"/>
      <c r="AC31" s="438"/>
      <c r="AD31" s="442">
        <f>[1]RONET_Input!AH2</f>
        <v>3</v>
      </c>
      <c r="AE31" s="398">
        <f>[1]RONET_Input!D2</f>
        <v>0</v>
      </c>
      <c r="AF31" s="398"/>
      <c r="AG31" s="398"/>
      <c r="AH31" s="398"/>
      <c r="AI31" s="438"/>
      <c r="AJ31" s="442">
        <v>1</v>
      </c>
      <c r="AK31" s="442">
        <f>[1]RONET_Input!AF2</f>
        <v>6</v>
      </c>
      <c r="AL31" s="507"/>
      <c r="AM31" s="507"/>
      <c r="AN31" s="507"/>
      <c r="AO31" s="507"/>
      <c r="AP31" s="507"/>
      <c r="AQ31" s="507"/>
      <c r="AR31" s="507"/>
      <c r="AS31" s="507"/>
      <c r="AT31" s="507"/>
      <c r="AU31" s="507"/>
      <c r="AV31" s="507"/>
      <c r="AW31" s="507"/>
      <c r="AX31" s="508"/>
      <c r="AY31" s="509">
        <f>[1]RONET_Input!AG2</f>
        <v>3</v>
      </c>
      <c r="AZ31" s="359" t="s">
        <v>321</v>
      </c>
      <c r="BA31" s="360" t="s">
        <v>505</v>
      </c>
      <c r="BB31" s="360" t="s">
        <v>446</v>
      </c>
      <c r="BC31" s="510">
        <v>7.9888693176689007E-2</v>
      </c>
      <c r="BD31" s="510">
        <v>3.61E-2</v>
      </c>
      <c r="BE31" s="438">
        <v>1</v>
      </c>
      <c r="BF31" s="511">
        <v>0.64511200632921217</v>
      </c>
      <c r="BG31" s="512">
        <v>0.29151238432424381</v>
      </c>
      <c r="BH31" s="512">
        <v>8.0751352998405483</v>
      </c>
      <c r="BI31" s="513">
        <v>0</v>
      </c>
      <c r="BJ31" s="514">
        <v>2000.0000000000002</v>
      </c>
      <c r="BK31" s="515">
        <v>0.22366666666666662</v>
      </c>
      <c r="BL31" s="512">
        <v>1.6154777290577003</v>
      </c>
      <c r="BM31" s="516">
        <v>0.17095505000000003</v>
      </c>
      <c r="BN31" s="517">
        <v>2000.0000000000002</v>
      </c>
      <c r="BO31" s="518">
        <v>2120.0000000000005</v>
      </c>
      <c r="BP31" s="518">
        <v>2247.1999999999998</v>
      </c>
      <c r="BQ31" s="518">
        <v>2382.0320000000002</v>
      </c>
      <c r="BR31" s="518">
        <v>2524.9539199999995</v>
      </c>
      <c r="BS31" s="518">
        <v>2676.4511551999999</v>
      </c>
      <c r="BT31" s="518">
        <v>2837.0382245120009</v>
      </c>
      <c r="BU31" s="518">
        <v>3007.2605179827201</v>
      </c>
      <c r="BV31" s="518">
        <v>3187.6961490616836</v>
      </c>
      <c r="BW31" s="518">
        <v>3378.9579180053843</v>
      </c>
      <c r="BX31" s="518">
        <v>3581.6953930857071</v>
      </c>
      <c r="BY31" s="518">
        <v>3796.59711667085</v>
      </c>
      <c r="BZ31" s="518">
        <v>4024.3929436711001</v>
      </c>
      <c r="CA31" s="518">
        <v>4265.8565202913678</v>
      </c>
      <c r="CB31" s="518">
        <v>4521.8079115088494</v>
      </c>
      <c r="CC31" s="518">
        <v>4793.11638619938</v>
      </c>
      <c r="CD31" s="518">
        <v>5080.703369371342</v>
      </c>
      <c r="CE31" s="518">
        <v>5385.5455715336238</v>
      </c>
      <c r="CF31" s="518">
        <v>5708.6783058256406</v>
      </c>
      <c r="CG31" s="519">
        <v>6051.1990041751797</v>
      </c>
      <c r="CH31" s="520">
        <v>2.5</v>
      </c>
      <c r="CI31" s="521">
        <v>2.5625</v>
      </c>
      <c r="CJ31" s="521">
        <v>2.6265624999999999</v>
      </c>
      <c r="CK31" s="521">
        <v>2.6922265624999997</v>
      </c>
      <c r="CL31" s="521">
        <v>2.7595322265624995</v>
      </c>
      <c r="CM31" s="521">
        <v>2.8285205322265621</v>
      </c>
      <c r="CN31" s="521">
        <v>2.8992335455322262</v>
      </c>
      <c r="CO31" s="521">
        <v>2.9717143841705318</v>
      </c>
      <c r="CP31" s="521">
        <v>2.5</v>
      </c>
      <c r="CQ31" s="521">
        <v>2.5625</v>
      </c>
      <c r="CR31" s="521">
        <v>2.6265624999999999</v>
      </c>
      <c r="CS31" s="521">
        <v>2.6922265624999997</v>
      </c>
      <c r="CT31" s="521">
        <v>2.7595322265624995</v>
      </c>
      <c r="CU31" s="521">
        <v>2.8285205322265621</v>
      </c>
      <c r="CV31" s="521">
        <v>2.8992335455322262</v>
      </c>
      <c r="CW31" s="521">
        <v>2.9717143841705318</v>
      </c>
      <c r="CX31" s="521">
        <v>2.5</v>
      </c>
      <c r="CY31" s="521">
        <v>2.5625</v>
      </c>
      <c r="CZ31" s="521">
        <v>2.6265624999999999</v>
      </c>
      <c r="DA31" s="522">
        <v>2.6922265624999997</v>
      </c>
      <c r="DB31" s="523">
        <v>-3.4553553584972918E-2</v>
      </c>
      <c r="DC31" s="524">
        <v>4.267958152192608E-2</v>
      </c>
      <c r="DD31" s="524">
        <v>4.7740637787913376E-2</v>
      </c>
      <c r="DE31" s="524">
        <v>5.3388511982814357E-2</v>
      </c>
      <c r="DF31" s="524">
        <v>5.9690197716149251E-2</v>
      </c>
      <c r="DG31" s="524">
        <v>6.6720262862709157E-2</v>
      </c>
      <c r="DH31" s="524">
        <v>7.4561702773902061E-2</v>
      </c>
      <c r="DI31" s="524">
        <v>8.3306889951717755E-2</v>
      </c>
      <c r="DJ31" s="524">
        <v>2.7282727827303566E-2</v>
      </c>
      <c r="DK31" s="524">
        <v>0.41389005168702031</v>
      </c>
      <c r="DL31" s="524">
        <v>1.1243127249318752E-2</v>
      </c>
      <c r="DM31" s="524">
        <v>1.1783718814901922E-2</v>
      </c>
      <c r="DN31" s="524">
        <v>1.2346800128388846E-2</v>
      </c>
      <c r="DO31" s="524">
        <v>1.2933055005713179E-2</v>
      </c>
      <c r="DP31" s="524">
        <v>1.3543173520037977E-2</v>
      </c>
      <c r="DQ31" s="524">
        <v>1.4177852003800062E-2</v>
      </c>
      <c r="DR31" s="524">
        <v>-4.6827014226086927E-2</v>
      </c>
      <c r="DS31" s="524">
        <v>0.14947411914419151</v>
      </c>
      <c r="DT31" s="524">
        <v>1.6171466938989187E-2</v>
      </c>
      <c r="DU31" s="525">
        <v>1.6795475107759472E-2</v>
      </c>
      <c r="DV31" s="526">
        <v>3.8</v>
      </c>
      <c r="DW31" s="507">
        <v>3</v>
      </c>
      <c r="DX31" s="509">
        <v>5.5</v>
      </c>
      <c r="DY31" s="507">
        <v>4</v>
      </c>
      <c r="DZ31" s="507">
        <v>10</v>
      </c>
      <c r="EA31" s="507">
        <v>0</v>
      </c>
      <c r="EB31" s="507">
        <v>0</v>
      </c>
      <c r="EC31" s="507">
        <v>595.33333333333337</v>
      </c>
      <c r="ED31" s="507">
        <v>545</v>
      </c>
      <c r="EE31" s="507">
        <v>0</v>
      </c>
      <c r="EF31" s="507">
        <v>133.66666666666666</v>
      </c>
      <c r="EG31" s="507">
        <v>156.33333333333331</v>
      </c>
      <c r="EH31" s="507">
        <v>68.333333333333329</v>
      </c>
      <c r="EI31" s="507">
        <v>89</v>
      </c>
      <c r="EJ31" s="507">
        <v>301</v>
      </c>
      <c r="EK31" s="507">
        <v>55.666666666666671</v>
      </c>
      <c r="EL31" s="507">
        <v>55.666666666666671</v>
      </c>
      <c r="EM31" s="508">
        <v>2000.0000000000002</v>
      </c>
    </row>
    <row r="32" spans="1:144" x14ac:dyDescent="0.25">
      <c r="B32" s="506" t="str">
        <f>[1]RONET_Input!J3</f>
        <v xml:space="preserve">Input VPROMMS: 213TT00008 (55.18 pct); 214TT00001 (43.94 pct); 214TT00051 (0.44 pct); 214TT00050 (0.44 pct); </v>
      </c>
      <c r="C32" s="359">
        <f>[1]RONET_Input!B3</f>
        <v>1</v>
      </c>
      <c r="D32" s="397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442">
        <f>[1]RONET_Input!K3</f>
        <v>11.2469664187</v>
      </c>
      <c r="Q32" s="398">
        <f>[1]RONET_Input!Y3</f>
        <v>2</v>
      </c>
      <c r="R32" s="398">
        <f>[1]RONET_Input!X3</f>
        <v>3.5</v>
      </c>
      <c r="S32" s="398"/>
      <c r="T32" s="398"/>
      <c r="U32" s="398">
        <f>[1]RONET_Input!AA3</f>
        <v>8</v>
      </c>
      <c r="V32" s="398">
        <f>[1]RONET_Input!AC3</f>
        <v>1</v>
      </c>
      <c r="W32" s="398">
        <f>[1]RONET_Input!AD3</f>
        <v>1</v>
      </c>
      <c r="X32" s="398">
        <f>[1]RONET_Input!AE3</f>
        <v>4</v>
      </c>
      <c r="Y32" s="398">
        <f>[1]RONET_Input!AB3</f>
        <v>1</v>
      </c>
      <c r="Z32" s="438">
        <f>[1]RONET_Input!Z3</f>
        <v>1</v>
      </c>
      <c r="AA32" s="442"/>
      <c r="AB32" s="398"/>
      <c r="AC32" s="438"/>
      <c r="AD32" s="442">
        <f>[1]RONET_Input!AH3</f>
        <v>4</v>
      </c>
      <c r="AE32" s="398">
        <f>[1]RONET_Input!D3</f>
        <v>11.535</v>
      </c>
      <c r="AF32" s="398"/>
      <c r="AG32" s="398"/>
      <c r="AH32" s="398"/>
      <c r="AI32" s="438"/>
      <c r="AJ32" s="442">
        <v>1</v>
      </c>
      <c r="AK32" s="442">
        <f>[1]RONET_Input!AF3</f>
        <v>4</v>
      </c>
      <c r="AL32" s="507"/>
      <c r="AM32" s="507"/>
      <c r="AN32" s="507"/>
      <c r="AO32" s="507"/>
      <c r="AP32" s="507"/>
      <c r="AQ32" s="507"/>
      <c r="AR32" s="507"/>
      <c r="AS32" s="507"/>
      <c r="AT32" s="507"/>
      <c r="AU32" s="507"/>
      <c r="AV32" s="507"/>
      <c r="AW32" s="507"/>
      <c r="AX32" s="508"/>
      <c r="AY32" s="509">
        <f>[1]RONET_Input!AG3</f>
        <v>3</v>
      </c>
      <c r="AZ32" s="359" t="s">
        <v>321</v>
      </c>
      <c r="BA32" s="360" t="s">
        <v>502</v>
      </c>
      <c r="BB32" s="360" t="s">
        <v>443</v>
      </c>
      <c r="BC32" s="510">
        <v>0.56291066925593503</v>
      </c>
      <c r="BD32" s="510">
        <v>5.0050000000000004E-2</v>
      </c>
      <c r="BE32" s="438">
        <v>1</v>
      </c>
      <c r="BF32" s="511">
        <v>6.0688980016095373</v>
      </c>
      <c r="BG32" s="512">
        <v>0.53960310502207598</v>
      </c>
      <c r="BH32" s="512">
        <v>10.781280819621896</v>
      </c>
      <c r="BI32" s="513">
        <v>0</v>
      </c>
      <c r="BJ32" s="514">
        <v>375</v>
      </c>
      <c r="BK32" s="515">
        <v>0.22366666666666665</v>
      </c>
      <c r="BL32" s="512">
        <v>1.5394285285595626</v>
      </c>
      <c r="BM32" s="516">
        <v>3.2054071874999999E-2</v>
      </c>
      <c r="BN32" s="517">
        <v>375</v>
      </c>
      <c r="BO32" s="518">
        <v>397.50000000000011</v>
      </c>
      <c r="BP32" s="518">
        <v>421.34999999999991</v>
      </c>
      <c r="BQ32" s="518">
        <v>446.63099999999997</v>
      </c>
      <c r="BR32" s="518">
        <v>473.42885999999999</v>
      </c>
      <c r="BS32" s="518">
        <v>501.83459160000012</v>
      </c>
      <c r="BT32" s="518">
        <v>531.9446670960001</v>
      </c>
      <c r="BU32" s="518">
        <v>563.86134712175999</v>
      </c>
      <c r="BV32" s="518">
        <v>597.69302794906582</v>
      </c>
      <c r="BW32" s="518">
        <v>633.55460962600955</v>
      </c>
      <c r="BX32" s="518">
        <v>671.56788620357008</v>
      </c>
      <c r="BY32" s="518">
        <v>711.86195937578441</v>
      </c>
      <c r="BZ32" s="518">
        <v>754.57367693833146</v>
      </c>
      <c r="CA32" s="518">
        <v>799.84809755463141</v>
      </c>
      <c r="CB32" s="518">
        <v>847.83898340790915</v>
      </c>
      <c r="CC32" s="518">
        <v>898.70932241238381</v>
      </c>
      <c r="CD32" s="518">
        <v>952.63188175712685</v>
      </c>
      <c r="CE32" s="518">
        <v>1009.7897946625544</v>
      </c>
      <c r="CF32" s="518">
        <v>1070.3771823423076</v>
      </c>
      <c r="CG32" s="519">
        <v>1134.5998132828461</v>
      </c>
      <c r="CH32" s="520">
        <v>2.5</v>
      </c>
      <c r="CI32" s="521">
        <v>2.5499999999999998</v>
      </c>
      <c r="CJ32" s="521">
        <v>2.601</v>
      </c>
      <c r="CK32" s="521">
        <v>2.6530200000000002</v>
      </c>
      <c r="CL32" s="521">
        <v>2.7060804000000003</v>
      </c>
      <c r="CM32" s="521">
        <v>2.7602020080000003</v>
      </c>
      <c r="CN32" s="521">
        <v>2.8154060481600003</v>
      </c>
      <c r="CO32" s="521">
        <v>2.8717141691232002</v>
      </c>
      <c r="CP32" s="521">
        <v>2.5</v>
      </c>
      <c r="CQ32" s="521">
        <v>2.5499999999999998</v>
      </c>
      <c r="CR32" s="521">
        <v>2.601</v>
      </c>
      <c r="CS32" s="521">
        <v>2.6530200000000002</v>
      </c>
      <c r="CT32" s="521">
        <v>2.7060804000000003</v>
      </c>
      <c r="CU32" s="521">
        <v>2.7602020080000003</v>
      </c>
      <c r="CV32" s="521">
        <v>2.8154060481600003</v>
      </c>
      <c r="CW32" s="521">
        <v>2.8717141691232002</v>
      </c>
      <c r="CX32" s="521">
        <v>2.5</v>
      </c>
      <c r="CY32" s="521">
        <v>2.5499999999999998</v>
      </c>
      <c r="CZ32" s="521">
        <v>2.601</v>
      </c>
      <c r="DA32" s="522">
        <v>2.6530200000000002</v>
      </c>
      <c r="DB32" s="523">
        <v>-0.31045964687157501</v>
      </c>
      <c r="DC32" s="524">
        <v>0.22270552166296986</v>
      </c>
      <c r="DD32" s="524">
        <v>0.24577008041042858</v>
      </c>
      <c r="DE32" s="524">
        <v>0.27119969920843501</v>
      </c>
      <c r="DF32" s="524">
        <v>0.29923205315739609</v>
      </c>
      <c r="DG32" s="524">
        <v>0.33012707504391914</v>
      </c>
      <c r="DH32" s="524">
        <v>0.364168455880302</v>
      </c>
      <c r="DI32" s="524">
        <v>0.40166503432953515</v>
      </c>
      <c r="DJ32" s="524">
        <v>-6.4265890629953359E-2</v>
      </c>
      <c r="DK32" s="524">
        <v>7.6779030995605524</v>
      </c>
      <c r="DL32" s="524">
        <v>4.7505120198021444E-3</v>
      </c>
      <c r="DM32" s="524">
        <v>4.5249796191011438E-3</v>
      </c>
      <c r="DN32" s="524">
        <v>4.2341804189502952E-3</v>
      </c>
      <c r="DO32" s="524">
        <v>3.8689867747112583E-3</v>
      </c>
      <c r="DP32" s="524">
        <v>3.4192011482701012E-3</v>
      </c>
      <c r="DQ32" s="524">
        <v>2.8734398251866189E-3</v>
      </c>
      <c r="DR32" s="524">
        <v>-0.5020113155836976</v>
      </c>
      <c r="DS32" s="524">
        <v>1.0395474231657273</v>
      </c>
      <c r="DT32" s="524">
        <v>1.5723310373898514E-2</v>
      </c>
      <c r="DU32" s="525">
        <v>1.641771867087094E-2</v>
      </c>
      <c r="DV32" s="526">
        <v>3.5</v>
      </c>
      <c r="DW32" s="507">
        <v>1</v>
      </c>
      <c r="DX32" s="509">
        <v>11.535</v>
      </c>
      <c r="DY32" s="507">
        <v>2</v>
      </c>
      <c r="DZ32" s="507">
        <v>15</v>
      </c>
      <c r="EA32" s="507">
        <v>0</v>
      </c>
      <c r="EB32" s="507">
        <v>0</v>
      </c>
      <c r="EC32" s="507">
        <v>111.62500000000001</v>
      </c>
      <c r="ED32" s="507">
        <v>102.18750000000001</v>
      </c>
      <c r="EE32" s="507">
        <v>0</v>
      </c>
      <c r="EF32" s="507">
        <v>25.062499999999996</v>
      </c>
      <c r="EG32" s="507">
        <v>29.3125</v>
      </c>
      <c r="EH32" s="507">
        <v>12.8125</v>
      </c>
      <c r="EI32" s="507">
        <v>16.6875</v>
      </c>
      <c r="EJ32" s="507">
        <v>56.4375</v>
      </c>
      <c r="EK32" s="507">
        <v>10.4375</v>
      </c>
      <c r="EL32" s="507">
        <v>10.4375</v>
      </c>
      <c r="EM32" s="508">
        <v>375</v>
      </c>
    </row>
    <row r="33" spans="2:143" x14ac:dyDescent="0.25">
      <c r="B33" s="506" t="str">
        <f>[1]RONET_Input!J4</f>
        <v xml:space="preserve">Input VPROMMS: 213TT00001 (72.73 pct); 214TT00003 (27.27 pct); </v>
      </c>
      <c r="C33" s="359">
        <f>[1]RONET_Input!B4</f>
        <v>2</v>
      </c>
      <c r="D33" s="397"/>
      <c r="E33" s="360"/>
      <c r="F33" s="360"/>
      <c r="G33" s="360"/>
      <c r="H33" s="360"/>
      <c r="I33" s="360"/>
      <c r="J33" s="360"/>
      <c r="K33" s="360"/>
      <c r="L33" s="360"/>
      <c r="M33" s="360"/>
      <c r="N33" s="360"/>
      <c r="O33" s="360"/>
      <c r="P33" s="442">
        <f>[1]RONET_Input!K4</f>
        <v>0.27195526456899999</v>
      </c>
      <c r="Q33" s="398">
        <f>[1]RONET_Input!Y4</f>
        <v>2</v>
      </c>
      <c r="R33" s="398">
        <f>[1]RONET_Input!X4</f>
        <v>3.5</v>
      </c>
      <c r="S33" s="398"/>
      <c r="T33" s="398"/>
      <c r="U33" s="398">
        <f>[1]RONET_Input!AA4</f>
        <v>8</v>
      </c>
      <c r="V33" s="398">
        <f>[1]RONET_Input!AC4</f>
        <v>1</v>
      </c>
      <c r="W33" s="398">
        <f>[1]RONET_Input!AD4</f>
        <v>1</v>
      </c>
      <c r="X33" s="398">
        <f>[1]RONET_Input!AE4</f>
        <v>4</v>
      </c>
      <c r="Y33" s="398">
        <f>[1]RONET_Input!AB4</f>
        <v>1</v>
      </c>
      <c r="Z33" s="438">
        <f>[1]RONET_Input!Z4</f>
        <v>1</v>
      </c>
      <c r="AA33" s="442"/>
      <c r="AB33" s="398"/>
      <c r="AC33" s="438"/>
      <c r="AD33" s="442">
        <f>[1]RONET_Input!AH4</f>
        <v>4</v>
      </c>
      <c r="AE33" s="398">
        <f>[1]RONET_Input!D4</f>
        <v>9.2899999999999991</v>
      </c>
      <c r="AF33" s="398"/>
      <c r="AG33" s="398"/>
      <c r="AH33" s="398"/>
      <c r="AI33" s="438"/>
      <c r="AJ33" s="442">
        <v>1</v>
      </c>
      <c r="AK33" s="442">
        <f>[1]RONET_Input!AF4</f>
        <v>4</v>
      </c>
      <c r="AL33" s="507"/>
      <c r="AM33" s="507"/>
      <c r="AN33" s="507"/>
      <c r="AO33" s="507"/>
      <c r="AP33" s="507"/>
      <c r="AQ33" s="507"/>
      <c r="AR33" s="507"/>
      <c r="AS33" s="507"/>
      <c r="AT33" s="507"/>
      <c r="AU33" s="507"/>
      <c r="AV33" s="507"/>
      <c r="AW33" s="507"/>
      <c r="AX33" s="508"/>
      <c r="AY33" s="509">
        <f>[1]RONET_Input!AG4</f>
        <v>3</v>
      </c>
      <c r="AZ33" s="359" t="s">
        <v>321</v>
      </c>
      <c r="BA33" s="360" t="s">
        <v>502</v>
      </c>
      <c r="BB33" s="360" t="s">
        <v>443</v>
      </c>
      <c r="BC33" s="510">
        <v>1.3611360991678449E-2</v>
      </c>
      <c r="BD33" s="510">
        <v>5.0049999999999997E-2</v>
      </c>
      <c r="BE33" s="438">
        <v>5</v>
      </c>
      <c r="BF33" s="511">
        <v>0.12353781696259139</v>
      </c>
      <c r="BG33" s="512">
        <v>0.45425786170522026</v>
      </c>
      <c r="BH33" s="512">
        <v>9.0760811529514545</v>
      </c>
      <c r="BI33" s="513">
        <v>0</v>
      </c>
      <c r="BJ33" s="514">
        <v>375</v>
      </c>
      <c r="BK33" s="515">
        <v>0.22366666666666665</v>
      </c>
      <c r="BL33" s="512">
        <v>3.7223876837881871E-2</v>
      </c>
      <c r="BM33" s="516">
        <v>3.2054071874999999E-2</v>
      </c>
      <c r="BN33" s="517">
        <v>375</v>
      </c>
      <c r="BO33" s="518">
        <v>397.50000000000011</v>
      </c>
      <c r="BP33" s="518">
        <v>421.34999999999991</v>
      </c>
      <c r="BQ33" s="518">
        <v>446.63099999999997</v>
      </c>
      <c r="BR33" s="518">
        <v>473.42885999999999</v>
      </c>
      <c r="BS33" s="518">
        <v>501.83459160000012</v>
      </c>
      <c r="BT33" s="518">
        <v>531.9446670960001</v>
      </c>
      <c r="BU33" s="518">
        <v>563.86134712175999</v>
      </c>
      <c r="BV33" s="518">
        <v>597.69302794906582</v>
      </c>
      <c r="BW33" s="518">
        <v>633.55460962600955</v>
      </c>
      <c r="BX33" s="518">
        <v>671.56788620357008</v>
      </c>
      <c r="BY33" s="518">
        <v>711.86195937578441</v>
      </c>
      <c r="BZ33" s="518">
        <v>754.57367693833146</v>
      </c>
      <c r="CA33" s="518">
        <v>799.84809755463141</v>
      </c>
      <c r="CB33" s="518">
        <v>847.83898340790915</v>
      </c>
      <c r="CC33" s="518">
        <v>898.70932241238381</v>
      </c>
      <c r="CD33" s="518">
        <v>952.63188175712685</v>
      </c>
      <c r="CE33" s="518">
        <v>1009.7897946625544</v>
      </c>
      <c r="CF33" s="518">
        <v>1070.3771823423076</v>
      </c>
      <c r="CG33" s="519">
        <v>1134.5998132828461</v>
      </c>
      <c r="CH33" s="520">
        <v>9.2899999999999991</v>
      </c>
      <c r="CI33" s="521">
        <v>9.4757999999999996</v>
      </c>
      <c r="CJ33" s="521">
        <v>9.6653159999999989</v>
      </c>
      <c r="CK33" s="521">
        <v>9.8586223199999985</v>
      </c>
      <c r="CL33" s="521">
        <v>2.5</v>
      </c>
      <c r="CM33" s="521">
        <v>2.5499999999999998</v>
      </c>
      <c r="CN33" s="521">
        <v>2.601</v>
      </c>
      <c r="CO33" s="521">
        <v>2.6530200000000002</v>
      </c>
      <c r="CP33" s="521">
        <v>2.7060804000000003</v>
      </c>
      <c r="CQ33" s="521">
        <v>2.7602020080000003</v>
      </c>
      <c r="CR33" s="521">
        <v>2.8154060481600003</v>
      </c>
      <c r="CS33" s="521">
        <v>2.8717141691232002</v>
      </c>
      <c r="CT33" s="521">
        <v>2.5</v>
      </c>
      <c r="CU33" s="521">
        <v>2.5499999999999998</v>
      </c>
      <c r="CV33" s="521">
        <v>2.601</v>
      </c>
      <c r="CW33" s="521">
        <v>2.6530200000000002</v>
      </c>
      <c r="CX33" s="521">
        <v>2.7060804000000003</v>
      </c>
      <c r="CY33" s="521">
        <v>2.7602020080000003</v>
      </c>
      <c r="CZ33" s="521">
        <v>2.8154060481600003</v>
      </c>
      <c r="DA33" s="522">
        <v>2.8717141691232002</v>
      </c>
      <c r="DB33" s="523">
        <v>0</v>
      </c>
      <c r="DC33" s="524">
        <v>0</v>
      </c>
      <c r="DD33" s="524">
        <v>0</v>
      </c>
      <c r="DE33" s="524">
        <v>0</v>
      </c>
      <c r="DF33" s="524">
        <v>-7.7964546306879164E-3</v>
      </c>
      <c r="DG33" s="524">
        <v>5.0676509939248486E-3</v>
      </c>
      <c r="DH33" s="524">
        <v>5.5947364452884618E-3</v>
      </c>
      <c r="DI33" s="524">
        <v>6.1761985095071421E-3</v>
      </c>
      <c r="DJ33" s="524">
        <v>6.817608149422727E-3</v>
      </c>
      <c r="DK33" s="524">
        <v>0.18559298129824695</v>
      </c>
      <c r="DL33" s="524">
        <v>4.6798602214719737E-5</v>
      </c>
      <c r="DM33" s="524">
        <v>3.3709732637547674E-5</v>
      </c>
      <c r="DN33" s="524">
        <v>-1.2214548377708502E-2</v>
      </c>
      <c r="DO33" s="524">
        <v>1.707974277846136E-4</v>
      </c>
      <c r="DP33" s="524">
        <v>1.6861457621891729E-4</v>
      </c>
      <c r="DQ33" s="524">
        <v>1.6505743831492226E-4</v>
      </c>
      <c r="DR33" s="524">
        <v>1.599196350883722E-4</v>
      </c>
      <c r="DS33" s="524">
        <v>2.5039072092451591E-2</v>
      </c>
      <c r="DT33" s="524">
        <v>2.7170097467273113E-4</v>
      </c>
      <c r="DU33" s="525">
        <v>2.7632228537385201E-4</v>
      </c>
      <c r="DV33" s="526">
        <v>3.5</v>
      </c>
      <c r="DW33" s="507">
        <v>1</v>
      </c>
      <c r="DX33" s="509">
        <v>9.2899999999999991</v>
      </c>
      <c r="DY33" s="507">
        <v>2</v>
      </c>
      <c r="DZ33" s="507">
        <v>15</v>
      </c>
      <c r="EA33" s="507">
        <v>0</v>
      </c>
      <c r="EB33" s="507">
        <v>0</v>
      </c>
      <c r="EC33" s="507">
        <v>111.62500000000001</v>
      </c>
      <c r="ED33" s="507">
        <v>102.18750000000001</v>
      </c>
      <c r="EE33" s="507">
        <v>0</v>
      </c>
      <c r="EF33" s="507">
        <v>25.062499999999996</v>
      </c>
      <c r="EG33" s="507">
        <v>29.3125</v>
      </c>
      <c r="EH33" s="507">
        <v>12.8125</v>
      </c>
      <c r="EI33" s="507">
        <v>16.6875</v>
      </c>
      <c r="EJ33" s="507">
        <v>56.4375</v>
      </c>
      <c r="EK33" s="507">
        <v>10.4375</v>
      </c>
      <c r="EL33" s="507">
        <v>10.4375</v>
      </c>
      <c r="EM33" s="508">
        <v>375</v>
      </c>
    </row>
    <row r="34" spans="2:143" x14ac:dyDescent="0.25">
      <c r="B34" s="506" t="str">
        <f>[1]RONET_Input!J5</f>
        <v>213TT00001</v>
      </c>
      <c r="C34" s="359">
        <f>[1]RONET_Input!B5</f>
        <v>3</v>
      </c>
      <c r="D34" s="397"/>
      <c r="E34" s="360"/>
      <c r="F34" s="360"/>
      <c r="G34" s="360"/>
      <c r="H34" s="360"/>
      <c r="I34" s="360"/>
      <c r="J34" s="360"/>
      <c r="K34" s="360"/>
      <c r="L34" s="360"/>
      <c r="M34" s="360"/>
      <c r="N34" s="360"/>
      <c r="O34" s="360"/>
      <c r="P34" s="442">
        <f>[1]RONET_Input!K5</f>
        <v>0.20911814628700001</v>
      </c>
      <c r="Q34" s="398">
        <f>[1]RONET_Input!Y5</f>
        <v>2</v>
      </c>
      <c r="R34" s="398">
        <f>[1]RONET_Input!X5</f>
        <v>3.8</v>
      </c>
      <c r="S34" s="398"/>
      <c r="T34" s="398"/>
      <c r="U34" s="398">
        <f>[1]RONET_Input!AA5</f>
        <v>6</v>
      </c>
      <c r="V34" s="398">
        <f>[1]RONET_Input!AC5</f>
        <v>1</v>
      </c>
      <c r="W34" s="398">
        <f>[1]RONET_Input!AD5</f>
        <v>1</v>
      </c>
      <c r="X34" s="398">
        <f>[1]RONET_Input!AE5</f>
        <v>4</v>
      </c>
      <c r="Y34" s="398">
        <f>[1]RONET_Input!AB5</f>
        <v>1</v>
      </c>
      <c r="Z34" s="438">
        <f>[1]RONET_Input!Z5</f>
        <v>3</v>
      </c>
      <c r="AA34" s="442"/>
      <c r="AB34" s="398"/>
      <c r="AC34" s="438"/>
      <c r="AD34" s="442">
        <f>[1]RONET_Input!AH5</f>
        <v>3</v>
      </c>
      <c r="AE34" s="398">
        <f>[1]RONET_Input!D5</f>
        <v>0</v>
      </c>
      <c r="AF34" s="398"/>
      <c r="AG34" s="398"/>
      <c r="AH34" s="398"/>
      <c r="AI34" s="438"/>
      <c r="AJ34" s="442">
        <v>1</v>
      </c>
      <c r="AK34" s="442">
        <f>[1]RONET_Input!AF5</f>
        <v>6</v>
      </c>
      <c r="AL34" s="507"/>
      <c r="AM34" s="507"/>
      <c r="AN34" s="507"/>
      <c r="AO34" s="507"/>
      <c r="AP34" s="507"/>
      <c r="AQ34" s="507"/>
      <c r="AR34" s="507"/>
      <c r="AS34" s="507"/>
      <c r="AT34" s="507"/>
      <c r="AU34" s="507"/>
      <c r="AV34" s="507"/>
      <c r="AW34" s="507"/>
      <c r="AX34" s="508"/>
      <c r="AY34" s="509">
        <f>[1]RONET_Input!AG5</f>
        <v>3</v>
      </c>
      <c r="AZ34" s="359" t="s">
        <v>321</v>
      </c>
      <c r="BA34" s="360" t="s">
        <v>505</v>
      </c>
      <c r="BB34" s="360" t="s">
        <v>446</v>
      </c>
      <c r="BC34" s="510">
        <v>7.5491650809607E-3</v>
      </c>
      <c r="BD34" s="510">
        <v>3.61E-2</v>
      </c>
      <c r="BE34" s="438">
        <v>1</v>
      </c>
      <c r="BF34" s="511">
        <v>6.0960529429589391E-2</v>
      </c>
      <c r="BG34" s="512">
        <v>0.29151238432424381</v>
      </c>
      <c r="BH34" s="512">
        <v>8.0751352998405501</v>
      </c>
      <c r="BI34" s="513">
        <v>0</v>
      </c>
      <c r="BJ34" s="514">
        <v>2000.0000000000002</v>
      </c>
      <c r="BK34" s="515">
        <v>0.22366666666666662</v>
      </c>
      <c r="BL34" s="512">
        <v>0.15265624678951004</v>
      </c>
      <c r="BM34" s="516">
        <v>0.17095505000000003</v>
      </c>
      <c r="BN34" s="517">
        <v>2000.0000000000002</v>
      </c>
      <c r="BO34" s="518">
        <v>2120.0000000000005</v>
      </c>
      <c r="BP34" s="518">
        <v>2247.1999999999998</v>
      </c>
      <c r="BQ34" s="518">
        <v>2382.0320000000002</v>
      </c>
      <c r="BR34" s="518">
        <v>2524.9539199999995</v>
      </c>
      <c r="BS34" s="518">
        <v>2676.4511551999999</v>
      </c>
      <c r="BT34" s="518">
        <v>2837.0382245120009</v>
      </c>
      <c r="BU34" s="518">
        <v>3007.2605179827201</v>
      </c>
      <c r="BV34" s="518">
        <v>3187.6961490616836</v>
      </c>
      <c r="BW34" s="518">
        <v>3378.9579180053843</v>
      </c>
      <c r="BX34" s="518">
        <v>3581.6953930857071</v>
      </c>
      <c r="BY34" s="518">
        <v>3796.59711667085</v>
      </c>
      <c r="BZ34" s="518">
        <v>4024.3929436711001</v>
      </c>
      <c r="CA34" s="518">
        <v>4265.8565202913678</v>
      </c>
      <c r="CB34" s="518">
        <v>4521.8079115088494</v>
      </c>
      <c r="CC34" s="518">
        <v>4793.11638619938</v>
      </c>
      <c r="CD34" s="518">
        <v>5080.703369371342</v>
      </c>
      <c r="CE34" s="518">
        <v>5385.5455715336238</v>
      </c>
      <c r="CF34" s="518">
        <v>5708.6783058256406</v>
      </c>
      <c r="CG34" s="519">
        <v>6051.1990041751797</v>
      </c>
      <c r="CH34" s="520">
        <v>2.5</v>
      </c>
      <c r="CI34" s="521">
        <v>2.5625</v>
      </c>
      <c r="CJ34" s="521">
        <v>2.6265624999999999</v>
      </c>
      <c r="CK34" s="521">
        <v>2.6922265624999997</v>
      </c>
      <c r="CL34" s="521">
        <v>2.7595322265624995</v>
      </c>
      <c r="CM34" s="521">
        <v>2.8285205322265621</v>
      </c>
      <c r="CN34" s="521">
        <v>2.8992335455322262</v>
      </c>
      <c r="CO34" s="521">
        <v>2.9717143841705318</v>
      </c>
      <c r="CP34" s="521">
        <v>2.5</v>
      </c>
      <c r="CQ34" s="521">
        <v>2.5625</v>
      </c>
      <c r="CR34" s="521">
        <v>2.6265624999999999</v>
      </c>
      <c r="CS34" s="521">
        <v>2.6922265624999997</v>
      </c>
      <c r="CT34" s="521">
        <v>2.7595322265624995</v>
      </c>
      <c r="CU34" s="521">
        <v>2.8285205322265621</v>
      </c>
      <c r="CV34" s="521">
        <v>2.8992335455322262</v>
      </c>
      <c r="CW34" s="521">
        <v>2.9717143841705318</v>
      </c>
      <c r="CX34" s="521">
        <v>2.5</v>
      </c>
      <c r="CY34" s="521">
        <v>2.5625</v>
      </c>
      <c r="CZ34" s="521">
        <v>2.6265624999999999</v>
      </c>
      <c r="DA34" s="522">
        <v>2.6922265624999997</v>
      </c>
      <c r="DB34" s="523">
        <v>-3.2651739535889124E-3</v>
      </c>
      <c r="DC34" s="524">
        <v>4.0330514079476021E-3</v>
      </c>
      <c r="DD34" s="524">
        <v>4.5113011791820395E-3</v>
      </c>
      <c r="DE34" s="524">
        <v>5.0450029204222452E-3</v>
      </c>
      <c r="DF34" s="524">
        <v>5.640487262418753E-3</v>
      </c>
      <c r="DG34" s="524">
        <v>6.3048005739897994E-3</v>
      </c>
      <c r="DH34" s="524">
        <v>7.0457855871143005E-3</v>
      </c>
      <c r="DI34" s="524">
        <v>7.8721711373600373E-3</v>
      </c>
      <c r="DJ34" s="524">
        <v>2.578109717875976E-3</v>
      </c>
      <c r="DK34" s="524">
        <v>3.9110970543005302E-2</v>
      </c>
      <c r="DL34" s="524">
        <v>1.0624309931273057E-3</v>
      </c>
      <c r="DM34" s="524">
        <v>1.1135147548924085E-3</v>
      </c>
      <c r="DN34" s="524">
        <v>1.1667237087567284E-3</v>
      </c>
      <c r="DO34" s="524">
        <v>1.2221224726174928E-3</v>
      </c>
      <c r="DP34" s="524">
        <v>1.2797762556553682E-3</v>
      </c>
      <c r="DQ34" s="524">
        <v>1.3397508585275553E-3</v>
      </c>
      <c r="DR34" s="524">
        <v>-4.4249673712822013E-3</v>
      </c>
      <c r="DS34" s="524">
        <v>1.4124712219975993E-2</v>
      </c>
      <c r="DT34" s="524">
        <v>1.5281395735654846E-3</v>
      </c>
      <c r="DU34" s="525">
        <v>1.5871058739340971E-3</v>
      </c>
      <c r="DV34" s="526">
        <v>3.8</v>
      </c>
      <c r="DW34" s="507">
        <v>3</v>
      </c>
      <c r="DX34" s="509">
        <v>5.5</v>
      </c>
      <c r="DY34" s="507">
        <v>4</v>
      </c>
      <c r="DZ34" s="507">
        <v>10</v>
      </c>
      <c r="EA34" s="507">
        <v>0</v>
      </c>
      <c r="EB34" s="507">
        <v>0</v>
      </c>
      <c r="EC34" s="507">
        <v>595.33333333333337</v>
      </c>
      <c r="ED34" s="507">
        <v>545</v>
      </c>
      <c r="EE34" s="507">
        <v>0</v>
      </c>
      <c r="EF34" s="507">
        <v>133.66666666666666</v>
      </c>
      <c r="EG34" s="507">
        <v>156.33333333333331</v>
      </c>
      <c r="EH34" s="507">
        <v>68.333333333333329</v>
      </c>
      <c r="EI34" s="507">
        <v>89</v>
      </c>
      <c r="EJ34" s="507">
        <v>301</v>
      </c>
      <c r="EK34" s="507">
        <v>55.666666666666671</v>
      </c>
      <c r="EL34" s="507">
        <v>55.666666666666671</v>
      </c>
      <c r="EM34" s="508">
        <v>2000.0000000000002</v>
      </c>
    </row>
    <row r="35" spans="2:143" x14ac:dyDescent="0.25">
      <c r="B35" s="506" t="str">
        <f>[1]RONET_Input!J6</f>
        <v xml:space="preserve">Input VPROMMS: 213TT00001 (57.04 pct); 214TT00002 (32.85 pct); 214TT00003 (10.11 pct); </v>
      </c>
      <c r="C35" s="359">
        <f>[1]RONET_Input!B6</f>
        <v>4</v>
      </c>
      <c r="D35" s="397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442">
        <f>[1]RONET_Input!K6</f>
        <v>2.0275452238499998</v>
      </c>
      <c r="Q35" s="398">
        <f>[1]RONET_Input!Y6</f>
        <v>2</v>
      </c>
      <c r="R35" s="398">
        <f>[1]RONET_Input!X6</f>
        <v>3.5</v>
      </c>
      <c r="S35" s="398"/>
      <c r="T35" s="398"/>
      <c r="U35" s="398">
        <f>[1]RONET_Input!AA6</f>
        <v>8</v>
      </c>
      <c r="V35" s="398">
        <f>[1]RONET_Input!AC6</f>
        <v>1</v>
      </c>
      <c r="W35" s="398">
        <f>[1]RONET_Input!AD6</f>
        <v>1</v>
      </c>
      <c r="X35" s="398">
        <f>[1]RONET_Input!AE6</f>
        <v>4</v>
      </c>
      <c r="Y35" s="398">
        <f>[1]RONET_Input!AB6</f>
        <v>1</v>
      </c>
      <c r="Z35" s="438">
        <f>[1]RONET_Input!Z6</f>
        <v>1</v>
      </c>
      <c r="AA35" s="442"/>
      <c r="AB35" s="398"/>
      <c r="AC35" s="438"/>
      <c r="AD35" s="442">
        <f>[1]RONET_Input!AH6</f>
        <v>4</v>
      </c>
      <c r="AE35" s="398">
        <f>[1]RONET_Input!D6</f>
        <v>10.050000000000001</v>
      </c>
      <c r="AF35" s="398"/>
      <c r="AG35" s="398"/>
      <c r="AH35" s="398"/>
      <c r="AI35" s="438"/>
      <c r="AJ35" s="442">
        <v>1</v>
      </c>
      <c r="AK35" s="442">
        <f>[1]RONET_Input!AF6</f>
        <v>4</v>
      </c>
      <c r="AL35" s="507"/>
      <c r="AM35" s="507"/>
      <c r="AN35" s="507"/>
      <c r="AO35" s="507"/>
      <c r="AP35" s="507"/>
      <c r="AQ35" s="507"/>
      <c r="AR35" s="507"/>
      <c r="AS35" s="507"/>
      <c r="AT35" s="507"/>
      <c r="AU35" s="507"/>
      <c r="AV35" s="507"/>
      <c r="AW35" s="507"/>
      <c r="AX35" s="508"/>
      <c r="AY35" s="509">
        <f>[1]RONET_Input!AG6</f>
        <v>3</v>
      </c>
      <c r="AZ35" s="359" t="s">
        <v>321</v>
      </c>
      <c r="BA35" s="360" t="s">
        <v>502</v>
      </c>
      <c r="BB35" s="360" t="s">
        <v>443</v>
      </c>
      <c r="BC35" s="510">
        <v>0.1014786384536925</v>
      </c>
      <c r="BD35" s="510">
        <v>5.0050000000000004E-2</v>
      </c>
      <c r="BE35" s="438">
        <v>5</v>
      </c>
      <c r="BF35" s="511">
        <v>0.94812700631178248</v>
      </c>
      <c r="BG35" s="512">
        <v>0.46762311151385005</v>
      </c>
      <c r="BH35" s="512">
        <v>9.3431191111658336</v>
      </c>
      <c r="BI35" s="513">
        <v>0</v>
      </c>
      <c r="BJ35" s="514">
        <v>375</v>
      </c>
      <c r="BK35" s="515">
        <v>0.22366666666666665</v>
      </c>
      <c r="BL35" s="512">
        <v>0.27752025251446877</v>
      </c>
      <c r="BM35" s="516">
        <v>3.2054071874999999E-2</v>
      </c>
      <c r="BN35" s="517">
        <v>375</v>
      </c>
      <c r="BO35" s="518">
        <v>397.50000000000011</v>
      </c>
      <c r="BP35" s="518">
        <v>421.34999999999991</v>
      </c>
      <c r="BQ35" s="518">
        <v>446.63099999999997</v>
      </c>
      <c r="BR35" s="518">
        <v>473.42885999999999</v>
      </c>
      <c r="BS35" s="518">
        <v>501.83459160000012</v>
      </c>
      <c r="BT35" s="518">
        <v>531.9446670960001</v>
      </c>
      <c r="BU35" s="518">
        <v>563.86134712175999</v>
      </c>
      <c r="BV35" s="518">
        <v>597.69302794906582</v>
      </c>
      <c r="BW35" s="518">
        <v>633.55460962600955</v>
      </c>
      <c r="BX35" s="518">
        <v>671.56788620357008</v>
      </c>
      <c r="BY35" s="518">
        <v>711.86195937578441</v>
      </c>
      <c r="BZ35" s="518">
        <v>754.57367693833146</v>
      </c>
      <c r="CA35" s="518">
        <v>799.84809755463141</v>
      </c>
      <c r="CB35" s="518">
        <v>847.83898340790915</v>
      </c>
      <c r="CC35" s="518">
        <v>898.70932241238381</v>
      </c>
      <c r="CD35" s="518">
        <v>952.63188175712685</v>
      </c>
      <c r="CE35" s="518">
        <v>1009.7897946625544</v>
      </c>
      <c r="CF35" s="518">
        <v>1070.3771823423076</v>
      </c>
      <c r="CG35" s="519">
        <v>1134.5998132828461</v>
      </c>
      <c r="CH35" s="520">
        <v>10.050000000000001</v>
      </c>
      <c r="CI35" s="521">
        <v>10.251000000000001</v>
      </c>
      <c r="CJ35" s="521">
        <v>10.456020000000001</v>
      </c>
      <c r="CK35" s="521">
        <v>10.6651404</v>
      </c>
      <c r="CL35" s="521">
        <v>2.5</v>
      </c>
      <c r="CM35" s="521">
        <v>2.5499999999999998</v>
      </c>
      <c r="CN35" s="521">
        <v>2.601</v>
      </c>
      <c r="CO35" s="521">
        <v>2.6530200000000002</v>
      </c>
      <c r="CP35" s="521">
        <v>2.7060804000000003</v>
      </c>
      <c r="CQ35" s="521">
        <v>2.7602020080000003</v>
      </c>
      <c r="CR35" s="521">
        <v>2.8154060481600003</v>
      </c>
      <c r="CS35" s="521">
        <v>2.8717141691232002</v>
      </c>
      <c r="CT35" s="521">
        <v>2.5</v>
      </c>
      <c r="CU35" s="521">
        <v>2.5499999999999998</v>
      </c>
      <c r="CV35" s="521">
        <v>2.601</v>
      </c>
      <c r="CW35" s="521">
        <v>2.6530200000000002</v>
      </c>
      <c r="CX35" s="521">
        <v>2.7060804000000003</v>
      </c>
      <c r="CY35" s="521">
        <v>2.7602020080000003</v>
      </c>
      <c r="CZ35" s="521">
        <v>2.8154060481600003</v>
      </c>
      <c r="DA35" s="522">
        <v>2.8717141691232002</v>
      </c>
      <c r="DB35" s="523">
        <v>0</v>
      </c>
      <c r="DC35" s="524">
        <v>0</v>
      </c>
      <c r="DD35" s="524">
        <v>0</v>
      </c>
      <c r="DE35" s="524">
        <v>0</v>
      </c>
      <c r="DF35" s="524">
        <v>-5.1810209682946445E-2</v>
      </c>
      <c r="DG35" s="524">
        <v>4.4744907953000762E-2</v>
      </c>
      <c r="DH35" s="524">
        <v>4.9388038744348883E-2</v>
      </c>
      <c r="DI35" s="524">
        <v>5.4508954361063872E-2</v>
      </c>
      <c r="DJ35" s="524">
        <v>6.0156244929943925E-2</v>
      </c>
      <c r="DK35" s="524">
        <v>1.3836766992089953</v>
      </c>
      <c r="DL35" s="524">
        <v>3.4890401020065687E-4</v>
      </c>
      <c r="DM35" s="524">
        <v>2.5132077334427683E-4</v>
      </c>
      <c r="DN35" s="524">
        <v>-9.1064790615311586E-2</v>
      </c>
      <c r="DO35" s="524">
        <v>1.2733693885256248E-3</v>
      </c>
      <c r="DP35" s="524">
        <v>1.2570952771440713E-3</v>
      </c>
      <c r="DQ35" s="524">
        <v>1.2305752611433962E-3</v>
      </c>
      <c r="DR35" s="524">
        <v>1.19227069509803E-3</v>
      </c>
      <c r="DS35" s="524">
        <v>0.18667721366285717</v>
      </c>
      <c r="DT35" s="524">
        <v>2.0256493816589449E-3</v>
      </c>
      <c r="DU35" s="525">
        <v>2.0601032704440359E-3</v>
      </c>
      <c r="DV35" s="526">
        <v>3.5</v>
      </c>
      <c r="DW35" s="507">
        <v>1</v>
      </c>
      <c r="DX35" s="509">
        <v>10.050000000000001</v>
      </c>
      <c r="DY35" s="507">
        <v>2</v>
      </c>
      <c r="DZ35" s="507">
        <v>15</v>
      </c>
      <c r="EA35" s="507">
        <v>0</v>
      </c>
      <c r="EB35" s="507">
        <v>0</v>
      </c>
      <c r="EC35" s="507">
        <v>111.62500000000001</v>
      </c>
      <c r="ED35" s="507">
        <v>102.18750000000001</v>
      </c>
      <c r="EE35" s="507">
        <v>0</v>
      </c>
      <c r="EF35" s="507">
        <v>25.062499999999996</v>
      </c>
      <c r="EG35" s="507">
        <v>29.3125</v>
      </c>
      <c r="EH35" s="507">
        <v>12.8125</v>
      </c>
      <c r="EI35" s="507">
        <v>16.6875</v>
      </c>
      <c r="EJ35" s="507">
        <v>56.4375</v>
      </c>
      <c r="EK35" s="507">
        <v>10.4375</v>
      </c>
      <c r="EL35" s="507">
        <v>10.4375</v>
      </c>
      <c r="EM35" s="508">
        <v>375</v>
      </c>
    </row>
    <row r="36" spans="2:143" x14ac:dyDescent="0.25">
      <c r="B36" s="506" t="str">
        <f>[1]RONET_Input!J7</f>
        <v>214TT00002</v>
      </c>
      <c r="C36" s="359">
        <f>[1]RONET_Input!B7</f>
        <v>5</v>
      </c>
      <c r="D36" s="397"/>
      <c r="E36" s="360"/>
      <c r="F36" s="360"/>
      <c r="G36" s="360"/>
      <c r="H36" s="360"/>
      <c r="I36" s="360"/>
      <c r="J36" s="360"/>
      <c r="K36" s="360"/>
      <c r="L36" s="360"/>
      <c r="M36" s="360"/>
      <c r="N36" s="360"/>
      <c r="O36" s="360"/>
      <c r="P36" s="442">
        <f>[1]RONET_Input!K7</f>
        <v>0.35793638402400002</v>
      </c>
      <c r="Q36" s="398">
        <f>[1]RONET_Input!Y7</f>
        <v>1</v>
      </c>
      <c r="R36" s="398">
        <f>[1]RONET_Input!X7</f>
        <v>3.4</v>
      </c>
      <c r="S36" s="398"/>
      <c r="T36" s="398"/>
      <c r="U36" s="398">
        <f>[1]RONET_Input!AA7</f>
        <v>8</v>
      </c>
      <c r="V36" s="398">
        <f>[1]RONET_Input!AC7</f>
        <v>1</v>
      </c>
      <c r="W36" s="398">
        <f>[1]RONET_Input!AD7</f>
        <v>1</v>
      </c>
      <c r="X36" s="398">
        <f>[1]RONET_Input!AE7</f>
        <v>4</v>
      </c>
      <c r="Y36" s="398">
        <f>[1]RONET_Input!AB7</f>
        <v>1</v>
      </c>
      <c r="Z36" s="438">
        <f>[1]RONET_Input!Z7</f>
        <v>1</v>
      </c>
      <c r="AA36" s="442"/>
      <c r="AB36" s="398"/>
      <c r="AC36" s="438"/>
      <c r="AD36" s="442">
        <f>[1]RONET_Input!AH7</f>
        <v>3</v>
      </c>
      <c r="AE36" s="398">
        <f>[1]RONET_Input!D7</f>
        <v>0</v>
      </c>
      <c r="AF36" s="398"/>
      <c r="AG36" s="398"/>
      <c r="AH36" s="398"/>
      <c r="AI36" s="438"/>
      <c r="AJ36" s="442">
        <v>1</v>
      </c>
      <c r="AK36" s="442">
        <f>[1]RONET_Input!AF7</f>
        <v>4</v>
      </c>
      <c r="AL36" s="507"/>
      <c r="AM36" s="507"/>
      <c r="AN36" s="507"/>
      <c r="AO36" s="507"/>
      <c r="AP36" s="507"/>
      <c r="AQ36" s="507"/>
      <c r="AR36" s="507"/>
      <c r="AS36" s="507"/>
      <c r="AT36" s="507"/>
      <c r="AU36" s="507"/>
      <c r="AV36" s="507"/>
      <c r="AW36" s="507"/>
      <c r="AX36" s="508"/>
      <c r="AY36" s="509">
        <f>[1]RONET_Input!AG7</f>
        <v>3</v>
      </c>
      <c r="AZ36" s="359" t="s">
        <v>321</v>
      </c>
      <c r="BA36" s="360" t="s">
        <v>502</v>
      </c>
      <c r="BB36" s="360" t="s">
        <v>443</v>
      </c>
      <c r="BC36" s="510">
        <v>1.7402866991246883E-2</v>
      </c>
      <c r="BD36" s="510">
        <v>4.8620000000000003E-2</v>
      </c>
      <c r="BE36" s="438">
        <v>6</v>
      </c>
      <c r="BF36" s="511">
        <v>0.14813413970980727</v>
      </c>
      <c r="BG36" s="512">
        <v>0.41385605465544045</v>
      </c>
      <c r="BH36" s="512">
        <v>8.5120537773640557</v>
      </c>
      <c r="BI36" s="513">
        <v>0</v>
      </c>
      <c r="BJ36" s="514">
        <v>375</v>
      </c>
      <c r="BK36" s="515">
        <v>0.22366666666666665</v>
      </c>
      <c r="BL36" s="512">
        <v>4.8992542563285009E-2</v>
      </c>
      <c r="BM36" s="516">
        <v>6.4108143749999999E-2</v>
      </c>
      <c r="BN36" s="517">
        <v>375</v>
      </c>
      <c r="BO36" s="518">
        <v>397.50000000000011</v>
      </c>
      <c r="BP36" s="518">
        <v>421.34999999999991</v>
      </c>
      <c r="BQ36" s="518">
        <v>446.63099999999997</v>
      </c>
      <c r="BR36" s="518">
        <v>473.42885999999999</v>
      </c>
      <c r="BS36" s="518">
        <v>501.83459160000012</v>
      </c>
      <c r="BT36" s="518">
        <v>531.9446670960001</v>
      </c>
      <c r="BU36" s="518">
        <v>563.86134712175999</v>
      </c>
      <c r="BV36" s="518">
        <v>597.69302794906582</v>
      </c>
      <c r="BW36" s="518">
        <v>633.55460962600955</v>
      </c>
      <c r="BX36" s="518">
        <v>671.56788620357008</v>
      </c>
      <c r="BY36" s="518">
        <v>711.86195937578441</v>
      </c>
      <c r="BZ36" s="518">
        <v>754.57367693833146</v>
      </c>
      <c r="CA36" s="518">
        <v>799.84809755463141</v>
      </c>
      <c r="CB36" s="518">
        <v>847.83898340790915</v>
      </c>
      <c r="CC36" s="518">
        <v>898.70932241238381</v>
      </c>
      <c r="CD36" s="518">
        <v>952.63188175712685</v>
      </c>
      <c r="CE36" s="518">
        <v>1009.7897946625544</v>
      </c>
      <c r="CF36" s="518">
        <v>1070.3771823423076</v>
      </c>
      <c r="CG36" s="519">
        <v>1134.5998132828461</v>
      </c>
      <c r="CH36" s="520">
        <v>4.5</v>
      </c>
      <c r="CI36" s="521">
        <v>4.59</v>
      </c>
      <c r="CJ36" s="521">
        <v>4.6818</v>
      </c>
      <c r="CK36" s="521">
        <v>4.775436</v>
      </c>
      <c r="CL36" s="521">
        <v>4.8709447199999998</v>
      </c>
      <c r="CM36" s="521">
        <v>2.5</v>
      </c>
      <c r="CN36" s="521">
        <v>2.5499999999999998</v>
      </c>
      <c r="CO36" s="521">
        <v>2.601</v>
      </c>
      <c r="CP36" s="521">
        <v>2.6530200000000002</v>
      </c>
      <c r="CQ36" s="521">
        <v>2.7060804000000003</v>
      </c>
      <c r="CR36" s="521">
        <v>2.7602020080000003</v>
      </c>
      <c r="CS36" s="521">
        <v>2.8154060481600003</v>
      </c>
      <c r="CT36" s="521">
        <v>2.8717141691232002</v>
      </c>
      <c r="CU36" s="521">
        <v>2.5</v>
      </c>
      <c r="CV36" s="521">
        <v>2.5499999999999998</v>
      </c>
      <c r="CW36" s="521">
        <v>2.601</v>
      </c>
      <c r="CX36" s="521">
        <v>2.6530200000000002</v>
      </c>
      <c r="CY36" s="521">
        <v>2.7060804000000003</v>
      </c>
      <c r="CZ36" s="521">
        <v>2.7602020080000003</v>
      </c>
      <c r="DA36" s="522">
        <v>2.8154060481600003</v>
      </c>
      <c r="DB36" s="523">
        <v>0</v>
      </c>
      <c r="DC36" s="524">
        <v>0</v>
      </c>
      <c r="DD36" s="524">
        <v>0</v>
      </c>
      <c r="DE36" s="524">
        <v>0</v>
      </c>
      <c r="DF36" s="524">
        <v>0</v>
      </c>
      <c r="DG36" s="524">
        <v>-1.4501414210717652E-2</v>
      </c>
      <c r="DH36" s="524">
        <v>1.4733014203205871E-3</v>
      </c>
      <c r="DI36" s="524">
        <v>1.6255378427164346E-3</v>
      </c>
      <c r="DJ36" s="524">
        <v>1.7933374113657391E-3</v>
      </c>
      <c r="DK36" s="524">
        <v>0.24529169640520998</v>
      </c>
      <c r="DL36" s="524">
        <v>1.1015402062878668E-3</v>
      </c>
      <c r="DM36" s="524">
        <v>1.1032505822888769E-3</v>
      </c>
      <c r="DN36" s="524">
        <v>1.1026280970050789E-3</v>
      </c>
      <c r="DO36" s="524">
        <v>-1.4473751987047569E-2</v>
      </c>
      <c r="DP36" s="524">
        <v>1.3842116919975112E-3</v>
      </c>
      <c r="DQ36" s="524">
        <v>1.4048594711550053E-3</v>
      </c>
      <c r="DR36" s="524">
        <v>1.4245719405542173E-3</v>
      </c>
      <c r="DS36" s="524">
        <v>3.4197158081117611E-2</v>
      </c>
      <c r="DT36" s="524">
        <v>1.6282584174878989E-3</v>
      </c>
      <c r="DU36" s="525">
        <v>1.6645241522210835E-3</v>
      </c>
      <c r="DV36" s="526">
        <v>3.4</v>
      </c>
      <c r="DW36" s="507">
        <v>1</v>
      </c>
      <c r="DX36" s="509">
        <v>4.5</v>
      </c>
      <c r="DY36" s="507">
        <v>2</v>
      </c>
      <c r="DZ36" s="507">
        <v>10</v>
      </c>
      <c r="EA36" s="507">
        <v>0</v>
      </c>
      <c r="EB36" s="507">
        <v>0</v>
      </c>
      <c r="EC36" s="507">
        <v>111.62500000000001</v>
      </c>
      <c r="ED36" s="507">
        <v>102.18750000000001</v>
      </c>
      <c r="EE36" s="507">
        <v>0</v>
      </c>
      <c r="EF36" s="507">
        <v>25.062499999999996</v>
      </c>
      <c r="EG36" s="507">
        <v>29.3125</v>
      </c>
      <c r="EH36" s="507">
        <v>12.8125</v>
      </c>
      <c r="EI36" s="507">
        <v>16.6875</v>
      </c>
      <c r="EJ36" s="507">
        <v>56.4375</v>
      </c>
      <c r="EK36" s="507">
        <v>10.4375</v>
      </c>
      <c r="EL36" s="507">
        <v>10.4375</v>
      </c>
      <c r="EM36" s="508">
        <v>375</v>
      </c>
    </row>
    <row r="37" spans="2:143" x14ac:dyDescent="0.25">
      <c r="B37" s="506" t="str">
        <f>[1]RONET_Input!J8</f>
        <v>213TT00001</v>
      </c>
      <c r="C37" s="359">
        <f>[1]RONET_Input!B8</f>
        <v>6</v>
      </c>
      <c r="D37" s="397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360"/>
      <c r="P37" s="442">
        <f>[1]RONET_Input!K8</f>
        <v>3.7755925876799998</v>
      </c>
      <c r="Q37" s="398">
        <f>[1]RONET_Input!Y8</f>
        <v>2</v>
      </c>
      <c r="R37" s="398">
        <f>[1]RONET_Input!X8</f>
        <v>3.8</v>
      </c>
      <c r="S37" s="398"/>
      <c r="T37" s="398"/>
      <c r="U37" s="398">
        <f>[1]RONET_Input!AA8</f>
        <v>6</v>
      </c>
      <c r="V37" s="398">
        <f>[1]RONET_Input!AC8</f>
        <v>1</v>
      </c>
      <c r="W37" s="398">
        <f>[1]RONET_Input!AD8</f>
        <v>1</v>
      </c>
      <c r="X37" s="398">
        <f>[1]RONET_Input!AE8</f>
        <v>4</v>
      </c>
      <c r="Y37" s="398">
        <f>[1]RONET_Input!AB8</f>
        <v>1</v>
      </c>
      <c r="Z37" s="438">
        <f>[1]RONET_Input!Z8</f>
        <v>3</v>
      </c>
      <c r="AA37" s="442"/>
      <c r="AB37" s="398"/>
      <c r="AC37" s="438"/>
      <c r="AD37" s="442">
        <f>[1]RONET_Input!AH8</f>
        <v>5</v>
      </c>
      <c r="AE37" s="398">
        <f>[1]RONET_Input!D8</f>
        <v>12.15</v>
      </c>
      <c r="AF37" s="398"/>
      <c r="AG37" s="398"/>
      <c r="AH37" s="398"/>
      <c r="AI37" s="438"/>
      <c r="AJ37" s="442">
        <v>1</v>
      </c>
      <c r="AK37" s="442">
        <f>[1]RONET_Input!AF8</f>
        <v>6</v>
      </c>
      <c r="AL37" s="507"/>
      <c r="AM37" s="507"/>
      <c r="AN37" s="507"/>
      <c r="AO37" s="507"/>
      <c r="AP37" s="507"/>
      <c r="AQ37" s="507"/>
      <c r="AR37" s="507"/>
      <c r="AS37" s="507"/>
      <c r="AT37" s="507"/>
      <c r="AU37" s="507"/>
      <c r="AV37" s="507"/>
      <c r="AW37" s="507"/>
      <c r="AX37" s="508"/>
      <c r="AY37" s="509">
        <f>[1]RONET_Input!AG8</f>
        <v>3</v>
      </c>
      <c r="AZ37" s="359" t="s">
        <v>322</v>
      </c>
      <c r="BA37" s="360" t="s">
        <v>508</v>
      </c>
      <c r="BB37" s="360" t="s">
        <v>449</v>
      </c>
      <c r="BC37" s="510">
        <v>0.75587363605353597</v>
      </c>
      <c r="BD37" s="510">
        <v>0.20019999999999999</v>
      </c>
      <c r="BE37" s="438">
        <v>1</v>
      </c>
      <c r="BF37" s="511">
        <v>3.9450574880871696</v>
      </c>
      <c r="BG37" s="512">
        <v>1.0448843185464831</v>
      </c>
      <c r="BH37" s="512">
        <v>5.2192023903420734</v>
      </c>
      <c r="BI37" s="513">
        <v>0</v>
      </c>
      <c r="BJ37" s="514">
        <v>2000.0000000000002</v>
      </c>
      <c r="BK37" s="515">
        <v>0.22366666666666662</v>
      </c>
      <c r="BL37" s="512">
        <v>2.7561825890064</v>
      </c>
      <c r="BM37" s="516">
        <v>0.17095505000000003</v>
      </c>
      <c r="BN37" s="517">
        <v>2000.0000000000002</v>
      </c>
      <c r="BO37" s="518">
        <v>2120.0000000000005</v>
      </c>
      <c r="BP37" s="518">
        <v>2247.1999999999998</v>
      </c>
      <c r="BQ37" s="518">
        <v>2382.0320000000002</v>
      </c>
      <c r="BR37" s="518">
        <v>2524.9539199999995</v>
      </c>
      <c r="BS37" s="518">
        <v>2676.4511551999999</v>
      </c>
      <c r="BT37" s="518">
        <v>2837.0382245120009</v>
      </c>
      <c r="BU37" s="518">
        <v>3007.2605179827201</v>
      </c>
      <c r="BV37" s="518">
        <v>3187.6961490616836</v>
      </c>
      <c r="BW37" s="518">
        <v>3378.9579180053843</v>
      </c>
      <c r="BX37" s="518">
        <v>3581.6953930857071</v>
      </c>
      <c r="BY37" s="518">
        <v>3796.59711667085</v>
      </c>
      <c r="BZ37" s="518">
        <v>4024.3929436711001</v>
      </c>
      <c r="CA37" s="518">
        <v>4265.8565202913678</v>
      </c>
      <c r="CB37" s="518">
        <v>4521.8079115088494</v>
      </c>
      <c r="CC37" s="518">
        <v>4793.11638619938</v>
      </c>
      <c r="CD37" s="518">
        <v>5080.703369371342</v>
      </c>
      <c r="CE37" s="518">
        <v>5385.5455715336238</v>
      </c>
      <c r="CF37" s="518">
        <v>5708.6783058256406</v>
      </c>
      <c r="CG37" s="519">
        <v>6051.1990041751797</v>
      </c>
      <c r="CH37" s="520">
        <v>2.6</v>
      </c>
      <c r="CI37" s="521">
        <v>2.665</v>
      </c>
      <c r="CJ37" s="521">
        <v>2.7316250000000002</v>
      </c>
      <c r="CK37" s="521">
        <v>2.7999156250000001</v>
      </c>
      <c r="CL37" s="521">
        <v>2.869913515625</v>
      </c>
      <c r="CM37" s="521">
        <v>2.9416613535156251</v>
      </c>
      <c r="CN37" s="521">
        <v>3.0152028873535155</v>
      </c>
      <c r="CO37" s="521">
        <v>3.0905829595373535</v>
      </c>
      <c r="CP37" s="521">
        <v>2.5</v>
      </c>
      <c r="CQ37" s="521">
        <v>2.5625</v>
      </c>
      <c r="CR37" s="521">
        <v>2.6265624999999999</v>
      </c>
      <c r="CS37" s="521">
        <v>2.6922265624999997</v>
      </c>
      <c r="CT37" s="521">
        <v>2.7595322265624995</v>
      </c>
      <c r="CU37" s="521">
        <v>2.8285205322265621</v>
      </c>
      <c r="CV37" s="521">
        <v>2.8992335455322262</v>
      </c>
      <c r="CW37" s="521">
        <v>2.9717143841705318</v>
      </c>
      <c r="CX37" s="521">
        <v>2.5</v>
      </c>
      <c r="CY37" s="521">
        <v>2.5625</v>
      </c>
      <c r="CZ37" s="521">
        <v>2.6265624999999999</v>
      </c>
      <c r="DA37" s="522">
        <v>2.6922265624999997</v>
      </c>
      <c r="DB37" s="523">
        <v>-0.29624489177207591</v>
      </c>
      <c r="DC37" s="524">
        <v>0.43711556563516685</v>
      </c>
      <c r="DD37" s="524">
        <v>0.48779475778035919</v>
      </c>
      <c r="DE37" s="524">
        <v>0.54419690885597949</v>
      </c>
      <c r="DF37" s="524">
        <v>0.60693127505778532</v>
      </c>
      <c r="DG37" s="524">
        <v>0.67665706999612985</v>
      </c>
      <c r="DH37" s="524">
        <v>0.75408114842456908</v>
      </c>
      <c r="DI37" s="524">
        <v>0.83995247964332487</v>
      </c>
      <c r="DJ37" s="524">
        <v>0.71907384786366002</v>
      </c>
      <c r="DK37" s="524">
        <v>0.68847631455192371</v>
      </c>
      <c r="DL37" s="524">
        <v>7.1748591913678439E-4</v>
      </c>
      <c r="DM37" s="524">
        <v>8.1458663081424021E-4</v>
      </c>
      <c r="DN37" s="524">
        <v>9.2393121348965934E-4</v>
      </c>
      <c r="DO37" s="524">
        <v>1.0469986760046623E-3</v>
      </c>
      <c r="DP37" s="524">
        <v>1.1854416370615795E-3</v>
      </c>
      <c r="DQ37" s="524">
        <v>1.3411062981134592E-3</v>
      </c>
      <c r="DR37" s="524">
        <v>-0.21126495112162891</v>
      </c>
      <c r="DS37" s="524">
        <v>0.22686297835497227</v>
      </c>
      <c r="DT37" s="524">
        <v>-1.8393474838713786E-3</v>
      </c>
      <c r="DU37" s="525">
        <v>-2.0899770144571228E-3</v>
      </c>
      <c r="DV37" s="526">
        <v>3.8</v>
      </c>
      <c r="DW37" s="507">
        <v>3</v>
      </c>
      <c r="DX37" s="509">
        <v>12.15</v>
      </c>
      <c r="DY37" s="507">
        <v>4</v>
      </c>
      <c r="DZ37" s="507">
        <v>20</v>
      </c>
      <c r="EA37" s="507">
        <v>0</v>
      </c>
      <c r="EB37" s="507">
        <v>0</v>
      </c>
      <c r="EC37" s="507">
        <v>595.33333333333337</v>
      </c>
      <c r="ED37" s="507">
        <v>545</v>
      </c>
      <c r="EE37" s="507">
        <v>0</v>
      </c>
      <c r="EF37" s="507">
        <v>133.66666666666666</v>
      </c>
      <c r="EG37" s="507">
        <v>156.33333333333331</v>
      </c>
      <c r="EH37" s="507">
        <v>68.333333333333329</v>
      </c>
      <c r="EI37" s="507">
        <v>89</v>
      </c>
      <c r="EJ37" s="507">
        <v>301</v>
      </c>
      <c r="EK37" s="507">
        <v>55.666666666666671</v>
      </c>
      <c r="EL37" s="507">
        <v>55.666666666666671</v>
      </c>
      <c r="EM37" s="508">
        <v>2000.0000000000002</v>
      </c>
    </row>
    <row r="38" spans="2:143" x14ac:dyDescent="0.25">
      <c r="B38" s="506" t="str">
        <f>[1]RONET_Input!J9</f>
        <v>214TT00002</v>
      </c>
      <c r="C38" s="359">
        <f>[1]RONET_Input!B9</f>
        <v>7</v>
      </c>
      <c r="D38" s="397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442">
        <f>[1]RONET_Input!K9</f>
        <v>1.8001117933599999</v>
      </c>
      <c r="Q38" s="398">
        <f>[1]RONET_Input!Y9</f>
        <v>1</v>
      </c>
      <c r="R38" s="398">
        <f>[1]RONET_Input!X9</f>
        <v>3.4</v>
      </c>
      <c r="S38" s="398"/>
      <c r="T38" s="398"/>
      <c r="U38" s="398">
        <f>[1]RONET_Input!AA9</f>
        <v>8</v>
      </c>
      <c r="V38" s="398">
        <f>[1]RONET_Input!AC9</f>
        <v>1</v>
      </c>
      <c r="W38" s="398">
        <f>[1]RONET_Input!AD9</f>
        <v>1</v>
      </c>
      <c r="X38" s="398">
        <f>[1]RONET_Input!AE9</f>
        <v>4</v>
      </c>
      <c r="Y38" s="398">
        <f>[1]RONET_Input!AB9</f>
        <v>1</v>
      </c>
      <c r="Z38" s="438">
        <f>[1]RONET_Input!Z9</f>
        <v>1</v>
      </c>
      <c r="AA38" s="442"/>
      <c r="AB38" s="398"/>
      <c r="AC38" s="438"/>
      <c r="AD38" s="442">
        <f>[1]RONET_Input!AH9</f>
        <v>5</v>
      </c>
      <c r="AE38" s="398">
        <f>[1]RONET_Input!D9</f>
        <v>12.57</v>
      </c>
      <c r="AF38" s="398"/>
      <c r="AG38" s="398"/>
      <c r="AH38" s="398"/>
      <c r="AI38" s="438"/>
      <c r="AJ38" s="442">
        <v>1</v>
      </c>
      <c r="AK38" s="442">
        <f>[1]RONET_Input!AF9</f>
        <v>4</v>
      </c>
      <c r="AL38" s="507"/>
      <c r="AM38" s="507"/>
      <c r="AN38" s="507"/>
      <c r="AO38" s="507"/>
      <c r="AP38" s="507"/>
      <c r="AQ38" s="507"/>
      <c r="AR38" s="507"/>
      <c r="AS38" s="507"/>
      <c r="AT38" s="507"/>
      <c r="AU38" s="507"/>
      <c r="AV38" s="507"/>
      <c r="AW38" s="507"/>
      <c r="AX38" s="508"/>
      <c r="AY38" s="509">
        <f>[1]RONET_Input!AG9</f>
        <v>3</v>
      </c>
      <c r="AZ38" s="359" t="s">
        <v>321</v>
      </c>
      <c r="BA38" s="360" t="s">
        <v>502</v>
      </c>
      <c r="BB38" s="360" t="s">
        <v>443</v>
      </c>
      <c r="BC38" s="510">
        <v>8.7521435393163205E-2</v>
      </c>
      <c r="BD38" s="510">
        <v>4.8620000000000003E-2</v>
      </c>
      <c r="BE38" s="438">
        <v>1</v>
      </c>
      <c r="BF38" s="511">
        <v>1.0808215728576627</v>
      </c>
      <c r="BG38" s="512">
        <v>0.60041913888039944</v>
      </c>
      <c r="BH38" s="512">
        <v>12.349221285076087</v>
      </c>
      <c r="BI38" s="513">
        <v>0</v>
      </c>
      <c r="BJ38" s="514">
        <v>375</v>
      </c>
      <c r="BK38" s="515">
        <v>0.22366666666666665</v>
      </c>
      <c r="BL38" s="512">
        <v>0.24639030171614998</v>
      </c>
      <c r="BM38" s="516">
        <v>6.4108143749999999E-2</v>
      </c>
      <c r="BN38" s="517">
        <v>375</v>
      </c>
      <c r="BO38" s="518">
        <v>397.50000000000011</v>
      </c>
      <c r="BP38" s="518">
        <v>421.34999999999991</v>
      </c>
      <c r="BQ38" s="518">
        <v>446.63099999999997</v>
      </c>
      <c r="BR38" s="518">
        <v>473.42885999999999</v>
      </c>
      <c r="BS38" s="518">
        <v>501.83459160000012</v>
      </c>
      <c r="BT38" s="518">
        <v>531.9446670960001</v>
      </c>
      <c r="BU38" s="518">
        <v>563.86134712175999</v>
      </c>
      <c r="BV38" s="518">
        <v>597.69302794906582</v>
      </c>
      <c r="BW38" s="518">
        <v>633.55460962600955</v>
      </c>
      <c r="BX38" s="518">
        <v>671.56788620357008</v>
      </c>
      <c r="BY38" s="518">
        <v>711.86195937578441</v>
      </c>
      <c r="BZ38" s="518">
        <v>754.57367693833146</v>
      </c>
      <c r="CA38" s="518">
        <v>799.84809755463141</v>
      </c>
      <c r="CB38" s="518">
        <v>847.83898340790915</v>
      </c>
      <c r="CC38" s="518">
        <v>898.70932241238381</v>
      </c>
      <c r="CD38" s="518">
        <v>952.63188175712685</v>
      </c>
      <c r="CE38" s="518">
        <v>1009.7897946625544</v>
      </c>
      <c r="CF38" s="518">
        <v>1070.3771823423076</v>
      </c>
      <c r="CG38" s="519">
        <v>1134.5998132828461</v>
      </c>
      <c r="CH38" s="520">
        <v>2.5</v>
      </c>
      <c r="CI38" s="521">
        <v>2.5499999999999998</v>
      </c>
      <c r="CJ38" s="521">
        <v>2.601</v>
      </c>
      <c r="CK38" s="521">
        <v>2.6530200000000002</v>
      </c>
      <c r="CL38" s="521">
        <v>2.7060804000000003</v>
      </c>
      <c r="CM38" s="521">
        <v>2.7602020080000003</v>
      </c>
      <c r="CN38" s="521">
        <v>2.8154060481600003</v>
      </c>
      <c r="CO38" s="521">
        <v>2.8717141691232002</v>
      </c>
      <c r="CP38" s="521">
        <v>2.5</v>
      </c>
      <c r="CQ38" s="521">
        <v>2.5499999999999998</v>
      </c>
      <c r="CR38" s="521">
        <v>2.601</v>
      </c>
      <c r="CS38" s="521">
        <v>2.6530200000000002</v>
      </c>
      <c r="CT38" s="521">
        <v>2.7060804000000003</v>
      </c>
      <c r="CU38" s="521">
        <v>2.7602020080000003</v>
      </c>
      <c r="CV38" s="521">
        <v>2.8154060481600003</v>
      </c>
      <c r="CW38" s="521">
        <v>2.8717141691232002</v>
      </c>
      <c r="CX38" s="521">
        <v>2.5</v>
      </c>
      <c r="CY38" s="521">
        <v>2.5499999999999998</v>
      </c>
      <c r="CZ38" s="521">
        <v>2.601</v>
      </c>
      <c r="DA38" s="522">
        <v>2.6530200000000002</v>
      </c>
      <c r="DB38" s="523">
        <v>-3.9715272260813672E-2</v>
      </c>
      <c r="DC38" s="524">
        <v>4.3967056159211468E-2</v>
      </c>
      <c r="DD38" s="524">
        <v>4.8409027388301801E-2</v>
      </c>
      <c r="DE38" s="524">
        <v>5.3294307030945232E-2</v>
      </c>
      <c r="DF38" s="524">
        <v>5.866539155359024E-2</v>
      </c>
      <c r="DG38" s="524">
        <v>6.456824056708782E-2</v>
      </c>
      <c r="DH38" s="524">
        <v>7.1052350003653203E-2</v>
      </c>
      <c r="DI38" s="524">
        <v>7.8170749358930147E-2</v>
      </c>
      <c r="DJ38" s="524">
        <v>7.3258594208099881E-3</v>
      </c>
      <c r="DK38" s="524">
        <v>1.2339741692331818</v>
      </c>
      <c r="DL38" s="524">
        <v>5.946900577406572E-3</v>
      </c>
      <c r="DM38" s="524">
        <v>5.9985022908200236E-3</v>
      </c>
      <c r="DN38" s="524">
        <v>6.042843194509262E-3</v>
      </c>
      <c r="DO38" s="524">
        <v>6.07849849644021E-3</v>
      </c>
      <c r="DP38" s="524">
        <v>6.1038633678322518E-3</v>
      </c>
      <c r="DQ38" s="524">
        <v>6.1171331004715723E-3</v>
      </c>
      <c r="DR38" s="524">
        <v>-7.1949564127354371E-2</v>
      </c>
      <c r="DS38" s="524">
        <v>0.17256904355527203</v>
      </c>
      <c r="DT38" s="524">
        <v>8.8375962876580672E-3</v>
      </c>
      <c r="DU38" s="525">
        <v>9.0885171641401086E-3</v>
      </c>
      <c r="DV38" s="526">
        <v>3.4</v>
      </c>
      <c r="DW38" s="507">
        <v>1</v>
      </c>
      <c r="DX38" s="509">
        <v>12.57</v>
      </c>
      <c r="DY38" s="507">
        <v>2</v>
      </c>
      <c r="DZ38" s="507">
        <v>20</v>
      </c>
      <c r="EA38" s="507">
        <v>0</v>
      </c>
      <c r="EB38" s="507">
        <v>0</v>
      </c>
      <c r="EC38" s="507">
        <v>111.62500000000001</v>
      </c>
      <c r="ED38" s="507">
        <v>102.18750000000001</v>
      </c>
      <c r="EE38" s="507">
        <v>0</v>
      </c>
      <c r="EF38" s="507">
        <v>25.062499999999996</v>
      </c>
      <c r="EG38" s="507">
        <v>29.3125</v>
      </c>
      <c r="EH38" s="507">
        <v>12.8125</v>
      </c>
      <c r="EI38" s="507">
        <v>16.6875</v>
      </c>
      <c r="EJ38" s="507">
        <v>56.4375</v>
      </c>
      <c r="EK38" s="507">
        <v>10.4375</v>
      </c>
      <c r="EL38" s="507">
        <v>10.4375</v>
      </c>
      <c r="EM38" s="508">
        <v>375</v>
      </c>
    </row>
    <row r="39" spans="2:143" x14ac:dyDescent="0.25">
      <c r="B39" s="506" t="str">
        <f>[1]RONET_Input!J10</f>
        <v>213TT00001</v>
      </c>
      <c r="C39" s="359">
        <f>[1]RONET_Input!B10</f>
        <v>8</v>
      </c>
      <c r="D39" s="397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442">
        <f>[1]RONET_Input!K10</f>
        <v>4.2417745276099996</v>
      </c>
      <c r="Q39" s="398">
        <f>[1]RONET_Input!Y10</f>
        <v>2</v>
      </c>
      <c r="R39" s="398">
        <f>[1]RONET_Input!X10</f>
        <v>3.8</v>
      </c>
      <c r="S39" s="398"/>
      <c r="T39" s="398"/>
      <c r="U39" s="398">
        <f>[1]RONET_Input!AA10</f>
        <v>6</v>
      </c>
      <c r="V39" s="398">
        <f>[1]RONET_Input!AC10</f>
        <v>1</v>
      </c>
      <c r="W39" s="398">
        <f>[1]RONET_Input!AD10</f>
        <v>1</v>
      </c>
      <c r="X39" s="398">
        <f>[1]RONET_Input!AE10</f>
        <v>4</v>
      </c>
      <c r="Y39" s="398">
        <f>[1]RONET_Input!AB10</f>
        <v>1</v>
      </c>
      <c r="Z39" s="438">
        <f>[1]RONET_Input!Z10</f>
        <v>3</v>
      </c>
      <c r="AA39" s="442"/>
      <c r="AB39" s="398"/>
      <c r="AC39" s="438"/>
      <c r="AD39" s="442">
        <f>[1]RONET_Input!AH10</f>
        <v>3</v>
      </c>
      <c r="AE39" s="398">
        <f>[1]RONET_Input!D10</f>
        <v>7.6849999999999996</v>
      </c>
      <c r="AF39" s="398"/>
      <c r="AG39" s="398"/>
      <c r="AH39" s="398"/>
      <c r="AI39" s="438"/>
      <c r="AJ39" s="442">
        <v>1</v>
      </c>
      <c r="AK39" s="442">
        <f>[1]RONET_Input!AF10</f>
        <v>6</v>
      </c>
      <c r="AL39" s="507"/>
      <c r="AM39" s="507"/>
      <c r="AN39" s="507"/>
      <c r="AO39" s="507"/>
      <c r="AP39" s="507"/>
      <c r="AQ39" s="507"/>
      <c r="AR39" s="507"/>
      <c r="AS39" s="507"/>
      <c r="AT39" s="507"/>
      <c r="AU39" s="507"/>
      <c r="AV39" s="507"/>
      <c r="AW39" s="507"/>
      <c r="AX39" s="508"/>
      <c r="AY39" s="509">
        <f>[1]RONET_Input!AG10</f>
        <v>3</v>
      </c>
      <c r="AZ39" s="359" t="s">
        <v>321</v>
      </c>
      <c r="BA39" s="360" t="s">
        <v>505</v>
      </c>
      <c r="BB39" s="360" t="s">
        <v>446</v>
      </c>
      <c r="BC39" s="510">
        <v>0.15312806044672098</v>
      </c>
      <c r="BD39" s="510">
        <v>3.61E-2</v>
      </c>
      <c r="BE39" s="438">
        <v>1</v>
      </c>
      <c r="BF39" s="511">
        <v>2.2667901186724291</v>
      </c>
      <c r="BG39" s="512">
        <v>0.53439665496544841</v>
      </c>
      <c r="BH39" s="512">
        <v>14.803231439486108</v>
      </c>
      <c r="BI39" s="513">
        <v>0</v>
      </c>
      <c r="BJ39" s="514">
        <v>2000.0000000000002</v>
      </c>
      <c r="BK39" s="515">
        <v>0.22366666666666662</v>
      </c>
      <c r="BL39" s="512">
        <v>3.0964954051553</v>
      </c>
      <c r="BM39" s="516">
        <v>0.17095505000000003</v>
      </c>
      <c r="BN39" s="517">
        <v>2000.0000000000002</v>
      </c>
      <c r="BO39" s="518">
        <v>2120.0000000000005</v>
      </c>
      <c r="BP39" s="518">
        <v>2247.1999999999998</v>
      </c>
      <c r="BQ39" s="518">
        <v>2382.0320000000002</v>
      </c>
      <c r="BR39" s="518">
        <v>2524.9539199999995</v>
      </c>
      <c r="BS39" s="518">
        <v>2676.4511551999999</v>
      </c>
      <c r="BT39" s="518">
        <v>2837.0382245120009</v>
      </c>
      <c r="BU39" s="518">
        <v>3007.2605179827201</v>
      </c>
      <c r="BV39" s="518">
        <v>3187.6961490616836</v>
      </c>
      <c r="BW39" s="518">
        <v>3378.9579180053843</v>
      </c>
      <c r="BX39" s="518">
        <v>3581.6953930857071</v>
      </c>
      <c r="BY39" s="518">
        <v>3796.59711667085</v>
      </c>
      <c r="BZ39" s="518">
        <v>4024.3929436711001</v>
      </c>
      <c r="CA39" s="518">
        <v>4265.8565202913678</v>
      </c>
      <c r="CB39" s="518">
        <v>4521.8079115088494</v>
      </c>
      <c r="CC39" s="518">
        <v>4793.11638619938</v>
      </c>
      <c r="CD39" s="518">
        <v>5080.703369371342</v>
      </c>
      <c r="CE39" s="518">
        <v>5385.5455715336238</v>
      </c>
      <c r="CF39" s="518">
        <v>5708.6783058256406</v>
      </c>
      <c r="CG39" s="519">
        <v>6051.1990041751797</v>
      </c>
      <c r="CH39" s="520">
        <v>2.5</v>
      </c>
      <c r="CI39" s="521">
        <v>2.5625</v>
      </c>
      <c r="CJ39" s="521">
        <v>2.6265624999999999</v>
      </c>
      <c r="CK39" s="521">
        <v>2.6922265624999997</v>
      </c>
      <c r="CL39" s="521">
        <v>2.7595322265624995</v>
      </c>
      <c r="CM39" s="521">
        <v>2.8285205322265621</v>
      </c>
      <c r="CN39" s="521">
        <v>2.8992335455322262</v>
      </c>
      <c r="CO39" s="521">
        <v>2.9717143841705318</v>
      </c>
      <c r="CP39" s="521">
        <v>2.5</v>
      </c>
      <c r="CQ39" s="521">
        <v>2.5625</v>
      </c>
      <c r="CR39" s="521">
        <v>2.6265624999999999</v>
      </c>
      <c r="CS39" s="521">
        <v>2.6922265624999997</v>
      </c>
      <c r="CT39" s="521">
        <v>2.7595322265624995</v>
      </c>
      <c r="CU39" s="521">
        <v>2.8285205322265621</v>
      </c>
      <c r="CV39" s="521">
        <v>2.8992335455322262</v>
      </c>
      <c r="CW39" s="521">
        <v>2.9717143841705318</v>
      </c>
      <c r="CX39" s="521">
        <v>2.5</v>
      </c>
      <c r="CY39" s="521">
        <v>2.5625</v>
      </c>
      <c r="CZ39" s="521">
        <v>2.6265624999999999</v>
      </c>
      <c r="DA39" s="522">
        <v>2.6922265624999997</v>
      </c>
      <c r="DB39" s="523">
        <v>2.6688660332861769E-2</v>
      </c>
      <c r="DC39" s="524">
        <v>0.18538312500223819</v>
      </c>
      <c r="DD39" s="524">
        <v>0.20695017397351045</v>
      </c>
      <c r="DE39" s="524">
        <v>0.2309884645036131</v>
      </c>
      <c r="DF39" s="524">
        <v>0.25777865904966957</v>
      </c>
      <c r="DG39" s="524">
        <v>0.2876331910256722</v>
      </c>
      <c r="DH39" s="524">
        <v>0.32089985799554133</v>
      </c>
      <c r="DI39" s="524">
        <v>0.35796581493678037</v>
      </c>
      <c r="DJ39" s="524">
        <v>0.27318488549822595</v>
      </c>
      <c r="DK39" s="524">
        <v>0.79333105015065897</v>
      </c>
      <c r="DL39" s="524">
        <v>2.1550462281766158E-2</v>
      </c>
      <c r="DM39" s="524">
        <v>2.2586650691414079E-2</v>
      </c>
      <c r="DN39" s="524">
        <v>2.3665946721671993E-2</v>
      </c>
      <c r="DO39" s="524">
        <v>2.4789661088779447E-2</v>
      </c>
      <c r="DP39" s="524">
        <v>2.5959116502633606E-2</v>
      </c>
      <c r="DQ39" s="524">
        <v>2.7175647670703018E-2</v>
      </c>
      <c r="DR39" s="524">
        <v>-8.9756504704523454E-2</v>
      </c>
      <c r="DS39" s="524">
        <v>0.28650715190583398</v>
      </c>
      <c r="DT39" s="524">
        <v>3.0996944229252588E-2</v>
      </c>
      <c r="DU39" s="525">
        <v>3.2193022883028277E-2</v>
      </c>
      <c r="DV39" s="526">
        <v>3.8</v>
      </c>
      <c r="DW39" s="507">
        <v>3</v>
      </c>
      <c r="DX39" s="509">
        <v>7.6849999999999996</v>
      </c>
      <c r="DY39" s="507">
        <v>4</v>
      </c>
      <c r="DZ39" s="507">
        <v>10</v>
      </c>
      <c r="EA39" s="507">
        <v>0</v>
      </c>
      <c r="EB39" s="507">
        <v>0</v>
      </c>
      <c r="EC39" s="507">
        <v>595.33333333333337</v>
      </c>
      <c r="ED39" s="507">
        <v>545</v>
      </c>
      <c r="EE39" s="507">
        <v>0</v>
      </c>
      <c r="EF39" s="507">
        <v>133.66666666666666</v>
      </c>
      <c r="EG39" s="507">
        <v>156.33333333333331</v>
      </c>
      <c r="EH39" s="507">
        <v>68.333333333333329</v>
      </c>
      <c r="EI39" s="507">
        <v>89</v>
      </c>
      <c r="EJ39" s="507">
        <v>301</v>
      </c>
      <c r="EK39" s="507">
        <v>55.666666666666671</v>
      </c>
      <c r="EL39" s="507">
        <v>55.666666666666671</v>
      </c>
      <c r="EM39" s="508">
        <v>2000.0000000000002</v>
      </c>
    </row>
    <row r="40" spans="2:143" x14ac:dyDescent="0.25">
      <c r="B40" s="506" t="str">
        <f>[1]RONET_Input!J11</f>
        <v xml:space="preserve">Input VPROMMS: hcm_1 (43.14 pct); DHCM_1 (39.22 pct); 212th00023 (11.76 pct); 212TH00023 (5.88 pct); </v>
      </c>
      <c r="C40" s="359">
        <f>[1]RONET_Input!B11</f>
        <v>9</v>
      </c>
      <c r="D40" s="397"/>
      <c r="E40" s="360"/>
      <c r="F40" s="360"/>
      <c r="G40" s="360"/>
      <c r="H40" s="360"/>
      <c r="I40" s="360"/>
      <c r="J40" s="360"/>
      <c r="K40" s="360"/>
      <c r="L40" s="360"/>
      <c r="M40" s="360"/>
      <c r="N40" s="360"/>
      <c r="O40" s="360"/>
      <c r="P40" s="442">
        <f>[1]RONET_Input!K11</f>
        <v>1.3739700808799999</v>
      </c>
      <c r="Q40" s="398">
        <f>[1]RONET_Input!Y11</f>
        <v>2</v>
      </c>
      <c r="R40" s="398">
        <f>[1]RONET_Input!X11</f>
        <v>3.5</v>
      </c>
      <c r="S40" s="398"/>
      <c r="T40" s="398"/>
      <c r="U40" s="398">
        <f>[1]RONET_Input!AA11</f>
        <v>8</v>
      </c>
      <c r="V40" s="398">
        <f>[1]RONET_Input!AC11</f>
        <v>1</v>
      </c>
      <c r="W40" s="398">
        <f>[1]RONET_Input!AD11</f>
        <v>1</v>
      </c>
      <c r="X40" s="398">
        <f>[1]RONET_Input!AE11</f>
        <v>4</v>
      </c>
      <c r="Y40" s="398">
        <f>[1]RONET_Input!AB11</f>
        <v>1</v>
      </c>
      <c r="Z40" s="438">
        <f>[1]RONET_Input!Z11</f>
        <v>1</v>
      </c>
      <c r="AA40" s="442"/>
      <c r="AB40" s="398"/>
      <c r="AC40" s="438"/>
      <c r="AD40" s="442">
        <f>[1]RONET_Input!AH11</f>
        <v>2</v>
      </c>
      <c r="AE40" s="398">
        <f>[1]RONET_Input!D11</f>
        <v>4.6150000000000002</v>
      </c>
      <c r="AF40" s="398"/>
      <c r="AG40" s="398"/>
      <c r="AH40" s="398"/>
      <c r="AI40" s="438"/>
      <c r="AJ40" s="442">
        <v>1</v>
      </c>
      <c r="AK40" s="442">
        <f>[1]RONET_Input!AF11</f>
        <v>4</v>
      </c>
      <c r="AL40" s="507"/>
      <c r="AM40" s="507"/>
      <c r="AN40" s="507"/>
      <c r="AO40" s="507"/>
      <c r="AP40" s="507"/>
      <c r="AQ40" s="507"/>
      <c r="AR40" s="507"/>
      <c r="AS40" s="507"/>
      <c r="AT40" s="507"/>
      <c r="AU40" s="507"/>
      <c r="AV40" s="507"/>
      <c r="AW40" s="507"/>
      <c r="AX40" s="508"/>
      <c r="AY40" s="509">
        <f>[1]RONET_Input!AG11</f>
        <v>3</v>
      </c>
      <c r="AZ40" s="359" t="s">
        <v>321</v>
      </c>
      <c r="BA40" s="360" t="s">
        <v>502</v>
      </c>
      <c r="BB40" s="360" t="s">
        <v>443</v>
      </c>
      <c r="BC40" s="510">
        <v>6.8767202548043999E-2</v>
      </c>
      <c r="BD40" s="510">
        <v>5.0050000000000004E-2</v>
      </c>
      <c r="BE40" s="438">
        <v>6</v>
      </c>
      <c r="BF40" s="511">
        <v>0.54451285696025309</v>
      </c>
      <c r="BG40" s="512">
        <v>0.39630619657416677</v>
      </c>
      <c r="BH40" s="512">
        <v>7.918205725757578</v>
      </c>
      <c r="BI40" s="513">
        <v>0</v>
      </c>
      <c r="BJ40" s="514">
        <v>375</v>
      </c>
      <c r="BK40" s="515">
        <v>0.22366666666666665</v>
      </c>
      <c r="BL40" s="512">
        <v>0.18806215482044999</v>
      </c>
      <c r="BM40" s="516">
        <v>3.2054071874999999E-2</v>
      </c>
      <c r="BN40" s="517">
        <v>375</v>
      </c>
      <c r="BO40" s="518">
        <v>397.50000000000011</v>
      </c>
      <c r="BP40" s="518">
        <v>421.34999999999991</v>
      </c>
      <c r="BQ40" s="518">
        <v>446.63099999999997</v>
      </c>
      <c r="BR40" s="518">
        <v>473.42885999999999</v>
      </c>
      <c r="BS40" s="518">
        <v>501.83459160000012</v>
      </c>
      <c r="BT40" s="518">
        <v>531.9446670960001</v>
      </c>
      <c r="BU40" s="518">
        <v>563.86134712175999</v>
      </c>
      <c r="BV40" s="518">
        <v>597.69302794906582</v>
      </c>
      <c r="BW40" s="518">
        <v>633.55460962600955</v>
      </c>
      <c r="BX40" s="518">
        <v>671.56788620357008</v>
      </c>
      <c r="BY40" s="518">
        <v>711.86195937578441</v>
      </c>
      <c r="BZ40" s="518">
        <v>754.57367693833146</v>
      </c>
      <c r="CA40" s="518">
        <v>799.84809755463141</v>
      </c>
      <c r="CB40" s="518">
        <v>847.83898340790915</v>
      </c>
      <c r="CC40" s="518">
        <v>898.70932241238381</v>
      </c>
      <c r="CD40" s="518">
        <v>952.63188175712685</v>
      </c>
      <c r="CE40" s="518">
        <v>1009.7897946625544</v>
      </c>
      <c r="CF40" s="518">
        <v>1070.3771823423076</v>
      </c>
      <c r="CG40" s="519">
        <v>1134.5998132828461</v>
      </c>
      <c r="CH40" s="520">
        <v>4.6150000000000002</v>
      </c>
      <c r="CI40" s="521">
        <v>4.7073</v>
      </c>
      <c r="CJ40" s="521">
        <v>4.8014460000000003</v>
      </c>
      <c r="CK40" s="521">
        <v>4.8974749200000005</v>
      </c>
      <c r="CL40" s="521">
        <v>4.9954244184000007</v>
      </c>
      <c r="CM40" s="521">
        <v>2.5</v>
      </c>
      <c r="CN40" s="521">
        <v>2.5499999999999998</v>
      </c>
      <c r="CO40" s="521">
        <v>2.601</v>
      </c>
      <c r="CP40" s="521">
        <v>2.6530200000000002</v>
      </c>
      <c r="CQ40" s="521">
        <v>2.7060804000000003</v>
      </c>
      <c r="CR40" s="521">
        <v>2.7602020080000003</v>
      </c>
      <c r="CS40" s="521">
        <v>2.8154060481600003</v>
      </c>
      <c r="CT40" s="521">
        <v>2.8717141691232002</v>
      </c>
      <c r="CU40" s="521">
        <v>2.5</v>
      </c>
      <c r="CV40" s="521">
        <v>2.5499999999999998</v>
      </c>
      <c r="CW40" s="521">
        <v>2.601</v>
      </c>
      <c r="CX40" s="521">
        <v>2.6530200000000002</v>
      </c>
      <c r="CY40" s="521">
        <v>2.7060804000000003</v>
      </c>
      <c r="CZ40" s="521">
        <v>2.7602020080000003</v>
      </c>
      <c r="DA40" s="522">
        <v>2.8154060481600003</v>
      </c>
      <c r="DB40" s="523">
        <v>0</v>
      </c>
      <c r="DC40" s="524">
        <v>0</v>
      </c>
      <c r="DD40" s="524">
        <v>0</v>
      </c>
      <c r="DE40" s="524">
        <v>0</v>
      </c>
      <c r="DF40" s="524">
        <v>0</v>
      </c>
      <c r="DG40" s="524">
        <v>-5.7744999662310378E-2</v>
      </c>
      <c r="DH40" s="524">
        <v>5.3526970470188923E-3</v>
      </c>
      <c r="DI40" s="524">
        <v>5.9270066580032754E-3</v>
      </c>
      <c r="DJ40" s="524">
        <v>6.5617749134526948E-3</v>
      </c>
      <c r="DK40" s="524">
        <v>0.93773426797101211</v>
      </c>
      <c r="DL40" s="524">
        <v>3.2871178715959681E-4</v>
      </c>
      <c r="DM40" s="524">
        <v>2.7288706551018005E-4</v>
      </c>
      <c r="DN40" s="524">
        <v>2.060143735574671E-4</v>
      </c>
      <c r="DO40" s="524">
        <v>-6.162904887707929E-2</v>
      </c>
      <c r="DP40" s="524">
        <v>9.4786567683324829E-4</v>
      </c>
      <c r="DQ40" s="524">
        <v>9.4075489962744396E-4</v>
      </c>
      <c r="DR40" s="524">
        <v>9.2684498254999581E-4</v>
      </c>
      <c r="DS40" s="524">
        <v>0.12663444848446001</v>
      </c>
      <c r="DT40" s="524">
        <v>1.5197597403966423E-3</v>
      </c>
      <c r="DU40" s="525">
        <v>1.5595285120759139E-3</v>
      </c>
      <c r="DV40" s="526">
        <v>3.5</v>
      </c>
      <c r="DW40" s="507">
        <v>1</v>
      </c>
      <c r="DX40" s="509">
        <v>4.6150000000000002</v>
      </c>
      <c r="DY40" s="507">
        <v>2</v>
      </c>
      <c r="DZ40" s="507">
        <v>5</v>
      </c>
      <c r="EA40" s="507">
        <v>0</v>
      </c>
      <c r="EB40" s="507">
        <v>0</v>
      </c>
      <c r="EC40" s="507">
        <v>111.62500000000001</v>
      </c>
      <c r="ED40" s="507">
        <v>102.18750000000001</v>
      </c>
      <c r="EE40" s="507">
        <v>0</v>
      </c>
      <c r="EF40" s="507">
        <v>25.062499999999996</v>
      </c>
      <c r="EG40" s="507">
        <v>29.3125</v>
      </c>
      <c r="EH40" s="507">
        <v>12.8125</v>
      </c>
      <c r="EI40" s="507">
        <v>16.6875</v>
      </c>
      <c r="EJ40" s="507">
        <v>56.4375</v>
      </c>
      <c r="EK40" s="507">
        <v>10.4375</v>
      </c>
      <c r="EL40" s="507">
        <v>10.4375</v>
      </c>
      <c r="EM40" s="508">
        <v>375</v>
      </c>
    </row>
    <row r="41" spans="2:143" x14ac:dyDescent="0.25">
      <c r="B41" s="506" t="str">
        <f>[1]RONET_Input!J12</f>
        <v>213TT00003</v>
      </c>
      <c r="C41" s="359">
        <f>[1]RONET_Input!B12</f>
        <v>10</v>
      </c>
      <c r="D41" s="397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/>
      <c r="P41" s="442">
        <f>[1]RONET_Input!K12</f>
        <v>4.2095154322499999</v>
      </c>
      <c r="Q41" s="398">
        <f>[1]RONET_Input!Y12</f>
        <v>2</v>
      </c>
      <c r="R41" s="398">
        <f>[1]RONET_Input!X12</f>
        <v>3.8</v>
      </c>
      <c r="S41" s="398"/>
      <c r="T41" s="398"/>
      <c r="U41" s="398">
        <f>[1]RONET_Input!AA12</f>
        <v>6</v>
      </c>
      <c r="V41" s="398">
        <f>[1]RONET_Input!AC12</f>
        <v>1</v>
      </c>
      <c r="W41" s="398">
        <f>[1]RONET_Input!AD12</f>
        <v>1</v>
      </c>
      <c r="X41" s="398">
        <f>[1]RONET_Input!AE12</f>
        <v>4</v>
      </c>
      <c r="Y41" s="398">
        <f>[1]RONET_Input!AB12</f>
        <v>1</v>
      </c>
      <c r="Z41" s="438">
        <f>[1]RONET_Input!Z12</f>
        <v>3</v>
      </c>
      <c r="AA41" s="442"/>
      <c r="AB41" s="398"/>
      <c r="AC41" s="438"/>
      <c r="AD41" s="442">
        <f>[1]RONET_Input!AH12</f>
        <v>4</v>
      </c>
      <c r="AE41" s="398">
        <f>[1]RONET_Input!D12</f>
        <v>9.1950000000000003</v>
      </c>
      <c r="AF41" s="398"/>
      <c r="AG41" s="398"/>
      <c r="AH41" s="398"/>
      <c r="AI41" s="438"/>
      <c r="AJ41" s="442">
        <v>1</v>
      </c>
      <c r="AK41" s="442">
        <f>[1]RONET_Input!AF12</f>
        <v>6</v>
      </c>
      <c r="AL41" s="507"/>
      <c r="AM41" s="507"/>
      <c r="AN41" s="507"/>
      <c r="AO41" s="507"/>
      <c r="AP41" s="507"/>
      <c r="AQ41" s="507"/>
      <c r="AR41" s="507"/>
      <c r="AS41" s="507"/>
      <c r="AT41" s="507"/>
      <c r="AU41" s="507"/>
      <c r="AV41" s="507"/>
      <c r="AW41" s="507"/>
      <c r="AX41" s="508"/>
      <c r="AY41" s="509">
        <f>[1]RONET_Input!AG12</f>
        <v>3</v>
      </c>
      <c r="AZ41" s="359" t="s">
        <v>321</v>
      </c>
      <c r="BA41" s="360" t="s">
        <v>506</v>
      </c>
      <c r="BB41" s="360" t="s">
        <v>447</v>
      </c>
      <c r="BC41" s="510">
        <v>0.22874506858846499</v>
      </c>
      <c r="BD41" s="510">
        <v>5.4339999999999999E-2</v>
      </c>
      <c r="BE41" s="438">
        <v>1</v>
      </c>
      <c r="BF41" s="511">
        <v>3.1420435551279216</v>
      </c>
      <c r="BG41" s="512">
        <v>0.74641454716047662</v>
      </c>
      <c r="BH41" s="512">
        <v>13.736005652566739</v>
      </c>
      <c r="BI41" s="513">
        <v>0</v>
      </c>
      <c r="BJ41" s="514">
        <v>2000.0000000000002</v>
      </c>
      <c r="BK41" s="515">
        <v>0.22366666666666662</v>
      </c>
      <c r="BL41" s="512">
        <v>3.0729462655424999</v>
      </c>
      <c r="BM41" s="516">
        <v>0.17095505000000003</v>
      </c>
      <c r="BN41" s="517">
        <v>2000.0000000000002</v>
      </c>
      <c r="BO41" s="518">
        <v>2120.0000000000005</v>
      </c>
      <c r="BP41" s="518">
        <v>2247.1999999999998</v>
      </c>
      <c r="BQ41" s="518">
        <v>2382.0320000000002</v>
      </c>
      <c r="BR41" s="518">
        <v>2524.9539199999995</v>
      </c>
      <c r="BS41" s="518">
        <v>2676.4511551999999</v>
      </c>
      <c r="BT41" s="518">
        <v>2837.0382245120009</v>
      </c>
      <c r="BU41" s="518">
        <v>3007.2605179827201</v>
      </c>
      <c r="BV41" s="518">
        <v>3187.6961490616836</v>
      </c>
      <c r="BW41" s="518">
        <v>3378.9579180053843</v>
      </c>
      <c r="BX41" s="518">
        <v>3581.6953930857071</v>
      </c>
      <c r="BY41" s="518">
        <v>3796.59711667085</v>
      </c>
      <c r="BZ41" s="518">
        <v>4024.3929436711001</v>
      </c>
      <c r="CA41" s="518">
        <v>4265.8565202913678</v>
      </c>
      <c r="CB41" s="518">
        <v>4521.8079115088494</v>
      </c>
      <c r="CC41" s="518">
        <v>4793.11638619938</v>
      </c>
      <c r="CD41" s="518">
        <v>5080.703369371342</v>
      </c>
      <c r="CE41" s="518">
        <v>5385.5455715336238</v>
      </c>
      <c r="CF41" s="518">
        <v>5708.6783058256406</v>
      </c>
      <c r="CG41" s="519">
        <v>6051.1990041751797</v>
      </c>
      <c r="CH41" s="520">
        <v>2</v>
      </c>
      <c r="CI41" s="521">
        <v>2.0499999999999998</v>
      </c>
      <c r="CJ41" s="521">
        <v>2.1012499999999998</v>
      </c>
      <c r="CK41" s="521">
        <v>2.1537812499999998</v>
      </c>
      <c r="CL41" s="521">
        <v>2.20762578125</v>
      </c>
      <c r="CM41" s="521">
        <v>2.2628164257812502</v>
      </c>
      <c r="CN41" s="521">
        <v>2.3193868364257813</v>
      </c>
      <c r="CO41" s="521">
        <v>2.3773715073364259</v>
      </c>
      <c r="CP41" s="521">
        <v>2.5</v>
      </c>
      <c r="CQ41" s="521">
        <v>2.5625</v>
      </c>
      <c r="CR41" s="521">
        <v>2.6265624999999999</v>
      </c>
      <c r="CS41" s="521">
        <v>2.6922265624999997</v>
      </c>
      <c r="CT41" s="521">
        <v>2.7595322265624995</v>
      </c>
      <c r="CU41" s="521">
        <v>2.8285205322265621</v>
      </c>
      <c r="CV41" s="521">
        <v>2.8992335455322262</v>
      </c>
      <c r="CW41" s="521">
        <v>2.9717143841705318</v>
      </c>
      <c r="CX41" s="521">
        <v>2.5</v>
      </c>
      <c r="CY41" s="521">
        <v>2.5625</v>
      </c>
      <c r="CZ41" s="521">
        <v>2.6265624999999999</v>
      </c>
      <c r="DA41" s="522">
        <v>2.6922265624999997</v>
      </c>
      <c r="DB41" s="523">
        <v>4.4153979131962062E-2</v>
      </c>
      <c r="DC41" s="524">
        <v>0.28156592790957036</v>
      </c>
      <c r="DD41" s="524">
        <v>0.31416821504799208</v>
      </c>
      <c r="DE41" s="524">
        <v>0.35049920989280703</v>
      </c>
      <c r="DF41" s="524">
        <v>0.39098216435064126</v>
      </c>
      <c r="DG41" s="524">
        <v>0.43608792716164468</v>
      </c>
      <c r="DH41" s="524">
        <v>0.48634008815767893</v>
      </c>
      <c r="DI41" s="524">
        <v>0.54232057094419828</v>
      </c>
      <c r="DJ41" s="524">
        <v>0.46510329683669083</v>
      </c>
      <c r="DK41" s="524">
        <v>0.78729769268852223</v>
      </c>
      <c r="DL41" s="524">
        <v>2.1386568983507548E-2</v>
      </c>
      <c r="DM41" s="524">
        <v>2.2414877082569173E-2</v>
      </c>
      <c r="DN41" s="524">
        <v>2.3485964964718331E-2</v>
      </c>
      <c r="DO41" s="524">
        <v>2.4601133378077122E-2</v>
      </c>
      <c r="DP41" s="524">
        <v>2.5761694973208016E-2</v>
      </c>
      <c r="DQ41" s="524">
        <v>2.6968974307002291E-2</v>
      </c>
      <c r="DR41" s="524">
        <v>-8.9073898020552988E-2</v>
      </c>
      <c r="DS41" s="524">
        <v>0.28432823799268414</v>
      </c>
      <c r="DT41" s="524">
        <v>3.076120954480599E-2</v>
      </c>
      <c r="DU41" s="525">
        <v>3.1948191907607004E-2</v>
      </c>
      <c r="DV41" s="526">
        <v>3.8</v>
      </c>
      <c r="DW41" s="507">
        <v>3</v>
      </c>
      <c r="DX41" s="509">
        <v>9.1950000000000003</v>
      </c>
      <c r="DY41" s="507">
        <v>4</v>
      </c>
      <c r="DZ41" s="507">
        <v>15</v>
      </c>
      <c r="EA41" s="507">
        <v>0</v>
      </c>
      <c r="EB41" s="507">
        <v>0</v>
      </c>
      <c r="EC41" s="507">
        <v>595.33333333333337</v>
      </c>
      <c r="ED41" s="507">
        <v>545</v>
      </c>
      <c r="EE41" s="507">
        <v>0</v>
      </c>
      <c r="EF41" s="507">
        <v>133.66666666666666</v>
      </c>
      <c r="EG41" s="507">
        <v>156.33333333333331</v>
      </c>
      <c r="EH41" s="507">
        <v>68.333333333333329</v>
      </c>
      <c r="EI41" s="507">
        <v>89</v>
      </c>
      <c r="EJ41" s="507">
        <v>301</v>
      </c>
      <c r="EK41" s="507">
        <v>55.666666666666671</v>
      </c>
      <c r="EL41" s="507">
        <v>55.666666666666671</v>
      </c>
      <c r="EM41" s="508">
        <v>2000.0000000000002</v>
      </c>
    </row>
    <row r="42" spans="2:143" x14ac:dyDescent="0.25">
      <c r="B42" s="506" t="str">
        <f>[1]RONET_Input!J13</f>
        <v>213TT00008</v>
      </c>
      <c r="C42" s="359">
        <f>[1]RONET_Input!B13</f>
        <v>11</v>
      </c>
      <c r="D42" s="397"/>
      <c r="E42" s="360"/>
      <c r="F42" s="360"/>
      <c r="G42" s="360"/>
      <c r="H42" s="360"/>
      <c r="I42" s="360"/>
      <c r="J42" s="360"/>
      <c r="K42" s="360"/>
      <c r="L42" s="360"/>
      <c r="M42" s="360"/>
      <c r="N42" s="360"/>
      <c r="O42" s="360"/>
      <c r="P42" s="442">
        <f>[1]RONET_Input!K13</f>
        <v>4.29155876819E-2</v>
      </c>
      <c r="Q42" s="398">
        <f>[1]RONET_Input!Y13</f>
        <v>2</v>
      </c>
      <c r="R42" s="398">
        <f>[1]RONET_Input!X13</f>
        <v>3.8</v>
      </c>
      <c r="S42" s="398"/>
      <c r="T42" s="398"/>
      <c r="U42" s="398">
        <f>[1]RONET_Input!AA13</f>
        <v>6</v>
      </c>
      <c r="V42" s="398">
        <f>[1]RONET_Input!AC13</f>
        <v>1</v>
      </c>
      <c r="W42" s="398">
        <f>[1]RONET_Input!AD13</f>
        <v>1</v>
      </c>
      <c r="X42" s="398">
        <f>[1]RONET_Input!AE13</f>
        <v>4</v>
      </c>
      <c r="Y42" s="398">
        <f>[1]RONET_Input!AB13</f>
        <v>1</v>
      </c>
      <c r="Z42" s="438">
        <f>[1]RONET_Input!Z13</f>
        <v>3</v>
      </c>
      <c r="AA42" s="442"/>
      <c r="AB42" s="398"/>
      <c r="AC42" s="438"/>
      <c r="AD42" s="442">
        <f>[1]RONET_Input!AH13</f>
        <v>3</v>
      </c>
      <c r="AE42" s="398">
        <f>[1]RONET_Input!D13</f>
        <v>0</v>
      </c>
      <c r="AF42" s="398"/>
      <c r="AG42" s="398"/>
      <c r="AH42" s="398"/>
      <c r="AI42" s="438"/>
      <c r="AJ42" s="442">
        <v>1</v>
      </c>
      <c r="AK42" s="442">
        <f>[1]RONET_Input!AF13</f>
        <v>6</v>
      </c>
      <c r="AL42" s="507"/>
      <c r="AM42" s="507"/>
      <c r="AN42" s="507"/>
      <c r="AO42" s="507"/>
      <c r="AP42" s="507"/>
      <c r="AQ42" s="507"/>
      <c r="AR42" s="507"/>
      <c r="AS42" s="507"/>
      <c r="AT42" s="507"/>
      <c r="AU42" s="507"/>
      <c r="AV42" s="507"/>
      <c r="AW42" s="507"/>
      <c r="AX42" s="508"/>
      <c r="AY42" s="509">
        <f>[1]RONET_Input!AG13</f>
        <v>3</v>
      </c>
      <c r="AZ42" s="359" t="s">
        <v>321</v>
      </c>
      <c r="BA42" s="360" t="s">
        <v>505</v>
      </c>
      <c r="BB42" s="360" t="s">
        <v>446</v>
      </c>
      <c r="BC42" s="510">
        <v>1.5492527153165899E-3</v>
      </c>
      <c r="BD42" s="510">
        <v>3.61E-2</v>
      </c>
      <c r="BE42" s="438">
        <v>1</v>
      </c>
      <c r="BF42" s="511">
        <v>1.2510425289826831E-2</v>
      </c>
      <c r="BG42" s="512">
        <v>0.29151238432424414</v>
      </c>
      <c r="BH42" s="512">
        <v>8.075135299840559</v>
      </c>
      <c r="BI42" s="513">
        <v>0</v>
      </c>
      <c r="BJ42" s="514">
        <v>2000.0000000000002</v>
      </c>
      <c r="BK42" s="515">
        <v>0.22366666666666662</v>
      </c>
      <c r="BL42" s="512">
        <v>3.1328379007787004E-2</v>
      </c>
      <c r="BM42" s="516">
        <v>0.17095505000000003</v>
      </c>
      <c r="BN42" s="517">
        <v>2000.0000000000002</v>
      </c>
      <c r="BO42" s="518">
        <v>2120.0000000000005</v>
      </c>
      <c r="BP42" s="518">
        <v>2247.1999999999998</v>
      </c>
      <c r="BQ42" s="518">
        <v>2382.0320000000002</v>
      </c>
      <c r="BR42" s="518">
        <v>2524.9539199999995</v>
      </c>
      <c r="BS42" s="518">
        <v>2676.4511551999999</v>
      </c>
      <c r="BT42" s="518">
        <v>2837.0382245120009</v>
      </c>
      <c r="BU42" s="518">
        <v>3007.2605179827201</v>
      </c>
      <c r="BV42" s="518">
        <v>3187.6961490616836</v>
      </c>
      <c r="BW42" s="518">
        <v>3378.9579180053843</v>
      </c>
      <c r="BX42" s="518">
        <v>3581.6953930857071</v>
      </c>
      <c r="BY42" s="518">
        <v>3796.59711667085</v>
      </c>
      <c r="BZ42" s="518">
        <v>4024.3929436711001</v>
      </c>
      <c r="CA42" s="518">
        <v>4265.8565202913678</v>
      </c>
      <c r="CB42" s="518">
        <v>4521.8079115088494</v>
      </c>
      <c r="CC42" s="518">
        <v>4793.11638619938</v>
      </c>
      <c r="CD42" s="518">
        <v>5080.703369371342</v>
      </c>
      <c r="CE42" s="518">
        <v>5385.5455715336238</v>
      </c>
      <c r="CF42" s="518">
        <v>5708.6783058256406</v>
      </c>
      <c r="CG42" s="519">
        <v>6051.1990041751797</v>
      </c>
      <c r="CH42" s="520">
        <v>2.5</v>
      </c>
      <c r="CI42" s="521">
        <v>2.5625</v>
      </c>
      <c r="CJ42" s="521">
        <v>2.6265624999999999</v>
      </c>
      <c r="CK42" s="521">
        <v>2.6922265624999997</v>
      </c>
      <c r="CL42" s="521">
        <v>2.7595322265624995</v>
      </c>
      <c r="CM42" s="521">
        <v>2.8285205322265621</v>
      </c>
      <c r="CN42" s="521">
        <v>2.8992335455322262</v>
      </c>
      <c r="CO42" s="521">
        <v>2.9717143841705318</v>
      </c>
      <c r="CP42" s="521">
        <v>2.5</v>
      </c>
      <c r="CQ42" s="521">
        <v>2.5625</v>
      </c>
      <c r="CR42" s="521">
        <v>2.6265624999999999</v>
      </c>
      <c r="CS42" s="521">
        <v>2.6922265624999997</v>
      </c>
      <c r="CT42" s="521">
        <v>2.7595322265624995</v>
      </c>
      <c r="CU42" s="521">
        <v>2.8285205322265621</v>
      </c>
      <c r="CV42" s="521">
        <v>2.8992335455322262</v>
      </c>
      <c r="CW42" s="521">
        <v>2.9717143841705318</v>
      </c>
      <c r="CX42" s="521">
        <v>2.5</v>
      </c>
      <c r="CY42" s="521">
        <v>2.5625</v>
      </c>
      <c r="CZ42" s="521">
        <v>2.6265624999999999</v>
      </c>
      <c r="DA42" s="522">
        <v>2.6922265624999997</v>
      </c>
      <c r="DB42" s="523">
        <v>-6.7008464635865024E-4</v>
      </c>
      <c r="DC42" s="524">
        <v>8.2766978570020418E-4</v>
      </c>
      <c r="DD42" s="524">
        <v>9.2581703095692344E-4</v>
      </c>
      <c r="DE42" s="524">
        <v>1.0353442254106421E-3</v>
      </c>
      <c r="DF42" s="524">
        <v>1.1575505520537432E-3</v>
      </c>
      <c r="DG42" s="524">
        <v>1.2938820788828582E-3</v>
      </c>
      <c r="DH42" s="524">
        <v>1.4459483049198626E-3</v>
      </c>
      <c r="DI42" s="524">
        <v>1.615540576897799E-3</v>
      </c>
      <c r="DJ42" s="524">
        <v>5.2908413552603742E-4</v>
      </c>
      <c r="DK42" s="524">
        <v>8.026421023065923E-3</v>
      </c>
      <c r="DL42" s="524">
        <v>2.180339260417323E-4</v>
      </c>
      <c r="DM42" s="524">
        <v>2.2851742398811992E-4</v>
      </c>
      <c r="DN42" s="524">
        <v>2.394370575329284E-4</v>
      </c>
      <c r="DO42" s="524">
        <v>2.5080608767282658E-4</v>
      </c>
      <c r="DP42" s="524">
        <v>2.6263789674864368E-4</v>
      </c>
      <c r="DQ42" s="524">
        <v>2.7494598848505636E-4</v>
      </c>
      <c r="DR42" s="524">
        <v>-9.0809945757257954E-4</v>
      </c>
      <c r="DS42" s="524">
        <v>2.8986978725703549E-3</v>
      </c>
      <c r="DT42" s="524">
        <v>3.1360744643137844E-4</v>
      </c>
      <c r="DU42" s="525">
        <v>3.2570861258399836E-4</v>
      </c>
      <c r="DV42" s="526">
        <v>3.8</v>
      </c>
      <c r="DW42" s="507">
        <v>3</v>
      </c>
      <c r="DX42" s="509">
        <v>5.5</v>
      </c>
      <c r="DY42" s="507">
        <v>4</v>
      </c>
      <c r="DZ42" s="507">
        <v>10</v>
      </c>
      <c r="EA42" s="507">
        <v>0</v>
      </c>
      <c r="EB42" s="507">
        <v>0</v>
      </c>
      <c r="EC42" s="507">
        <v>595.33333333333337</v>
      </c>
      <c r="ED42" s="507">
        <v>545</v>
      </c>
      <c r="EE42" s="507">
        <v>0</v>
      </c>
      <c r="EF42" s="507">
        <v>133.66666666666666</v>
      </c>
      <c r="EG42" s="507">
        <v>156.33333333333331</v>
      </c>
      <c r="EH42" s="507">
        <v>68.333333333333329</v>
      </c>
      <c r="EI42" s="507">
        <v>89</v>
      </c>
      <c r="EJ42" s="507">
        <v>301</v>
      </c>
      <c r="EK42" s="507">
        <v>55.666666666666671</v>
      </c>
      <c r="EL42" s="507">
        <v>55.666666666666671</v>
      </c>
      <c r="EM42" s="508">
        <v>2000.0000000000002</v>
      </c>
    </row>
    <row r="43" spans="2:143" x14ac:dyDescent="0.25">
      <c r="B43" s="506" t="str">
        <f>[1]RONET_Input!J14</f>
        <v xml:space="preserve">Input VPROMMS: hcm_1 (66.67 pct); DHCM_1 (33.33 pct); </v>
      </c>
      <c r="C43" s="359">
        <f>[1]RONET_Input!B14</f>
        <v>12</v>
      </c>
      <c r="D43" s="397"/>
      <c r="E43" s="360"/>
      <c r="F43" s="360"/>
      <c r="G43" s="360"/>
      <c r="H43" s="360"/>
      <c r="I43" s="360"/>
      <c r="J43" s="360"/>
      <c r="K43" s="360"/>
      <c r="L43" s="360"/>
      <c r="M43" s="360"/>
      <c r="N43" s="360"/>
      <c r="O43" s="360"/>
      <c r="P43" s="442">
        <f>[1]RONET_Input!K14</f>
        <v>8.5387885895300011E-2</v>
      </c>
      <c r="Q43" s="398">
        <f>[1]RONET_Input!Y14</f>
        <v>2</v>
      </c>
      <c r="R43" s="398">
        <f>[1]RONET_Input!X14</f>
        <v>3.5</v>
      </c>
      <c r="S43" s="398"/>
      <c r="T43" s="398"/>
      <c r="U43" s="398">
        <f>[1]RONET_Input!AA14</f>
        <v>8</v>
      </c>
      <c r="V43" s="398">
        <f>[1]RONET_Input!AC14</f>
        <v>1</v>
      </c>
      <c r="W43" s="398">
        <f>[1]RONET_Input!AD14</f>
        <v>1</v>
      </c>
      <c r="X43" s="398">
        <f>[1]RONET_Input!AE14</f>
        <v>4</v>
      </c>
      <c r="Y43" s="398">
        <f>[1]RONET_Input!AB14</f>
        <v>1</v>
      </c>
      <c r="Z43" s="438">
        <f>[1]RONET_Input!Z14</f>
        <v>1</v>
      </c>
      <c r="AA43" s="442"/>
      <c r="AB43" s="398"/>
      <c r="AC43" s="438"/>
      <c r="AD43" s="442">
        <f>[1]RONET_Input!AH14</f>
        <v>3</v>
      </c>
      <c r="AE43" s="398">
        <f>[1]RONET_Input!D14</f>
        <v>0</v>
      </c>
      <c r="AF43" s="398"/>
      <c r="AG43" s="398"/>
      <c r="AH43" s="398"/>
      <c r="AI43" s="438"/>
      <c r="AJ43" s="442">
        <v>1</v>
      </c>
      <c r="AK43" s="442">
        <f>[1]RONET_Input!AF14</f>
        <v>4</v>
      </c>
      <c r="AL43" s="507"/>
      <c r="AM43" s="507"/>
      <c r="AN43" s="507"/>
      <c r="AO43" s="507"/>
      <c r="AP43" s="507"/>
      <c r="AQ43" s="507"/>
      <c r="AR43" s="507"/>
      <c r="AS43" s="507"/>
      <c r="AT43" s="507"/>
      <c r="AU43" s="507"/>
      <c r="AV43" s="507"/>
      <c r="AW43" s="507"/>
      <c r="AX43" s="508"/>
      <c r="AY43" s="509">
        <f>[1]RONET_Input!AG14</f>
        <v>3</v>
      </c>
      <c r="AZ43" s="359" t="s">
        <v>321</v>
      </c>
      <c r="BA43" s="360" t="s">
        <v>502</v>
      </c>
      <c r="BB43" s="360" t="s">
        <v>443</v>
      </c>
      <c r="BC43" s="510">
        <v>4.2736636890597654E-3</v>
      </c>
      <c r="BD43" s="510">
        <v>5.0049999999999997E-2</v>
      </c>
      <c r="BE43" s="438">
        <v>6</v>
      </c>
      <c r="BF43" s="511">
        <v>3.3774641851953585E-2</v>
      </c>
      <c r="BG43" s="512">
        <v>0.3955437179152908</v>
      </c>
      <c r="BH43" s="512">
        <v>7.9029713869188969</v>
      </c>
      <c r="BI43" s="513">
        <v>0</v>
      </c>
      <c r="BJ43" s="514">
        <v>375</v>
      </c>
      <c r="BK43" s="515">
        <v>0.22366666666666665</v>
      </c>
      <c r="BL43" s="512">
        <v>1.1687466881919188E-2</v>
      </c>
      <c r="BM43" s="516">
        <v>3.2054071874999999E-2</v>
      </c>
      <c r="BN43" s="517">
        <v>375</v>
      </c>
      <c r="BO43" s="518">
        <v>397.50000000000011</v>
      </c>
      <c r="BP43" s="518">
        <v>421.34999999999991</v>
      </c>
      <c r="BQ43" s="518">
        <v>446.63099999999997</v>
      </c>
      <c r="BR43" s="518">
        <v>473.42885999999999</v>
      </c>
      <c r="BS43" s="518">
        <v>501.83459160000012</v>
      </c>
      <c r="BT43" s="518">
        <v>531.9446670960001</v>
      </c>
      <c r="BU43" s="518">
        <v>563.86134712175999</v>
      </c>
      <c r="BV43" s="518">
        <v>597.69302794906582</v>
      </c>
      <c r="BW43" s="518">
        <v>633.55460962600955</v>
      </c>
      <c r="BX43" s="518">
        <v>671.56788620357008</v>
      </c>
      <c r="BY43" s="518">
        <v>711.86195937578441</v>
      </c>
      <c r="BZ43" s="518">
        <v>754.57367693833146</v>
      </c>
      <c r="CA43" s="518">
        <v>799.84809755463141</v>
      </c>
      <c r="CB43" s="518">
        <v>847.83898340790915</v>
      </c>
      <c r="CC43" s="518">
        <v>898.70932241238381</v>
      </c>
      <c r="CD43" s="518">
        <v>952.63188175712685</v>
      </c>
      <c r="CE43" s="518">
        <v>1009.7897946625544</v>
      </c>
      <c r="CF43" s="518">
        <v>1070.3771823423076</v>
      </c>
      <c r="CG43" s="519">
        <v>1134.5998132828461</v>
      </c>
      <c r="CH43" s="520">
        <v>4.5</v>
      </c>
      <c r="CI43" s="521">
        <v>4.59</v>
      </c>
      <c r="CJ43" s="521">
        <v>4.6818</v>
      </c>
      <c r="CK43" s="521">
        <v>4.775436</v>
      </c>
      <c r="CL43" s="521">
        <v>4.8709447199999998</v>
      </c>
      <c r="CM43" s="521">
        <v>2.5</v>
      </c>
      <c r="CN43" s="521">
        <v>2.5499999999999998</v>
      </c>
      <c r="CO43" s="521">
        <v>2.601</v>
      </c>
      <c r="CP43" s="521">
        <v>2.6530200000000002</v>
      </c>
      <c r="CQ43" s="521">
        <v>2.7060804000000003</v>
      </c>
      <c r="CR43" s="521">
        <v>2.7602020080000003</v>
      </c>
      <c r="CS43" s="521">
        <v>2.8154060481600003</v>
      </c>
      <c r="CT43" s="521">
        <v>2.8717141691232002</v>
      </c>
      <c r="CU43" s="521">
        <v>2.5</v>
      </c>
      <c r="CV43" s="521">
        <v>2.5499999999999998</v>
      </c>
      <c r="CW43" s="521">
        <v>2.601</v>
      </c>
      <c r="CX43" s="521">
        <v>2.6530200000000002</v>
      </c>
      <c r="CY43" s="521">
        <v>2.7060804000000003</v>
      </c>
      <c r="CZ43" s="521">
        <v>2.7602020080000003</v>
      </c>
      <c r="DA43" s="522">
        <v>2.8154060481600003</v>
      </c>
      <c r="DB43" s="523">
        <v>0</v>
      </c>
      <c r="DC43" s="524">
        <v>0</v>
      </c>
      <c r="DD43" s="524">
        <v>0</v>
      </c>
      <c r="DE43" s="524">
        <v>0</v>
      </c>
      <c r="DF43" s="524">
        <v>0</v>
      </c>
      <c r="DG43" s="524">
        <v>-3.6091115460991571E-3</v>
      </c>
      <c r="DH43" s="524">
        <v>3.100620489754867E-4</v>
      </c>
      <c r="DI43" s="524">
        <v>3.4338254239134683E-4</v>
      </c>
      <c r="DJ43" s="524">
        <v>3.8021471331002414E-4</v>
      </c>
      <c r="DK43" s="524">
        <v>5.8277212719462949E-2</v>
      </c>
      <c r="DL43" s="524">
        <v>2.0428395759858331E-5</v>
      </c>
      <c r="DM43" s="524">
        <v>1.6959066239026835E-5</v>
      </c>
      <c r="DN43" s="524">
        <v>1.280314037904566E-5</v>
      </c>
      <c r="DO43" s="524">
        <v>-3.8300500619209022E-3</v>
      </c>
      <c r="DP43" s="524">
        <v>5.8906847669980278E-5</v>
      </c>
      <c r="DQ43" s="524">
        <v>5.8464935403384349E-5</v>
      </c>
      <c r="DR43" s="524">
        <v>5.7600478142813202E-5</v>
      </c>
      <c r="DS43" s="524">
        <v>7.869929620796242E-3</v>
      </c>
      <c r="DT43" s="524">
        <v>9.4448251171630818E-5</v>
      </c>
      <c r="DU43" s="525">
        <v>9.691975428920141E-5</v>
      </c>
      <c r="DV43" s="526">
        <v>3.5</v>
      </c>
      <c r="DW43" s="507">
        <v>1</v>
      </c>
      <c r="DX43" s="509">
        <v>4.5</v>
      </c>
      <c r="DY43" s="507">
        <v>2</v>
      </c>
      <c r="DZ43" s="507">
        <v>10</v>
      </c>
      <c r="EA43" s="507">
        <v>0</v>
      </c>
      <c r="EB43" s="507">
        <v>0</v>
      </c>
      <c r="EC43" s="507">
        <v>111.62500000000001</v>
      </c>
      <c r="ED43" s="507">
        <v>102.18750000000001</v>
      </c>
      <c r="EE43" s="507">
        <v>0</v>
      </c>
      <c r="EF43" s="507">
        <v>25.062499999999996</v>
      </c>
      <c r="EG43" s="507">
        <v>29.3125</v>
      </c>
      <c r="EH43" s="507">
        <v>12.8125</v>
      </c>
      <c r="EI43" s="507">
        <v>16.6875</v>
      </c>
      <c r="EJ43" s="507">
        <v>56.4375</v>
      </c>
      <c r="EK43" s="507">
        <v>10.4375</v>
      </c>
      <c r="EL43" s="507">
        <v>10.4375</v>
      </c>
      <c r="EM43" s="508">
        <v>375</v>
      </c>
    </row>
    <row r="44" spans="2:143" x14ac:dyDescent="0.25">
      <c r="B44" s="506" t="str">
        <f>[1]RONET_Input!J15</f>
        <v xml:space="preserve">Input VPROMMS: hcm_1 (50.0 pct); DHCM_1 (46.15 pct); 214TT00051 (3.85 pct); </v>
      </c>
      <c r="C44" s="359">
        <f>[1]RONET_Input!B15</f>
        <v>13</v>
      </c>
      <c r="D44" s="397"/>
      <c r="E44" s="360"/>
      <c r="F44" s="360"/>
      <c r="G44" s="360"/>
      <c r="H44" s="360"/>
      <c r="I44" s="360"/>
      <c r="J44" s="360"/>
      <c r="K44" s="360"/>
      <c r="L44" s="360"/>
      <c r="M44" s="360"/>
      <c r="N44" s="360"/>
      <c r="O44" s="360"/>
      <c r="P44" s="442">
        <f>[1]RONET_Input!K15</f>
        <v>0.85969636805000005</v>
      </c>
      <c r="Q44" s="398">
        <f>[1]RONET_Input!Y15</f>
        <v>2</v>
      </c>
      <c r="R44" s="398">
        <f>[1]RONET_Input!X15</f>
        <v>3.5</v>
      </c>
      <c r="S44" s="398"/>
      <c r="T44" s="398"/>
      <c r="U44" s="398">
        <f>[1]RONET_Input!AA15</f>
        <v>8</v>
      </c>
      <c r="V44" s="398">
        <f>[1]RONET_Input!AC15</f>
        <v>1</v>
      </c>
      <c r="W44" s="398">
        <f>[1]RONET_Input!AD15</f>
        <v>1</v>
      </c>
      <c r="X44" s="398">
        <f>[1]RONET_Input!AE15</f>
        <v>4</v>
      </c>
      <c r="Y44" s="398">
        <f>[1]RONET_Input!AB15</f>
        <v>1</v>
      </c>
      <c r="Z44" s="438">
        <f>[1]RONET_Input!Z15</f>
        <v>1</v>
      </c>
      <c r="AA44" s="442"/>
      <c r="AB44" s="398"/>
      <c r="AC44" s="438"/>
      <c r="AD44" s="442">
        <f>[1]RONET_Input!AH15</f>
        <v>3</v>
      </c>
      <c r="AE44" s="398">
        <f>[1]RONET_Input!D15</f>
        <v>0</v>
      </c>
      <c r="AF44" s="398"/>
      <c r="AG44" s="398"/>
      <c r="AH44" s="398"/>
      <c r="AI44" s="438"/>
      <c r="AJ44" s="442">
        <v>1</v>
      </c>
      <c r="AK44" s="442">
        <f>[1]RONET_Input!AF15</f>
        <v>4</v>
      </c>
      <c r="AL44" s="507"/>
      <c r="AM44" s="507"/>
      <c r="AN44" s="507"/>
      <c r="AO44" s="507"/>
      <c r="AP44" s="507"/>
      <c r="AQ44" s="507"/>
      <c r="AR44" s="507"/>
      <c r="AS44" s="507"/>
      <c r="AT44" s="507"/>
      <c r="AU44" s="507"/>
      <c r="AV44" s="507"/>
      <c r="AW44" s="507"/>
      <c r="AX44" s="508"/>
      <c r="AY44" s="509">
        <f>[1]RONET_Input!AG15</f>
        <v>3</v>
      </c>
      <c r="AZ44" s="359" t="s">
        <v>321</v>
      </c>
      <c r="BA44" s="360" t="s">
        <v>502</v>
      </c>
      <c r="BB44" s="360" t="s">
        <v>443</v>
      </c>
      <c r="BC44" s="510">
        <v>4.3027803220902508E-2</v>
      </c>
      <c r="BD44" s="510">
        <v>5.0050000000000004E-2</v>
      </c>
      <c r="BE44" s="438">
        <v>6</v>
      </c>
      <c r="BF44" s="511">
        <v>0.34004749769676923</v>
      </c>
      <c r="BG44" s="512">
        <v>0.3955437179152908</v>
      </c>
      <c r="BH44" s="512">
        <v>7.902971386918896</v>
      </c>
      <c r="BI44" s="513">
        <v>0</v>
      </c>
      <c r="BJ44" s="514">
        <v>375</v>
      </c>
      <c r="BK44" s="515">
        <v>0.22366666666666665</v>
      </c>
      <c r="BL44" s="512">
        <v>0.11767094037684377</v>
      </c>
      <c r="BM44" s="516">
        <v>3.2054071874999999E-2</v>
      </c>
      <c r="BN44" s="517">
        <v>375</v>
      </c>
      <c r="BO44" s="518">
        <v>397.50000000000011</v>
      </c>
      <c r="BP44" s="518">
        <v>421.34999999999991</v>
      </c>
      <c r="BQ44" s="518">
        <v>446.63099999999997</v>
      </c>
      <c r="BR44" s="518">
        <v>473.42885999999999</v>
      </c>
      <c r="BS44" s="518">
        <v>501.83459160000012</v>
      </c>
      <c r="BT44" s="518">
        <v>531.9446670960001</v>
      </c>
      <c r="BU44" s="518">
        <v>563.86134712175999</v>
      </c>
      <c r="BV44" s="518">
        <v>597.69302794906582</v>
      </c>
      <c r="BW44" s="518">
        <v>633.55460962600955</v>
      </c>
      <c r="BX44" s="518">
        <v>671.56788620357008</v>
      </c>
      <c r="BY44" s="518">
        <v>711.86195937578441</v>
      </c>
      <c r="BZ44" s="518">
        <v>754.57367693833146</v>
      </c>
      <c r="CA44" s="518">
        <v>799.84809755463141</v>
      </c>
      <c r="CB44" s="518">
        <v>847.83898340790915</v>
      </c>
      <c r="CC44" s="518">
        <v>898.70932241238381</v>
      </c>
      <c r="CD44" s="518">
        <v>952.63188175712685</v>
      </c>
      <c r="CE44" s="518">
        <v>1009.7897946625544</v>
      </c>
      <c r="CF44" s="518">
        <v>1070.3771823423076</v>
      </c>
      <c r="CG44" s="519">
        <v>1134.5998132828461</v>
      </c>
      <c r="CH44" s="520">
        <v>4.5</v>
      </c>
      <c r="CI44" s="521">
        <v>4.59</v>
      </c>
      <c r="CJ44" s="521">
        <v>4.6818</v>
      </c>
      <c r="CK44" s="521">
        <v>4.775436</v>
      </c>
      <c r="CL44" s="521">
        <v>4.8709447199999998</v>
      </c>
      <c r="CM44" s="521">
        <v>2.5</v>
      </c>
      <c r="CN44" s="521">
        <v>2.5499999999999998</v>
      </c>
      <c r="CO44" s="521">
        <v>2.601</v>
      </c>
      <c r="CP44" s="521">
        <v>2.6530200000000002</v>
      </c>
      <c r="CQ44" s="521">
        <v>2.7060804000000003</v>
      </c>
      <c r="CR44" s="521">
        <v>2.7602020080000003</v>
      </c>
      <c r="CS44" s="521">
        <v>2.8154060481600003</v>
      </c>
      <c r="CT44" s="521">
        <v>2.8717141691232002</v>
      </c>
      <c r="CU44" s="521">
        <v>2.5</v>
      </c>
      <c r="CV44" s="521">
        <v>2.5499999999999998</v>
      </c>
      <c r="CW44" s="521">
        <v>2.601</v>
      </c>
      <c r="CX44" s="521">
        <v>2.6530200000000002</v>
      </c>
      <c r="CY44" s="521">
        <v>2.7060804000000003</v>
      </c>
      <c r="CZ44" s="521">
        <v>2.7602020080000003</v>
      </c>
      <c r="DA44" s="522">
        <v>2.8154060481600003</v>
      </c>
      <c r="DB44" s="523">
        <v>0</v>
      </c>
      <c r="DC44" s="524">
        <v>0</v>
      </c>
      <c r="DD44" s="524">
        <v>0</v>
      </c>
      <c r="DE44" s="524">
        <v>0</v>
      </c>
      <c r="DF44" s="524">
        <v>0</v>
      </c>
      <c r="DG44" s="524">
        <v>-3.6337005601394648E-2</v>
      </c>
      <c r="DH44" s="524">
        <v>3.121745134915449E-3</v>
      </c>
      <c r="DI44" s="524">
        <v>3.4572202069458324E-3</v>
      </c>
      <c r="DJ44" s="524">
        <v>3.8280513059264498E-3</v>
      </c>
      <c r="DK44" s="524">
        <v>0.58674257583132461</v>
      </c>
      <c r="DL44" s="524">
        <v>2.0567575196056564E-4</v>
      </c>
      <c r="DM44" s="524">
        <v>1.7074609001430097E-4</v>
      </c>
      <c r="DN44" s="524">
        <v>1.2890368660720131E-4</v>
      </c>
      <c r="DO44" s="524">
        <v>-3.8561443384609179E-2</v>
      </c>
      <c r="DP44" s="524">
        <v>5.930818226048129E-4</v>
      </c>
      <c r="DQ44" s="524">
        <v>5.8863259228830733E-4</v>
      </c>
      <c r="DR44" s="524">
        <v>5.7992912388107887E-4</v>
      </c>
      <c r="DS44" s="524">
        <v>7.9235477502085011E-2</v>
      </c>
      <c r="DT44" s="524">
        <v>9.5091730694074617E-4</v>
      </c>
      <c r="DU44" s="525">
        <v>9.7580072256256423E-4</v>
      </c>
      <c r="DV44" s="526">
        <v>3.5</v>
      </c>
      <c r="DW44" s="507">
        <v>1</v>
      </c>
      <c r="DX44" s="509">
        <v>4.5</v>
      </c>
      <c r="DY44" s="507">
        <v>2</v>
      </c>
      <c r="DZ44" s="507">
        <v>10</v>
      </c>
      <c r="EA44" s="507">
        <v>0</v>
      </c>
      <c r="EB44" s="507">
        <v>0</v>
      </c>
      <c r="EC44" s="507">
        <v>111.62500000000001</v>
      </c>
      <c r="ED44" s="507">
        <v>102.18750000000001</v>
      </c>
      <c r="EE44" s="507">
        <v>0</v>
      </c>
      <c r="EF44" s="507">
        <v>25.062499999999996</v>
      </c>
      <c r="EG44" s="507">
        <v>29.3125</v>
      </c>
      <c r="EH44" s="507">
        <v>12.8125</v>
      </c>
      <c r="EI44" s="507">
        <v>16.6875</v>
      </c>
      <c r="EJ44" s="507">
        <v>56.4375</v>
      </c>
      <c r="EK44" s="507">
        <v>10.4375</v>
      </c>
      <c r="EL44" s="507">
        <v>10.4375</v>
      </c>
      <c r="EM44" s="508">
        <v>375</v>
      </c>
    </row>
    <row r="45" spans="2:143" x14ac:dyDescent="0.25">
      <c r="B45" s="506" t="str">
        <f>[1]RONET_Input!J16</f>
        <v xml:space="preserve">Input VPROMMS: DHCM_1 (50.0 pct); hcm_1 (50.0 pct); </v>
      </c>
      <c r="C45" s="359">
        <f>[1]RONET_Input!B16</f>
        <v>14</v>
      </c>
      <c r="D45" s="397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442">
        <f>[1]RONET_Input!K16</f>
        <v>4.4294749974199998</v>
      </c>
      <c r="Q45" s="398">
        <f>[1]RONET_Input!Y16</f>
        <v>2</v>
      </c>
      <c r="R45" s="398">
        <f>[1]RONET_Input!X16</f>
        <v>3.5</v>
      </c>
      <c r="S45" s="398"/>
      <c r="T45" s="398"/>
      <c r="U45" s="398">
        <f>[1]RONET_Input!AA16</f>
        <v>8</v>
      </c>
      <c r="V45" s="398">
        <f>[1]RONET_Input!AC16</f>
        <v>1</v>
      </c>
      <c r="W45" s="398">
        <f>[1]RONET_Input!AD16</f>
        <v>1</v>
      </c>
      <c r="X45" s="398">
        <f>[1]RONET_Input!AE16</f>
        <v>4</v>
      </c>
      <c r="Y45" s="398">
        <f>[1]RONET_Input!AB16</f>
        <v>1</v>
      </c>
      <c r="Z45" s="438">
        <f>[1]RONET_Input!Z16</f>
        <v>1</v>
      </c>
      <c r="AA45" s="442"/>
      <c r="AB45" s="398"/>
      <c r="AC45" s="438"/>
      <c r="AD45" s="442">
        <f>[1]RONET_Input!AH16</f>
        <v>2</v>
      </c>
      <c r="AE45" s="398">
        <f>[1]RONET_Input!D16</f>
        <v>5.0449999999999999</v>
      </c>
      <c r="AF45" s="398"/>
      <c r="AG45" s="398"/>
      <c r="AH45" s="398"/>
      <c r="AI45" s="438"/>
      <c r="AJ45" s="442">
        <v>1</v>
      </c>
      <c r="AK45" s="442">
        <f>[1]RONET_Input!AF16</f>
        <v>4</v>
      </c>
      <c r="AL45" s="507"/>
      <c r="AM45" s="507"/>
      <c r="AN45" s="507"/>
      <c r="AO45" s="507"/>
      <c r="AP45" s="507"/>
      <c r="AQ45" s="507"/>
      <c r="AR45" s="507"/>
      <c r="AS45" s="507"/>
      <c r="AT45" s="507"/>
      <c r="AU45" s="507"/>
      <c r="AV45" s="507"/>
      <c r="AW45" s="507"/>
      <c r="AX45" s="508"/>
      <c r="AY45" s="509">
        <f>[1]RONET_Input!AG16</f>
        <v>3</v>
      </c>
      <c r="AZ45" s="359" t="s">
        <v>321</v>
      </c>
      <c r="BA45" s="360" t="s">
        <v>502</v>
      </c>
      <c r="BB45" s="360" t="s">
        <v>443</v>
      </c>
      <c r="BC45" s="510">
        <v>0.22169522362087099</v>
      </c>
      <c r="BD45" s="510">
        <v>5.0049999999999997E-2</v>
      </c>
      <c r="BE45" s="438">
        <v>6</v>
      </c>
      <c r="BF45" s="511">
        <v>1.768880327768414</v>
      </c>
      <c r="BG45" s="512">
        <v>0.39934311149712309</v>
      </c>
      <c r="BH45" s="512">
        <v>7.9788833465958655</v>
      </c>
      <c r="BI45" s="513">
        <v>0</v>
      </c>
      <c r="BJ45" s="514">
        <v>375</v>
      </c>
      <c r="BK45" s="515">
        <v>0.22366666666666665</v>
      </c>
      <c r="BL45" s="512">
        <v>0.60628439027186254</v>
      </c>
      <c r="BM45" s="516">
        <v>3.2054071874999999E-2</v>
      </c>
      <c r="BN45" s="517">
        <v>375</v>
      </c>
      <c r="BO45" s="518">
        <v>397.50000000000011</v>
      </c>
      <c r="BP45" s="518">
        <v>421.34999999999991</v>
      </c>
      <c r="BQ45" s="518">
        <v>446.63099999999997</v>
      </c>
      <c r="BR45" s="518">
        <v>473.42885999999999</v>
      </c>
      <c r="BS45" s="518">
        <v>501.83459160000012</v>
      </c>
      <c r="BT45" s="518">
        <v>531.9446670960001</v>
      </c>
      <c r="BU45" s="518">
        <v>563.86134712175999</v>
      </c>
      <c r="BV45" s="518">
        <v>597.69302794906582</v>
      </c>
      <c r="BW45" s="518">
        <v>633.55460962600955</v>
      </c>
      <c r="BX45" s="518">
        <v>671.56788620357008</v>
      </c>
      <c r="BY45" s="518">
        <v>711.86195937578441</v>
      </c>
      <c r="BZ45" s="518">
        <v>754.57367693833146</v>
      </c>
      <c r="CA45" s="518">
        <v>799.84809755463141</v>
      </c>
      <c r="CB45" s="518">
        <v>847.83898340790915</v>
      </c>
      <c r="CC45" s="518">
        <v>898.70932241238381</v>
      </c>
      <c r="CD45" s="518">
        <v>952.63188175712685</v>
      </c>
      <c r="CE45" s="518">
        <v>1009.7897946625544</v>
      </c>
      <c r="CF45" s="518">
        <v>1070.3771823423076</v>
      </c>
      <c r="CG45" s="519">
        <v>1134.5998132828461</v>
      </c>
      <c r="CH45" s="520">
        <v>5.0449999999999999</v>
      </c>
      <c r="CI45" s="521">
        <v>5.1459000000000001</v>
      </c>
      <c r="CJ45" s="521">
        <v>5.248818</v>
      </c>
      <c r="CK45" s="521">
        <v>5.3537943600000002</v>
      </c>
      <c r="CL45" s="521">
        <v>5.4608702471999999</v>
      </c>
      <c r="CM45" s="521">
        <v>2.5</v>
      </c>
      <c r="CN45" s="521">
        <v>2.5499999999999998</v>
      </c>
      <c r="CO45" s="521">
        <v>2.601</v>
      </c>
      <c r="CP45" s="521">
        <v>2.6530200000000002</v>
      </c>
      <c r="CQ45" s="521">
        <v>2.7060804000000003</v>
      </c>
      <c r="CR45" s="521">
        <v>2.7602020080000003</v>
      </c>
      <c r="CS45" s="521">
        <v>2.8154060481600003</v>
      </c>
      <c r="CT45" s="521">
        <v>2.8717141691232002</v>
      </c>
      <c r="CU45" s="521">
        <v>2.5</v>
      </c>
      <c r="CV45" s="521">
        <v>2.5499999999999998</v>
      </c>
      <c r="CW45" s="521">
        <v>2.601</v>
      </c>
      <c r="CX45" s="521">
        <v>2.6530200000000002</v>
      </c>
      <c r="CY45" s="521">
        <v>2.7060804000000003</v>
      </c>
      <c r="CZ45" s="521">
        <v>2.7602020080000003</v>
      </c>
      <c r="DA45" s="522">
        <v>2.8154060481600003</v>
      </c>
      <c r="DB45" s="523">
        <v>0</v>
      </c>
      <c r="DC45" s="524">
        <v>0</v>
      </c>
      <c r="DD45" s="524">
        <v>0</v>
      </c>
      <c r="DE45" s="524">
        <v>0</v>
      </c>
      <c r="DF45" s="524">
        <v>0</v>
      </c>
      <c r="DG45" s="524">
        <v>-0.1819353064571419</v>
      </c>
      <c r="DH45" s="524">
        <v>2.1924775807813046E-2</v>
      </c>
      <c r="DI45" s="524">
        <v>2.4264536221717703E-2</v>
      </c>
      <c r="DJ45" s="524">
        <v>2.6849671888320381E-2</v>
      </c>
      <c r="DK45" s="524">
        <v>3.0231156791574403</v>
      </c>
      <c r="DL45" s="524">
        <v>1.0597178663803719E-3</v>
      </c>
      <c r="DM45" s="524">
        <v>8.7974727442563516E-4</v>
      </c>
      <c r="DN45" s="524">
        <v>6.6415967092781081E-4</v>
      </c>
      <c r="DO45" s="524">
        <v>-0.198682878844754</v>
      </c>
      <c r="DP45" s="524">
        <v>3.0557778330633223E-3</v>
      </c>
      <c r="DQ45" s="524">
        <v>3.0328537459354266E-3</v>
      </c>
      <c r="DR45" s="524">
        <v>2.9880102440510425E-3</v>
      </c>
      <c r="DS45" s="524">
        <v>0.40825060980565631</v>
      </c>
      <c r="DT45" s="524">
        <v>4.8994791559515694E-3</v>
      </c>
      <c r="DU45" s="525">
        <v>5.027687755456367E-3</v>
      </c>
      <c r="DV45" s="526">
        <v>3.5</v>
      </c>
      <c r="DW45" s="507">
        <v>1</v>
      </c>
      <c r="DX45" s="509">
        <v>5.0449999999999999</v>
      </c>
      <c r="DY45" s="507">
        <v>2</v>
      </c>
      <c r="DZ45" s="507">
        <v>5</v>
      </c>
      <c r="EA45" s="507">
        <v>0</v>
      </c>
      <c r="EB45" s="507">
        <v>0</v>
      </c>
      <c r="EC45" s="507">
        <v>111.62500000000001</v>
      </c>
      <c r="ED45" s="507">
        <v>102.18750000000001</v>
      </c>
      <c r="EE45" s="507">
        <v>0</v>
      </c>
      <c r="EF45" s="507">
        <v>25.062499999999996</v>
      </c>
      <c r="EG45" s="507">
        <v>29.3125</v>
      </c>
      <c r="EH45" s="507">
        <v>12.8125</v>
      </c>
      <c r="EI45" s="507">
        <v>16.6875</v>
      </c>
      <c r="EJ45" s="507">
        <v>56.4375</v>
      </c>
      <c r="EK45" s="507">
        <v>10.4375</v>
      </c>
      <c r="EL45" s="507">
        <v>10.4375</v>
      </c>
      <c r="EM45" s="508">
        <v>375</v>
      </c>
    </row>
    <row r="46" spans="2:143" x14ac:dyDescent="0.25">
      <c r="B46" s="506" t="str">
        <f>[1]RONET_Input!J17</f>
        <v xml:space="preserve">Input VPROMMS: 214TT00051 (50.0 pct); 214TT00050 (50.0 pct); </v>
      </c>
      <c r="C46" s="359">
        <f>[1]RONET_Input!B17</f>
        <v>15</v>
      </c>
      <c r="D46" s="397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442">
        <f>[1]RONET_Input!K17</f>
        <v>1.1877854426600001</v>
      </c>
      <c r="Q46" s="398">
        <f>[1]RONET_Input!Y17</f>
        <v>2</v>
      </c>
      <c r="R46" s="398">
        <f>[1]RONET_Input!X17</f>
        <v>3.5</v>
      </c>
      <c r="S46" s="398"/>
      <c r="T46" s="398"/>
      <c r="U46" s="398">
        <f>[1]RONET_Input!AA17</f>
        <v>8</v>
      </c>
      <c r="V46" s="398">
        <f>[1]RONET_Input!AC17</f>
        <v>1</v>
      </c>
      <c r="W46" s="398">
        <f>[1]RONET_Input!AD17</f>
        <v>1</v>
      </c>
      <c r="X46" s="398">
        <f>[1]RONET_Input!AE17</f>
        <v>4</v>
      </c>
      <c r="Y46" s="398">
        <f>[1]RONET_Input!AB17</f>
        <v>1</v>
      </c>
      <c r="Z46" s="438">
        <f>[1]RONET_Input!Z17</f>
        <v>1</v>
      </c>
      <c r="AA46" s="442"/>
      <c r="AB46" s="398"/>
      <c r="AC46" s="438"/>
      <c r="AD46" s="442">
        <f>[1]RONET_Input!AH17</f>
        <v>4</v>
      </c>
      <c r="AE46" s="398">
        <f>[1]RONET_Input!D17</f>
        <v>8.58</v>
      </c>
      <c r="AF46" s="398"/>
      <c r="AG46" s="398"/>
      <c r="AH46" s="398"/>
      <c r="AI46" s="438"/>
      <c r="AJ46" s="442">
        <v>1</v>
      </c>
      <c r="AK46" s="442">
        <f>[1]RONET_Input!AF17</f>
        <v>4</v>
      </c>
      <c r="AL46" s="507"/>
      <c r="AM46" s="507"/>
      <c r="AN46" s="507"/>
      <c r="AO46" s="507"/>
      <c r="AP46" s="507"/>
      <c r="AQ46" s="507"/>
      <c r="AR46" s="507"/>
      <c r="AS46" s="507"/>
      <c r="AT46" s="507"/>
      <c r="AU46" s="507"/>
      <c r="AV46" s="507"/>
      <c r="AW46" s="507"/>
      <c r="AX46" s="508"/>
      <c r="AY46" s="509">
        <f>[1]RONET_Input!AG17</f>
        <v>3</v>
      </c>
      <c r="AZ46" s="359" t="s">
        <v>321</v>
      </c>
      <c r="BA46" s="360" t="s">
        <v>502</v>
      </c>
      <c r="BB46" s="360" t="s">
        <v>443</v>
      </c>
      <c r="BC46" s="510">
        <v>5.944866140513301E-2</v>
      </c>
      <c r="BD46" s="510">
        <v>5.0050000000000004E-2</v>
      </c>
      <c r="BE46" s="438">
        <v>5</v>
      </c>
      <c r="BF46" s="511">
        <v>0.52584341136939772</v>
      </c>
      <c r="BG46" s="512">
        <v>0.442709089102651</v>
      </c>
      <c r="BH46" s="512">
        <v>8.8453364456074119</v>
      </c>
      <c r="BI46" s="513">
        <v>0</v>
      </c>
      <c r="BJ46" s="514">
        <v>375</v>
      </c>
      <c r="BK46" s="515">
        <v>0.22366666666666665</v>
      </c>
      <c r="BL46" s="512">
        <v>0.16257813246408756</v>
      </c>
      <c r="BM46" s="516">
        <v>3.2054071874999999E-2</v>
      </c>
      <c r="BN46" s="517">
        <v>375</v>
      </c>
      <c r="BO46" s="518">
        <v>397.50000000000011</v>
      </c>
      <c r="BP46" s="518">
        <v>421.34999999999991</v>
      </c>
      <c r="BQ46" s="518">
        <v>446.63099999999997</v>
      </c>
      <c r="BR46" s="518">
        <v>473.42885999999999</v>
      </c>
      <c r="BS46" s="518">
        <v>501.83459160000012</v>
      </c>
      <c r="BT46" s="518">
        <v>531.9446670960001</v>
      </c>
      <c r="BU46" s="518">
        <v>563.86134712175999</v>
      </c>
      <c r="BV46" s="518">
        <v>597.69302794906582</v>
      </c>
      <c r="BW46" s="518">
        <v>633.55460962600955</v>
      </c>
      <c r="BX46" s="518">
        <v>671.56788620357008</v>
      </c>
      <c r="BY46" s="518">
        <v>711.86195937578441</v>
      </c>
      <c r="BZ46" s="518">
        <v>754.57367693833146</v>
      </c>
      <c r="CA46" s="518">
        <v>799.84809755463141</v>
      </c>
      <c r="CB46" s="518">
        <v>847.83898340790915</v>
      </c>
      <c r="CC46" s="518">
        <v>898.70932241238381</v>
      </c>
      <c r="CD46" s="518">
        <v>952.63188175712685</v>
      </c>
      <c r="CE46" s="518">
        <v>1009.7897946625544</v>
      </c>
      <c r="CF46" s="518">
        <v>1070.3771823423076</v>
      </c>
      <c r="CG46" s="519">
        <v>1134.5998132828461</v>
      </c>
      <c r="CH46" s="520">
        <v>8.58</v>
      </c>
      <c r="CI46" s="521">
        <v>8.7515999999999998</v>
      </c>
      <c r="CJ46" s="521">
        <v>8.9266319999999997</v>
      </c>
      <c r="CK46" s="521">
        <v>9.1051646399999999</v>
      </c>
      <c r="CL46" s="521">
        <v>2.5</v>
      </c>
      <c r="CM46" s="521">
        <v>2.5499999999999998</v>
      </c>
      <c r="CN46" s="521">
        <v>2.601</v>
      </c>
      <c r="CO46" s="521">
        <v>2.6530200000000002</v>
      </c>
      <c r="CP46" s="521">
        <v>2.7060804000000003</v>
      </c>
      <c r="CQ46" s="521">
        <v>2.7602020080000003</v>
      </c>
      <c r="CR46" s="521">
        <v>2.8154060481600003</v>
      </c>
      <c r="CS46" s="521">
        <v>2.8717141691232002</v>
      </c>
      <c r="CT46" s="521">
        <v>2.5</v>
      </c>
      <c r="CU46" s="521">
        <v>2.5499999999999998</v>
      </c>
      <c r="CV46" s="521">
        <v>2.601</v>
      </c>
      <c r="CW46" s="521">
        <v>2.6530200000000002</v>
      </c>
      <c r="CX46" s="521">
        <v>2.7060804000000003</v>
      </c>
      <c r="CY46" s="521">
        <v>2.7602020080000003</v>
      </c>
      <c r="CZ46" s="521">
        <v>2.8154060481600003</v>
      </c>
      <c r="DA46" s="522">
        <v>2.8717141691232002</v>
      </c>
      <c r="DB46" s="523">
        <v>0</v>
      </c>
      <c r="DC46" s="524">
        <v>0</v>
      </c>
      <c r="DD46" s="524">
        <v>0</v>
      </c>
      <c r="DE46" s="524">
        <v>0</v>
      </c>
      <c r="DF46" s="524">
        <v>-3.7247302284514769E-2</v>
      </c>
      <c r="DG46" s="524">
        <v>1.8609413949534789E-2</v>
      </c>
      <c r="DH46" s="524">
        <v>2.0549652796895523E-2</v>
      </c>
      <c r="DI46" s="524">
        <v>2.2690384673620431E-2</v>
      </c>
      <c r="DJ46" s="524">
        <v>2.5052209074213419E-2</v>
      </c>
      <c r="DK46" s="524">
        <v>0.81059155738460253</v>
      </c>
      <c r="DL46" s="524">
        <v>2.0439647872080857E-4</v>
      </c>
      <c r="DM46" s="524">
        <v>1.47229838577706E-4</v>
      </c>
      <c r="DN46" s="524">
        <v>-5.3347975354334304E-2</v>
      </c>
      <c r="DO46" s="524">
        <v>7.4597084446167972E-4</v>
      </c>
      <c r="DP46" s="524">
        <v>7.3643707309922757E-4</v>
      </c>
      <c r="DQ46" s="524">
        <v>7.2090100091984355E-4</v>
      </c>
      <c r="DR46" s="524">
        <v>6.9846125190661801E-4</v>
      </c>
      <c r="DS46" s="524">
        <v>0.10936006470131204</v>
      </c>
      <c r="DT46" s="524">
        <v>1.186674812066052E-3</v>
      </c>
      <c r="DU46" s="525">
        <v>1.2068587404246989E-3</v>
      </c>
      <c r="DV46" s="526">
        <v>3.5</v>
      </c>
      <c r="DW46" s="507">
        <v>1</v>
      </c>
      <c r="DX46" s="509">
        <v>8.58</v>
      </c>
      <c r="DY46" s="507">
        <v>2</v>
      </c>
      <c r="DZ46" s="507">
        <v>15</v>
      </c>
      <c r="EA46" s="507">
        <v>0</v>
      </c>
      <c r="EB46" s="507">
        <v>0</v>
      </c>
      <c r="EC46" s="507">
        <v>111.62500000000001</v>
      </c>
      <c r="ED46" s="507">
        <v>102.18750000000001</v>
      </c>
      <c r="EE46" s="507">
        <v>0</v>
      </c>
      <c r="EF46" s="507">
        <v>25.062499999999996</v>
      </c>
      <c r="EG46" s="507">
        <v>29.3125</v>
      </c>
      <c r="EH46" s="507">
        <v>12.8125</v>
      </c>
      <c r="EI46" s="507">
        <v>16.6875</v>
      </c>
      <c r="EJ46" s="507">
        <v>56.4375</v>
      </c>
      <c r="EK46" s="507">
        <v>10.4375</v>
      </c>
      <c r="EL46" s="507">
        <v>10.4375</v>
      </c>
      <c r="EM46" s="508">
        <v>375</v>
      </c>
    </row>
    <row r="47" spans="2:143" x14ac:dyDescent="0.25">
      <c r="B47" s="506" t="str">
        <f>[1]RONET_Input!J18</f>
        <v xml:space="preserve">Input VPROMMS: DHCM_1 (49.49 pct); hcm_1 (48.48 pct); 214TT00051 (1.01 pct); 214TT00050 (1.01 pct); </v>
      </c>
      <c r="C47" s="359">
        <f>[1]RONET_Input!B18</f>
        <v>16</v>
      </c>
      <c r="D47" s="397"/>
      <c r="E47" s="360"/>
      <c r="F47" s="360"/>
      <c r="G47" s="360"/>
      <c r="H47" s="360"/>
      <c r="I47" s="360"/>
      <c r="J47" s="360"/>
      <c r="K47" s="360"/>
      <c r="L47" s="360"/>
      <c r="M47" s="360"/>
      <c r="N47" s="360"/>
      <c r="O47" s="360"/>
      <c r="P47" s="442">
        <f>[1]RONET_Input!K18</f>
        <v>3.2724903847900002</v>
      </c>
      <c r="Q47" s="398">
        <f>[1]RONET_Input!Y18</f>
        <v>2</v>
      </c>
      <c r="R47" s="398">
        <f>[1]RONET_Input!X18</f>
        <v>3.5</v>
      </c>
      <c r="S47" s="398"/>
      <c r="T47" s="398"/>
      <c r="U47" s="398">
        <f>[1]RONET_Input!AA18</f>
        <v>8</v>
      </c>
      <c r="V47" s="398">
        <f>[1]RONET_Input!AC18</f>
        <v>1</v>
      </c>
      <c r="W47" s="398">
        <f>[1]RONET_Input!AD18</f>
        <v>1</v>
      </c>
      <c r="X47" s="398">
        <f>[1]RONET_Input!AE18</f>
        <v>4</v>
      </c>
      <c r="Y47" s="398">
        <f>[1]RONET_Input!AB18</f>
        <v>1</v>
      </c>
      <c r="Z47" s="438">
        <f>[1]RONET_Input!Z18</f>
        <v>1</v>
      </c>
      <c r="AA47" s="442"/>
      <c r="AB47" s="398"/>
      <c r="AC47" s="438"/>
      <c r="AD47" s="442">
        <f>[1]RONET_Input!AH18</f>
        <v>3</v>
      </c>
      <c r="AE47" s="398">
        <f>[1]RONET_Input!D18</f>
        <v>0</v>
      </c>
      <c r="AF47" s="398"/>
      <c r="AG47" s="398"/>
      <c r="AH47" s="398"/>
      <c r="AI47" s="438"/>
      <c r="AJ47" s="442">
        <v>1</v>
      </c>
      <c r="AK47" s="442">
        <f>[1]RONET_Input!AF18</f>
        <v>4</v>
      </c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8"/>
      <c r="AY47" s="509">
        <f>[1]RONET_Input!AG18</f>
        <v>3</v>
      </c>
      <c r="AZ47" s="359" t="s">
        <v>321</v>
      </c>
      <c r="BA47" s="360" t="s">
        <v>502</v>
      </c>
      <c r="BB47" s="360" t="s">
        <v>443</v>
      </c>
      <c r="BC47" s="510">
        <v>0.16378814375873951</v>
      </c>
      <c r="BD47" s="510">
        <v>5.0050000000000004E-2</v>
      </c>
      <c r="BE47" s="438">
        <v>6</v>
      </c>
      <c r="BF47" s="511">
        <v>1.2944130136418774</v>
      </c>
      <c r="BG47" s="512">
        <v>0.39554371791529086</v>
      </c>
      <c r="BH47" s="512">
        <v>7.9029713869188978</v>
      </c>
      <c r="BI47" s="513">
        <v>0</v>
      </c>
      <c r="BJ47" s="514">
        <v>375</v>
      </c>
      <c r="BK47" s="515">
        <v>0.22366666666666665</v>
      </c>
      <c r="BL47" s="512">
        <v>0.44792212141813126</v>
      </c>
      <c r="BM47" s="516">
        <v>3.2054071874999999E-2</v>
      </c>
      <c r="BN47" s="517">
        <v>375</v>
      </c>
      <c r="BO47" s="518">
        <v>397.50000000000011</v>
      </c>
      <c r="BP47" s="518">
        <v>421.34999999999991</v>
      </c>
      <c r="BQ47" s="518">
        <v>446.63099999999997</v>
      </c>
      <c r="BR47" s="518">
        <v>473.42885999999999</v>
      </c>
      <c r="BS47" s="518">
        <v>501.83459160000012</v>
      </c>
      <c r="BT47" s="518">
        <v>531.9446670960001</v>
      </c>
      <c r="BU47" s="518">
        <v>563.86134712175999</v>
      </c>
      <c r="BV47" s="518">
        <v>597.69302794906582</v>
      </c>
      <c r="BW47" s="518">
        <v>633.55460962600955</v>
      </c>
      <c r="BX47" s="518">
        <v>671.56788620357008</v>
      </c>
      <c r="BY47" s="518">
        <v>711.86195937578441</v>
      </c>
      <c r="BZ47" s="518">
        <v>754.57367693833146</v>
      </c>
      <c r="CA47" s="518">
        <v>799.84809755463141</v>
      </c>
      <c r="CB47" s="518">
        <v>847.83898340790915</v>
      </c>
      <c r="CC47" s="518">
        <v>898.70932241238381</v>
      </c>
      <c r="CD47" s="518">
        <v>952.63188175712685</v>
      </c>
      <c r="CE47" s="518">
        <v>1009.7897946625544</v>
      </c>
      <c r="CF47" s="518">
        <v>1070.3771823423076</v>
      </c>
      <c r="CG47" s="519">
        <v>1134.5998132828461</v>
      </c>
      <c r="CH47" s="520">
        <v>4.5</v>
      </c>
      <c r="CI47" s="521">
        <v>4.59</v>
      </c>
      <c r="CJ47" s="521">
        <v>4.6818</v>
      </c>
      <c r="CK47" s="521">
        <v>4.775436</v>
      </c>
      <c r="CL47" s="521">
        <v>4.8709447199999998</v>
      </c>
      <c r="CM47" s="521">
        <v>2.5</v>
      </c>
      <c r="CN47" s="521">
        <v>2.5499999999999998</v>
      </c>
      <c r="CO47" s="521">
        <v>2.601</v>
      </c>
      <c r="CP47" s="521">
        <v>2.6530200000000002</v>
      </c>
      <c r="CQ47" s="521">
        <v>2.7060804000000003</v>
      </c>
      <c r="CR47" s="521">
        <v>2.7602020080000003</v>
      </c>
      <c r="CS47" s="521">
        <v>2.8154060481600003</v>
      </c>
      <c r="CT47" s="521">
        <v>2.8717141691232002</v>
      </c>
      <c r="CU47" s="521">
        <v>2.5</v>
      </c>
      <c r="CV47" s="521">
        <v>2.5499999999999998</v>
      </c>
      <c r="CW47" s="521">
        <v>2.601</v>
      </c>
      <c r="CX47" s="521">
        <v>2.6530200000000002</v>
      </c>
      <c r="CY47" s="521">
        <v>2.7060804000000003</v>
      </c>
      <c r="CZ47" s="521">
        <v>2.7602020080000003</v>
      </c>
      <c r="DA47" s="522">
        <v>2.8154060481600003</v>
      </c>
      <c r="DB47" s="523">
        <v>0</v>
      </c>
      <c r="DC47" s="524">
        <v>0</v>
      </c>
      <c r="DD47" s="524">
        <v>0</v>
      </c>
      <c r="DE47" s="524">
        <v>0</v>
      </c>
      <c r="DF47" s="524">
        <v>0</v>
      </c>
      <c r="DG47" s="524">
        <v>-0.1383191855426199</v>
      </c>
      <c r="DH47" s="524">
        <v>1.1883126784573761E-2</v>
      </c>
      <c r="DI47" s="524">
        <v>1.3160134561222114E-2</v>
      </c>
      <c r="DJ47" s="524">
        <v>1.4571727364094733E-2</v>
      </c>
      <c r="DK47" s="524">
        <v>2.2334739439579137</v>
      </c>
      <c r="DL47" s="524">
        <v>7.8291818564041327E-4</v>
      </c>
      <c r="DM47" s="524">
        <v>6.4995614565610538E-4</v>
      </c>
      <c r="DN47" s="524">
        <v>4.9068030372506621E-4</v>
      </c>
      <c r="DO47" s="524">
        <v>-0.14678665327619261</v>
      </c>
      <c r="DP47" s="524">
        <v>2.2576047009135181E-3</v>
      </c>
      <c r="DQ47" s="524">
        <v>2.2406684150670375E-3</v>
      </c>
      <c r="DR47" s="524">
        <v>2.2075380940194123E-3</v>
      </c>
      <c r="DS47" s="524">
        <v>0.30161502118238215</v>
      </c>
      <c r="DT47" s="524">
        <v>3.6197288477005651E-3</v>
      </c>
      <c r="DU47" s="525">
        <v>3.7144491947781466E-3</v>
      </c>
      <c r="DV47" s="526">
        <v>3.5</v>
      </c>
      <c r="DW47" s="507">
        <v>1</v>
      </c>
      <c r="DX47" s="509">
        <v>4.5</v>
      </c>
      <c r="DY47" s="507">
        <v>2</v>
      </c>
      <c r="DZ47" s="507">
        <v>10</v>
      </c>
      <c r="EA47" s="507">
        <v>0</v>
      </c>
      <c r="EB47" s="507">
        <v>0</v>
      </c>
      <c r="EC47" s="507">
        <v>111.62500000000001</v>
      </c>
      <c r="ED47" s="507">
        <v>102.18750000000001</v>
      </c>
      <c r="EE47" s="507">
        <v>0</v>
      </c>
      <c r="EF47" s="507">
        <v>25.062499999999996</v>
      </c>
      <c r="EG47" s="507">
        <v>29.3125</v>
      </c>
      <c r="EH47" s="507">
        <v>12.8125</v>
      </c>
      <c r="EI47" s="507">
        <v>16.6875</v>
      </c>
      <c r="EJ47" s="507">
        <v>56.4375</v>
      </c>
      <c r="EK47" s="507">
        <v>10.4375</v>
      </c>
      <c r="EL47" s="507">
        <v>10.4375</v>
      </c>
      <c r="EM47" s="508">
        <v>375</v>
      </c>
    </row>
    <row r="48" spans="2:143" x14ac:dyDescent="0.25">
      <c r="B48" s="506" t="str">
        <f>[1]RONET_Input!J19</f>
        <v>214TT00005</v>
      </c>
      <c r="C48" s="359">
        <f>[1]RONET_Input!B19</f>
        <v>17</v>
      </c>
      <c r="D48" s="397"/>
      <c r="E48" s="360"/>
      <c r="F48" s="360"/>
      <c r="G48" s="360"/>
      <c r="H48" s="360"/>
      <c r="I48" s="360"/>
      <c r="J48" s="360"/>
      <c r="K48" s="360"/>
      <c r="L48" s="360"/>
      <c r="M48" s="360"/>
      <c r="N48" s="360"/>
      <c r="O48" s="360"/>
      <c r="P48" s="442">
        <f>[1]RONET_Input!K19</f>
        <v>1.9580123576199999</v>
      </c>
      <c r="Q48" s="398">
        <f>[1]RONET_Input!Y19</f>
        <v>1</v>
      </c>
      <c r="R48" s="398">
        <f>[1]RONET_Input!X19</f>
        <v>3.4</v>
      </c>
      <c r="S48" s="398"/>
      <c r="T48" s="398"/>
      <c r="U48" s="398">
        <f>[1]RONET_Input!AA19</f>
        <v>8</v>
      </c>
      <c r="V48" s="398">
        <f>[1]RONET_Input!AC19</f>
        <v>1</v>
      </c>
      <c r="W48" s="398">
        <f>[1]RONET_Input!AD19</f>
        <v>1</v>
      </c>
      <c r="X48" s="398">
        <f>[1]RONET_Input!AE19</f>
        <v>4</v>
      </c>
      <c r="Y48" s="398">
        <f>[1]RONET_Input!AB19</f>
        <v>1</v>
      </c>
      <c r="Z48" s="438">
        <f>[1]RONET_Input!Z19</f>
        <v>1</v>
      </c>
      <c r="AA48" s="442"/>
      <c r="AB48" s="398"/>
      <c r="AC48" s="438"/>
      <c r="AD48" s="442">
        <f>[1]RONET_Input!AH19</f>
        <v>4</v>
      </c>
      <c r="AE48" s="398">
        <f>[1]RONET_Input!D19</f>
        <v>9.2200000000000006</v>
      </c>
      <c r="AF48" s="398"/>
      <c r="AG48" s="398"/>
      <c r="AH48" s="398"/>
      <c r="AI48" s="438"/>
      <c r="AJ48" s="442">
        <v>1</v>
      </c>
      <c r="AK48" s="442">
        <f>[1]RONET_Input!AF19</f>
        <v>4</v>
      </c>
      <c r="AL48" s="507"/>
      <c r="AM48" s="507"/>
      <c r="AN48" s="507"/>
      <c r="AO48" s="507"/>
      <c r="AP48" s="507"/>
      <c r="AQ48" s="507"/>
      <c r="AR48" s="507"/>
      <c r="AS48" s="507"/>
      <c r="AT48" s="507"/>
      <c r="AU48" s="507"/>
      <c r="AV48" s="507"/>
      <c r="AW48" s="507"/>
      <c r="AX48" s="508"/>
      <c r="AY48" s="509">
        <f>[1]RONET_Input!AG19</f>
        <v>3</v>
      </c>
      <c r="AZ48" s="359" t="s">
        <v>321</v>
      </c>
      <c r="BA48" s="360" t="s">
        <v>502</v>
      </c>
      <c r="BB48" s="360" t="s">
        <v>443</v>
      </c>
      <c r="BC48" s="510">
        <v>9.5198560827484402E-2</v>
      </c>
      <c r="BD48" s="510">
        <v>4.8620000000000003E-2</v>
      </c>
      <c r="BE48" s="438">
        <v>5</v>
      </c>
      <c r="BF48" s="511">
        <v>0.92718262579775934</v>
      </c>
      <c r="BG48" s="512">
        <v>0.47353257102256846</v>
      </c>
      <c r="BH48" s="512">
        <v>9.7394605311100051</v>
      </c>
      <c r="BI48" s="513">
        <v>0</v>
      </c>
      <c r="BJ48" s="514">
        <v>375</v>
      </c>
      <c r="BK48" s="515">
        <v>0.22366666666666665</v>
      </c>
      <c r="BL48" s="512">
        <v>0.26800294144923748</v>
      </c>
      <c r="BM48" s="516">
        <v>6.4108143749999999E-2</v>
      </c>
      <c r="BN48" s="517">
        <v>375</v>
      </c>
      <c r="BO48" s="518">
        <v>397.50000000000011</v>
      </c>
      <c r="BP48" s="518">
        <v>421.34999999999991</v>
      </c>
      <c r="BQ48" s="518">
        <v>446.63099999999997</v>
      </c>
      <c r="BR48" s="518">
        <v>473.42885999999999</v>
      </c>
      <c r="BS48" s="518">
        <v>501.83459160000012</v>
      </c>
      <c r="BT48" s="518">
        <v>531.9446670960001</v>
      </c>
      <c r="BU48" s="518">
        <v>563.86134712175999</v>
      </c>
      <c r="BV48" s="518">
        <v>597.69302794906582</v>
      </c>
      <c r="BW48" s="518">
        <v>633.55460962600955</v>
      </c>
      <c r="BX48" s="518">
        <v>671.56788620357008</v>
      </c>
      <c r="BY48" s="518">
        <v>711.86195937578441</v>
      </c>
      <c r="BZ48" s="518">
        <v>754.57367693833146</v>
      </c>
      <c r="CA48" s="518">
        <v>799.84809755463141</v>
      </c>
      <c r="CB48" s="518">
        <v>847.83898340790915</v>
      </c>
      <c r="CC48" s="518">
        <v>898.70932241238381</v>
      </c>
      <c r="CD48" s="518">
        <v>952.63188175712685</v>
      </c>
      <c r="CE48" s="518">
        <v>1009.7897946625544</v>
      </c>
      <c r="CF48" s="518">
        <v>1070.3771823423076</v>
      </c>
      <c r="CG48" s="519">
        <v>1134.5998132828461</v>
      </c>
      <c r="CH48" s="520">
        <v>9.2200000000000006</v>
      </c>
      <c r="CI48" s="521">
        <v>9.4044000000000008</v>
      </c>
      <c r="CJ48" s="521">
        <v>9.5924880000000012</v>
      </c>
      <c r="CK48" s="521">
        <v>9.7843377600000014</v>
      </c>
      <c r="CL48" s="521">
        <v>2.5</v>
      </c>
      <c r="CM48" s="521">
        <v>2.5499999999999998</v>
      </c>
      <c r="CN48" s="521">
        <v>2.601</v>
      </c>
      <c r="CO48" s="521">
        <v>2.6530200000000002</v>
      </c>
      <c r="CP48" s="521">
        <v>2.7060804000000003</v>
      </c>
      <c r="CQ48" s="521">
        <v>2.7602020080000003</v>
      </c>
      <c r="CR48" s="521">
        <v>2.8154060481600003</v>
      </c>
      <c r="CS48" s="521">
        <v>2.8717141691232002</v>
      </c>
      <c r="CT48" s="521">
        <v>2.5</v>
      </c>
      <c r="CU48" s="521">
        <v>2.5499999999999998</v>
      </c>
      <c r="CV48" s="521">
        <v>2.601</v>
      </c>
      <c r="CW48" s="521">
        <v>2.6530200000000002</v>
      </c>
      <c r="CX48" s="521">
        <v>2.7060804000000003</v>
      </c>
      <c r="CY48" s="521">
        <v>2.7602020080000003</v>
      </c>
      <c r="CZ48" s="521">
        <v>2.8154060481600003</v>
      </c>
      <c r="DA48" s="522">
        <v>2.8717141691232002</v>
      </c>
      <c r="DB48" s="523">
        <v>0</v>
      </c>
      <c r="DC48" s="524">
        <v>0</v>
      </c>
      <c r="DD48" s="524">
        <v>0</v>
      </c>
      <c r="DE48" s="524">
        <v>0</v>
      </c>
      <c r="DF48" s="524">
        <v>-5.2395182640109034E-2</v>
      </c>
      <c r="DG48" s="524">
        <v>3.7713848807132633E-2</v>
      </c>
      <c r="DH48" s="524">
        <v>4.1544030233240797E-2</v>
      </c>
      <c r="DI48" s="524">
        <v>4.5761522441405578E-2</v>
      </c>
      <c r="DJ48" s="524">
        <v>5.04053432519041E-2</v>
      </c>
      <c r="DK48" s="524">
        <v>1.3416691759906263</v>
      </c>
      <c r="DL48" s="524">
        <v>5.8652593899670979E-3</v>
      </c>
      <c r="DM48" s="524">
        <v>5.85771469044985E-3</v>
      </c>
      <c r="DN48" s="524">
        <v>-7.9434902427041265E-2</v>
      </c>
      <c r="DO48" s="524">
        <v>7.3005115471216353E-3</v>
      </c>
      <c r="DP48" s="524">
        <v>7.4009111465718758E-3</v>
      </c>
      <c r="DQ48" s="524">
        <v>7.4957302602529641E-3</v>
      </c>
      <c r="DR48" s="524">
        <v>7.5835431349691174E-3</v>
      </c>
      <c r="DS48" s="524">
        <v>0.1868366719828275</v>
      </c>
      <c r="DT48" s="524">
        <v>8.6512582875428179E-3</v>
      </c>
      <c r="DU48" s="525">
        <v>8.8227044987547742E-3</v>
      </c>
      <c r="DV48" s="526">
        <v>3.4</v>
      </c>
      <c r="DW48" s="507">
        <v>1</v>
      </c>
      <c r="DX48" s="509">
        <v>9.2200000000000006</v>
      </c>
      <c r="DY48" s="507">
        <v>2</v>
      </c>
      <c r="DZ48" s="507">
        <v>15</v>
      </c>
      <c r="EA48" s="507">
        <v>0</v>
      </c>
      <c r="EB48" s="507">
        <v>0</v>
      </c>
      <c r="EC48" s="507">
        <v>111.62500000000001</v>
      </c>
      <c r="ED48" s="507">
        <v>102.18750000000001</v>
      </c>
      <c r="EE48" s="507">
        <v>0</v>
      </c>
      <c r="EF48" s="507">
        <v>25.062499999999996</v>
      </c>
      <c r="EG48" s="507">
        <v>29.3125</v>
      </c>
      <c r="EH48" s="507">
        <v>12.8125</v>
      </c>
      <c r="EI48" s="507">
        <v>16.6875</v>
      </c>
      <c r="EJ48" s="507">
        <v>56.4375</v>
      </c>
      <c r="EK48" s="507">
        <v>10.4375</v>
      </c>
      <c r="EL48" s="507">
        <v>10.4375</v>
      </c>
      <c r="EM48" s="508">
        <v>375</v>
      </c>
    </row>
    <row r="49" spans="2:143" x14ac:dyDescent="0.25">
      <c r="B49" s="506" t="str">
        <f>[1]RONET_Input!J20</f>
        <v xml:space="preserve">Input VPROMMS: hcm_1 (50.0 pct); DHCM_1 (50.0 pct); </v>
      </c>
      <c r="C49" s="359">
        <f>[1]RONET_Input!B20</f>
        <v>18</v>
      </c>
      <c r="D49" s="397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442">
        <f>[1]RONET_Input!K20</f>
        <v>1.86640516275</v>
      </c>
      <c r="Q49" s="398">
        <f>[1]RONET_Input!Y20</f>
        <v>2</v>
      </c>
      <c r="R49" s="398">
        <f>[1]RONET_Input!X20</f>
        <v>3.5</v>
      </c>
      <c r="S49" s="398"/>
      <c r="T49" s="398"/>
      <c r="U49" s="398">
        <f>[1]RONET_Input!AA20</f>
        <v>8</v>
      </c>
      <c r="V49" s="398">
        <f>[1]RONET_Input!AC20</f>
        <v>1</v>
      </c>
      <c r="W49" s="398">
        <f>[1]RONET_Input!AD20</f>
        <v>1</v>
      </c>
      <c r="X49" s="398">
        <f>[1]RONET_Input!AE20</f>
        <v>4</v>
      </c>
      <c r="Y49" s="398">
        <f>[1]RONET_Input!AB20</f>
        <v>1</v>
      </c>
      <c r="Z49" s="438">
        <f>[1]RONET_Input!Z20</f>
        <v>1</v>
      </c>
      <c r="AA49" s="442"/>
      <c r="AB49" s="398"/>
      <c r="AC49" s="438"/>
      <c r="AD49" s="442">
        <f>[1]RONET_Input!AH20</f>
        <v>2</v>
      </c>
      <c r="AE49" s="398">
        <f>[1]RONET_Input!D20</f>
        <v>5.38</v>
      </c>
      <c r="AF49" s="398"/>
      <c r="AG49" s="398"/>
      <c r="AH49" s="398"/>
      <c r="AI49" s="438"/>
      <c r="AJ49" s="442">
        <v>1</v>
      </c>
      <c r="AK49" s="442">
        <f>[1]RONET_Input!AF20</f>
        <v>4</v>
      </c>
      <c r="AL49" s="507"/>
      <c r="AM49" s="507"/>
      <c r="AN49" s="507"/>
      <c r="AO49" s="507"/>
      <c r="AP49" s="507"/>
      <c r="AQ49" s="507"/>
      <c r="AR49" s="507"/>
      <c r="AS49" s="507"/>
      <c r="AT49" s="507"/>
      <c r="AU49" s="507"/>
      <c r="AV49" s="507"/>
      <c r="AW49" s="507"/>
      <c r="AX49" s="508"/>
      <c r="AY49" s="509">
        <f>[1]RONET_Input!AG20</f>
        <v>3</v>
      </c>
      <c r="AZ49" s="359" t="s">
        <v>321</v>
      </c>
      <c r="BA49" s="360" t="s">
        <v>502</v>
      </c>
      <c r="BB49" s="360" t="s">
        <v>443</v>
      </c>
      <c r="BC49" s="510">
        <v>9.3413578395637506E-2</v>
      </c>
      <c r="BD49" s="510">
        <v>5.0050000000000004E-2</v>
      </c>
      <c r="BE49" s="438">
        <v>5</v>
      </c>
      <c r="BF49" s="511">
        <v>0.75047742976998688</v>
      </c>
      <c r="BG49" s="512">
        <v>0.40209781067269335</v>
      </c>
      <c r="BH49" s="512">
        <v>8.0339222911627033</v>
      </c>
      <c r="BI49" s="513">
        <v>0</v>
      </c>
      <c r="BJ49" s="514">
        <v>375</v>
      </c>
      <c r="BK49" s="515">
        <v>0.22366666666666665</v>
      </c>
      <c r="BL49" s="512">
        <v>0.25546420665140629</v>
      </c>
      <c r="BM49" s="516">
        <v>3.2054071874999999E-2</v>
      </c>
      <c r="BN49" s="517">
        <v>375</v>
      </c>
      <c r="BO49" s="518">
        <v>397.50000000000011</v>
      </c>
      <c r="BP49" s="518">
        <v>421.34999999999991</v>
      </c>
      <c r="BQ49" s="518">
        <v>446.63099999999997</v>
      </c>
      <c r="BR49" s="518">
        <v>473.42885999999999</v>
      </c>
      <c r="BS49" s="518">
        <v>501.83459160000012</v>
      </c>
      <c r="BT49" s="518">
        <v>531.9446670960001</v>
      </c>
      <c r="BU49" s="518">
        <v>563.86134712175999</v>
      </c>
      <c r="BV49" s="518">
        <v>597.69302794906582</v>
      </c>
      <c r="BW49" s="518">
        <v>633.55460962600955</v>
      </c>
      <c r="BX49" s="518">
        <v>671.56788620357008</v>
      </c>
      <c r="BY49" s="518">
        <v>711.86195937578441</v>
      </c>
      <c r="BZ49" s="518">
        <v>754.57367693833146</v>
      </c>
      <c r="CA49" s="518">
        <v>799.84809755463141</v>
      </c>
      <c r="CB49" s="518">
        <v>847.83898340790915</v>
      </c>
      <c r="CC49" s="518">
        <v>898.70932241238381</v>
      </c>
      <c r="CD49" s="518">
        <v>952.63188175712685</v>
      </c>
      <c r="CE49" s="518">
        <v>1009.7897946625544</v>
      </c>
      <c r="CF49" s="518">
        <v>1070.3771823423076</v>
      </c>
      <c r="CG49" s="519">
        <v>1134.5998132828461</v>
      </c>
      <c r="CH49" s="520">
        <v>5.38</v>
      </c>
      <c r="CI49" s="521">
        <v>5.4875999999999996</v>
      </c>
      <c r="CJ49" s="521">
        <v>5.5973519999999999</v>
      </c>
      <c r="CK49" s="521">
        <v>5.7092990400000003</v>
      </c>
      <c r="CL49" s="521">
        <v>2.5</v>
      </c>
      <c r="CM49" s="521">
        <v>2.5499999999999998</v>
      </c>
      <c r="CN49" s="521">
        <v>2.601</v>
      </c>
      <c r="CO49" s="521">
        <v>2.6530200000000002</v>
      </c>
      <c r="CP49" s="521">
        <v>2.7060804000000003</v>
      </c>
      <c r="CQ49" s="521">
        <v>2.7602020080000003</v>
      </c>
      <c r="CR49" s="521">
        <v>2.8154060481600003</v>
      </c>
      <c r="CS49" s="521">
        <v>2.8717141691232002</v>
      </c>
      <c r="CT49" s="521">
        <v>2.5</v>
      </c>
      <c r="CU49" s="521">
        <v>2.5499999999999998</v>
      </c>
      <c r="CV49" s="521">
        <v>2.601</v>
      </c>
      <c r="CW49" s="521">
        <v>2.6530200000000002</v>
      </c>
      <c r="CX49" s="521">
        <v>2.7060804000000003</v>
      </c>
      <c r="CY49" s="521">
        <v>2.7602020080000003</v>
      </c>
      <c r="CZ49" s="521">
        <v>2.8154060481600003</v>
      </c>
      <c r="DA49" s="522">
        <v>2.8717141691232002</v>
      </c>
      <c r="DB49" s="523">
        <v>0</v>
      </c>
      <c r="DC49" s="524">
        <v>0</v>
      </c>
      <c r="DD49" s="524">
        <v>0</v>
      </c>
      <c r="DE49" s="524">
        <v>0</v>
      </c>
      <c r="DF49" s="524">
        <v>-7.6169797152130653E-2</v>
      </c>
      <c r="DG49" s="524">
        <v>9.7787138111248839E-3</v>
      </c>
      <c r="DH49" s="524">
        <v>1.0819612739043472E-2</v>
      </c>
      <c r="DI49" s="524">
        <v>1.1969478120693655E-2</v>
      </c>
      <c r="DJ49" s="524">
        <v>1.3239581586431376E-2</v>
      </c>
      <c r="DK49" s="524">
        <v>1.2737083763176293</v>
      </c>
      <c r="DL49" s="524">
        <v>3.211747083531058E-4</v>
      </c>
      <c r="DM49" s="524">
        <v>2.3134694277515688E-4</v>
      </c>
      <c r="DN49" s="524">
        <v>-8.3827375759555095E-2</v>
      </c>
      <c r="DO49" s="524">
        <v>1.1721677883560488E-3</v>
      </c>
      <c r="DP49" s="524">
        <v>1.1571870692359543E-3</v>
      </c>
      <c r="DQ49" s="524">
        <v>1.1327747433368396E-3</v>
      </c>
      <c r="DR49" s="524">
        <v>1.0975144497645251E-3</v>
      </c>
      <c r="DS49" s="524">
        <v>0.17184095883521344</v>
      </c>
      <c r="DT49" s="524">
        <v>1.8646599934627472E-3</v>
      </c>
      <c r="DU49" s="525">
        <v>1.8963756440677493E-3</v>
      </c>
      <c r="DV49" s="526">
        <v>3.5</v>
      </c>
      <c r="DW49" s="507">
        <v>1</v>
      </c>
      <c r="DX49" s="509">
        <v>5.38</v>
      </c>
      <c r="DY49" s="507">
        <v>2</v>
      </c>
      <c r="DZ49" s="507">
        <v>5</v>
      </c>
      <c r="EA49" s="507">
        <v>0</v>
      </c>
      <c r="EB49" s="507">
        <v>0</v>
      </c>
      <c r="EC49" s="507">
        <v>111.62500000000001</v>
      </c>
      <c r="ED49" s="507">
        <v>102.18750000000001</v>
      </c>
      <c r="EE49" s="507">
        <v>0</v>
      </c>
      <c r="EF49" s="507">
        <v>25.062499999999996</v>
      </c>
      <c r="EG49" s="507">
        <v>29.3125</v>
      </c>
      <c r="EH49" s="507">
        <v>12.8125</v>
      </c>
      <c r="EI49" s="507">
        <v>16.6875</v>
      </c>
      <c r="EJ49" s="507">
        <v>56.4375</v>
      </c>
      <c r="EK49" s="507">
        <v>10.4375</v>
      </c>
      <c r="EL49" s="507">
        <v>10.4375</v>
      </c>
      <c r="EM49" s="508">
        <v>375</v>
      </c>
    </row>
    <row r="50" spans="2:143" x14ac:dyDescent="0.25">
      <c r="B50" s="506" t="str">
        <f>[1]RONET_Input!J21</f>
        <v xml:space="preserve">Input VPROMMS: 217b_1 (49.72 pct); 217B_1 (49.17 pct); 214TT00018 (0.55 pct); DHCM_1 (0.55 pct); </v>
      </c>
      <c r="C50" s="359">
        <f>[1]RONET_Input!B21</f>
        <v>19</v>
      </c>
      <c r="D50" s="397"/>
      <c r="E50" s="360"/>
      <c r="F50" s="360"/>
      <c r="G50" s="360"/>
      <c r="H50" s="360"/>
      <c r="I50" s="360"/>
      <c r="J50" s="360"/>
      <c r="K50" s="360"/>
      <c r="L50" s="360"/>
      <c r="M50" s="360"/>
      <c r="N50" s="360"/>
      <c r="O50" s="360"/>
      <c r="P50" s="442">
        <f>[1]RONET_Input!K21</f>
        <v>4.639154961530001</v>
      </c>
      <c r="Q50" s="398">
        <f>[1]RONET_Input!Y21</f>
        <v>2</v>
      </c>
      <c r="R50" s="398">
        <f>[1]RONET_Input!X21</f>
        <v>3.5</v>
      </c>
      <c r="S50" s="398"/>
      <c r="T50" s="398"/>
      <c r="U50" s="398">
        <f>[1]RONET_Input!AA21</f>
        <v>8</v>
      </c>
      <c r="V50" s="398">
        <f>[1]RONET_Input!AC21</f>
        <v>1</v>
      </c>
      <c r="W50" s="398">
        <f>[1]RONET_Input!AD21</f>
        <v>1</v>
      </c>
      <c r="X50" s="398">
        <f>[1]RONET_Input!AE21</f>
        <v>4</v>
      </c>
      <c r="Y50" s="398">
        <f>[1]RONET_Input!AB21</f>
        <v>1</v>
      </c>
      <c r="Z50" s="438">
        <f>[1]RONET_Input!Z21</f>
        <v>1</v>
      </c>
      <c r="AA50" s="442"/>
      <c r="AB50" s="398"/>
      <c r="AC50" s="438"/>
      <c r="AD50" s="442">
        <f>[1]RONET_Input!AH21</f>
        <v>4</v>
      </c>
      <c r="AE50" s="398">
        <f>[1]RONET_Input!D21</f>
        <v>8.7149999999999999</v>
      </c>
      <c r="AF50" s="398"/>
      <c r="AG50" s="398"/>
      <c r="AH50" s="398"/>
      <c r="AI50" s="438"/>
      <c r="AJ50" s="442">
        <v>1</v>
      </c>
      <c r="AK50" s="442">
        <f>[1]RONET_Input!AF21</f>
        <v>4</v>
      </c>
      <c r="AL50" s="507"/>
      <c r="AM50" s="507"/>
      <c r="AN50" s="507"/>
      <c r="AO50" s="507"/>
      <c r="AP50" s="507"/>
      <c r="AQ50" s="507"/>
      <c r="AR50" s="507"/>
      <c r="AS50" s="507"/>
      <c r="AT50" s="507"/>
      <c r="AU50" s="507"/>
      <c r="AV50" s="507"/>
      <c r="AW50" s="507"/>
      <c r="AX50" s="508"/>
      <c r="AY50" s="509">
        <f>[1]RONET_Input!AG21</f>
        <v>3</v>
      </c>
      <c r="AZ50" s="359" t="s">
        <v>321</v>
      </c>
      <c r="BA50" s="360" t="s">
        <v>502</v>
      </c>
      <c r="BB50" s="360" t="s">
        <v>443</v>
      </c>
      <c r="BC50" s="510">
        <v>0.23218970582457654</v>
      </c>
      <c r="BD50" s="510">
        <v>5.0049999999999997E-2</v>
      </c>
      <c r="BE50" s="438">
        <v>5</v>
      </c>
      <c r="BF50" s="511">
        <v>2.063657608598692</v>
      </c>
      <c r="BG50" s="512">
        <v>0.44483480843202838</v>
      </c>
      <c r="BH50" s="512">
        <v>8.8878083602802871</v>
      </c>
      <c r="BI50" s="513">
        <v>0</v>
      </c>
      <c r="BJ50" s="514">
        <v>375</v>
      </c>
      <c r="BK50" s="515">
        <v>0.22366666666666665</v>
      </c>
      <c r="BL50" s="512">
        <v>0.63498433535941889</v>
      </c>
      <c r="BM50" s="516">
        <v>3.2054071874999999E-2</v>
      </c>
      <c r="BN50" s="517">
        <v>375</v>
      </c>
      <c r="BO50" s="518">
        <v>397.50000000000011</v>
      </c>
      <c r="BP50" s="518">
        <v>421.34999999999991</v>
      </c>
      <c r="BQ50" s="518">
        <v>446.63099999999997</v>
      </c>
      <c r="BR50" s="518">
        <v>473.42885999999999</v>
      </c>
      <c r="BS50" s="518">
        <v>501.83459160000012</v>
      </c>
      <c r="BT50" s="518">
        <v>531.9446670960001</v>
      </c>
      <c r="BU50" s="518">
        <v>563.86134712175999</v>
      </c>
      <c r="BV50" s="518">
        <v>597.69302794906582</v>
      </c>
      <c r="BW50" s="518">
        <v>633.55460962600955</v>
      </c>
      <c r="BX50" s="518">
        <v>671.56788620357008</v>
      </c>
      <c r="BY50" s="518">
        <v>711.86195937578441</v>
      </c>
      <c r="BZ50" s="518">
        <v>754.57367693833146</v>
      </c>
      <c r="CA50" s="518">
        <v>799.84809755463141</v>
      </c>
      <c r="CB50" s="518">
        <v>847.83898340790915</v>
      </c>
      <c r="CC50" s="518">
        <v>898.70932241238381</v>
      </c>
      <c r="CD50" s="518">
        <v>952.63188175712685</v>
      </c>
      <c r="CE50" s="518">
        <v>1009.7897946625544</v>
      </c>
      <c r="CF50" s="518">
        <v>1070.3771823423076</v>
      </c>
      <c r="CG50" s="519">
        <v>1134.5998132828461</v>
      </c>
      <c r="CH50" s="520">
        <v>8.7149999999999999</v>
      </c>
      <c r="CI50" s="521">
        <v>8.8893000000000004</v>
      </c>
      <c r="CJ50" s="521">
        <v>9.0670859999999998</v>
      </c>
      <c r="CK50" s="521">
        <v>9.2484277200000005</v>
      </c>
      <c r="CL50" s="521">
        <v>2.5</v>
      </c>
      <c r="CM50" s="521">
        <v>2.5499999999999998</v>
      </c>
      <c r="CN50" s="521">
        <v>2.601</v>
      </c>
      <c r="CO50" s="521">
        <v>2.6530200000000002</v>
      </c>
      <c r="CP50" s="521">
        <v>2.7060804000000003</v>
      </c>
      <c r="CQ50" s="521">
        <v>2.7602020080000003</v>
      </c>
      <c r="CR50" s="521">
        <v>2.8154060481600003</v>
      </c>
      <c r="CS50" s="521">
        <v>2.8717141691232002</v>
      </c>
      <c r="CT50" s="521">
        <v>2.5</v>
      </c>
      <c r="CU50" s="521">
        <v>2.5499999999999998</v>
      </c>
      <c r="CV50" s="521">
        <v>2.601</v>
      </c>
      <c r="CW50" s="521">
        <v>2.6530200000000002</v>
      </c>
      <c r="CX50" s="521">
        <v>2.7060804000000003</v>
      </c>
      <c r="CY50" s="521">
        <v>2.7602020080000003</v>
      </c>
      <c r="CZ50" s="521">
        <v>2.8154060481600003</v>
      </c>
      <c r="DA50" s="522">
        <v>2.8717141691232002</v>
      </c>
      <c r="DB50" s="523">
        <v>0</v>
      </c>
      <c r="DC50" s="524">
        <v>0</v>
      </c>
      <c r="DD50" s="524">
        <v>0</v>
      </c>
      <c r="DE50" s="524">
        <v>0</v>
      </c>
      <c r="DF50" s="524">
        <v>-0.1431803141942779</v>
      </c>
      <c r="DG50" s="524">
        <v>7.5216335497090281E-2</v>
      </c>
      <c r="DH50" s="524">
        <v>8.305461957921928E-2</v>
      </c>
      <c r="DI50" s="524">
        <v>9.1702627237322587E-2</v>
      </c>
      <c r="DJ50" s="524">
        <v>0.10124352269010967</v>
      </c>
      <c r="DK50" s="524">
        <v>3.165942021307909</v>
      </c>
      <c r="DL50" s="524">
        <v>7.9831500228966235E-4</v>
      </c>
      <c r="DM50" s="524">
        <v>5.7503822794235937E-4</v>
      </c>
      <c r="DN50" s="524">
        <v>-0.20836214661664576</v>
      </c>
      <c r="DO50" s="524">
        <v>2.913551740869158E-3</v>
      </c>
      <c r="DP50" s="524">
        <v>2.876315518627659E-3</v>
      </c>
      <c r="DQ50" s="524">
        <v>2.8156360021549531E-3</v>
      </c>
      <c r="DR50" s="524">
        <v>2.727992670934376E-3</v>
      </c>
      <c r="DS50" s="524">
        <v>0.42712957115905459</v>
      </c>
      <c r="DT50" s="524">
        <v>4.6348171516487069E-3</v>
      </c>
      <c r="DU50" s="525">
        <v>4.713649883575699E-3</v>
      </c>
      <c r="DV50" s="526">
        <v>3.5</v>
      </c>
      <c r="DW50" s="507">
        <v>1</v>
      </c>
      <c r="DX50" s="509">
        <v>8.7149999999999999</v>
      </c>
      <c r="DY50" s="507">
        <v>2</v>
      </c>
      <c r="DZ50" s="507">
        <v>15</v>
      </c>
      <c r="EA50" s="507">
        <v>0</v>
      </c>
      <c r="EB50" s="507">
        <v>0</v>
      </c>
      <c r="EC50" s="507">
        <v>111.62500000000001</v>
      </c>
      <c r="ED50" s="507">
        <v>102.18750000000001</v>
      </c>
      <c r="EE50" s="507">
        <v>0</v>
      </c>
      <c r="EF50" s="507">
        <v>25.062499999999996</v>
      </c>
      <c r="EG50" s="507">
        <v>29.3125</v>
      </c>
      <c r="EH50" s="507">
        <v>12.8125</v>
      </c>
      <c r="EI50" s="507">
        <v>16.6875</v>
      </c>
      <c r="EJ50" s="507">
        <v>56.4375</v>
      </c>
      <c r="EK50" s="507">
        <v>10.4375</v>
      </c>
      <c r="EL50" s="507">
        <v>10.4375</v>
      </c>
      <c r="EM50" s="508">
        <v>375</v>
      </c>
    </row>
    <row r="51" spans="2:143" x14ac:dyDescent="0.25">
      <c r="B51" s="506" t="str">
        <f>[1]RONET_Input!J22</f>
        <v xml:space="preserve">Input VPROMMS: hcm_1 (50.94 pct); DHCM_1 (49.06 pct); </v>
      </c>
      <c r="C51" s="359">
        <f>[1]RONET_Input!B22</f>
        <v>20</v>
      </c>
      <c r="D51" s="397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442">
        <f>[1]RONET_Input!K22</f>
        <v>1.5247001636099999</v>
      </c>
      <c r="Q51" s="398">
        <f>[1]RONET_Input!Y22</f>
        <v>2</v>
      </c>
      <c r="R51" s="398">
        <f>[1]RONET_Input!X22</f>
        <v>3.5</v>
      </c>
      <c r="S51" s="398"/>
      <c r="T51" s="398"/>
      <c r="U51" s="398">
        <f>[1]RONET_Input!AA22</f>
        <v>8</v>
      </c>
      <c r="V51" s="398">
        <f>[1]RONET_Input!AC22</f>
        <v>1</v>
      </c>
      <c r="W51" s="398">
        <f>[1]RONET_Input!AD22</f>
        <v>1</v>
      </c>
      <c r="X51" s="398">
        <f>[1]RONET_Input!AE22</f>
        <v>4</v>
      </c>
      <c r="Y51" s="398">
        <f>[1]RONET_Input!AB22</f>
        <v>1</v>
      </c>
      <c r="Z51" s="438">
        <f>[1]RONET_Input!Z22</f>
        <v>1</v>
      </c>
      <c r="AA51" s="442"/>
      <c r="AB51" s="398"/>
      <c r="AC51" s="438"/>
      <c r="AD51" s="442">
        <f>[1]RONET_Input!AH22</f>
        <v>2</v>
      </c>
      <c r="AE51" s="398">
        <f>[1]RONET_Input!D22</f>
        <v>4.78</v>
      </c>
      <c r="AF51" s="398"/>
      <c r="AG51" s="398"/>
      <c r="AH51" s="398"/>
      <c r="AI51" s="438"/>
      <c r="AJ51" s="442">
        <v>1</v>
      </c>
      <c r="AK51" s="442">
        <f>[1]RONET_Input!AF22</f>
        <v>4</v>
      </c>
      <c r="AL51" s="507"/>
      <c r="AM51" s="507"/>
      <c r="AN51" s="507"/>
      <c r="AO51" s="507"/>
      <c r="AP51" s="507"/>
      <c r="AQ51" s="507"/>
      <c r="AR51" s="507"/>
      <c r="AS51" s="507"/>
      <c r="AT51" s="507"/>
      <c r="AU51" s="507"/>
      <c r="AV51" s="507"/>
      <c r="AW51" s="507"/>
      <c r="AX51" s="508"/>
      <c r="AY51" s="509">
        <f>[1]RONET_Input!AG22</f>
        <v>3</v>
      </c>
      <c r="AZ51" s="359" t="s">
        <v>321</v>
      </c>
      <c r="BA51" s="360" t="s">
        <v>502</v>
      </c>
      <c r="BB51" s="360" t="s">
        <v>443</v>
      </c>
      <c r="BC51" s="510">
        <v>7.6311243188680489E-2</v>
      </c>
      <c r="BD51" s="510">
        <v>5.0049999999999997E-2</v>
      </c>
      <c r="BE51" s="438">
        <v>6</v>
      </c>
      <c r="BF51" s="511">
        <v>0.60597219360014987</v>
      </c>
      <c r="BG51" s="512">
        <v>0.39743695715582694</v>
      </c>
      <c r="BH51" s="512">
        <v>7.9407983447717676</v>
      </c>
      <c r="BI51" s="513">
        <v>0</v>
      </c>
      <c r="BJ51" s="514">
        <v>375</v>
      </c>
      <c r="BK51" s="515">
        <v>0.22366666666666665</v>
      </c>
      <c r="BL51" s="512">
        <v>0.20869333489411873</v>
      </c>
      <c r="BM51" s="516">
        <v>3.2054071874999999E-2</v>
      </c>
      <c r="BN51" s="517">
        <v>375</v>
      </c>
      <c r="BO51" s="518">
        <v>397.50000000000011</v>
      </c>
      <c r="BP51" s="518">
        <v>421.34999999999991</v>
      </c>
      <c r="BQ51" s="518">
        <v>446.63099999999997</v>
      </c>
      <c r="BR51" s="518">
        <v>473.42885999999999</v>
      </c>
      <c r="BS51" s="518">
        <v>501.83459160000012</v>
      </c>
      <c r="BT51" s="518">
        <v>531.9446670960001</v>
      </c>
      <c r="BU51" s="518">
        <v>563.86134712175999</v>
      </c>
      <c r="BV51" s="518">
        <v>597.69302794906582</v>
      </c>
      <c r="BW51" s="518">
        <v>633.55460962600955</v>
      </c>
      <c r="BX51" s="518">
        <v>671.56788620357008</v>
      </c>
      <c r="BY51" s="518">
        <v>711.86195937578441</v>
      </c>
      <c r="BZ51" s="518">
        <v>754.57367693833146</v>
      </c>
      <c r="CA51" s="518">
        <v>799.84809755463141</v>
      </c>
      <c r="CB51" s="518">
        <v>847.83898340790915</v>
      </c>
      <c r="CC51" s="518">
        <v>898.70932241238381</v>
      </c>
      <c r="CD51" s="518">
        <v>952.63188175712685</v>
      </c>
      <c r="CE51" s="518">
        <v>1009.7897946625544</v>
      </c>
      <c r="CF51" s="518">
        <v>1070.3771823423076</v>
      </c>
      <c r="CG51" s="519">
        <v>1134.5998132828461</v>
      </c>
      <c r="CH51" s="520">
        <v>4.78</v>
      </c>
      <c r="CI51" s="521">
        <v>4.8756000000000004</v>
      </c>
      <c r="CJ51" s="521">
        <v>4.9731120000000004</v>
      </c>
      <c r="CK51" s="521">
        <v>5.0725742400000007</v>
      </c>
      <c r="CL51" s="521">
        <v>5.1740257248000008</v>
      </c>
      <c r="CM51" s="521">
        <v>2.5</v>
      </c>
      <c r="CN51" s="521">
        <v>2.5499999999999998</v>
      </c>
      <c r="CO51" s="521">
        <v>2.601</v>
      </c>
      <c r="CP51" s="521">
        <v>2.6530200000000002</v>
      </c>
      <c r="CQ51" s="521">
        <v>2.7060804000000003</v>
      </c>
      <c r="CR51" s="521">
        <v>2.7602020080000003</v>
      </c>
      <c r="CS51" s="521">
        <v>2.8154060481600003</v>
      </c>
      <c r="CT51" s="521">
        <v>2.8717141691232002</v>
      </c>
      <c r="CU51" s="521">
        <v>2.5</v>
      </c>
      <c r="CV51" s="521">
        <v>2.5499999999999998</v>
      </c>
      <c r="CW51" s="521">
        <v>2.601</v>
      </c>
      <c r="CX51" s="521">
        <v>2.6530200000000002</v>
      </c>
      <c r="CY51" s="521">
        <v>2.7060804000000003</v>
      </c>
      <c r="CZ51" s="521">
        <v>2.7602020080000003</v>
      </c>
      <c r="DA51" s="522">
        <v>2.8154060481600003</v>
      </c>
      <c r="DB51" s="523">
        <v>0</v>
      </c>
      <c r="DC51" s="524">
        <v>0</v>
      </c>
      <c r="DD51" s="524">
        <v>0</v>
      </c>
      <c r="DE51" s="524">
        <v>0</v>
      </c>
      <c r="DF51" s="524">
        <v>0</v>
      </c>
      <c r="DG51" s="524">
        <v>-6.3538367562856912E-2</v>
      </c>
      <c r="DH51" s="524">
        <v>6.5381968301743976E-3</v>
      </c>
      <c r="DI51" s="524">
        <v>7.2381865662459466E-3</v>
      </c>
      <c r="DJ51" s="524">
        <v>8.0117524224994907E-3</v>
      </c>
      <c r="DK51" s="524">
        <v>1.0406075151813867</v>
      </c>
      <c r="DL51" s="524">
        <v>3.6477280156038683E-4</v>
      </c>
      <c r="DM51" s="524">
        <v>3.028238818445772E-4</v>
      </c>
      <c r="DN51" s="524">
        <v>2.2861498473669695E-4</v>
      </c>
      <c r="DO51" s="524">
        <v>-6.8390005149041005E-2</v>
      </c>
      <c r="DP51" s="524">
        <v>1.0518503806300483E-3</v>
      </c>
      <c r="DQ51" s="524">
        <v>1.043959522364718E-3</v>
      </c>
      <c r="DR51" s="524">
        <v>1.0285236310458301E-3</v>
      </c>
      <c r="DS51" s="524">
        <v>0.14052676037840278</v>
      </c>
      <c r="DT51" s="524">
        <v>1.6864835392532695E-3</v>
      </c>
      <c r="DU51" s="525">
        <v>1.7306151062573827E-3</v>
      </c>
      <c r="DV51" s="526">
        <v>3.5</v>
      </c>
      <c r="DW51" s="507">
        <v>1</v>
      </c>
      <c r="DX51" s="509">
        <v>4.78</v>
      </c>
      <c r="DY51" s="507">
        <v>2</v>
      </c>
      <c r="DZ51" s="507">
        <v>5</v>
      </c>
      <c r="EA51" s="507">
        <v>0</v>
      </c>
      <c r="EB51" s="507">
        <v>0</v>
      </c>
      <c r="EC51" s="507">
        <v>111.62500000000001</v>
      </c>
      <c r="ED51" s="507">
        <v>102.18750000000001</v>
      </c>
      <c r="EE51" s="507">
        <v>0</v>
      </c>
      <c r="EF51" s="507">
        <v>25.062499999999996</v>
      </c>
      <c r="EG51" s="507">
        <v>29.3125</v>
      </c>
      <c r="EH51" s="507">
        <v>12.8125</v>
      </c>
      <c r="EI51" s="507">
        <v>16.6875</v>
      </c>
      <c r="EJ51" s="507">
        <v>56.4375</v>
      </c>
      <c r="EK51" s="507">
        <v>10.4375</v>
      </c>
      <c r="EL51" s="507">
        <v>10.4375</v>
      </c>
      <c r="EM51" s="508">
        <v>375</v>
      </c>
    </row>
    <row r="52" spans="2:143" x14ac:dyDescent="0.25">
      <c r="B52" s="506" t="str">
        <f>[1]RONET_Input!J23</f>
        <v>214TT00004</v>
      </c>
      <c r="C52" s="359">
        <f>[1]RONET_Input!B23</f>
        <v>21</v>
      </c>
      <c r="D52" s="397"/>
      <c r="E52" s="360"/>
      <c r="F52" s="360"/>
      <c r="G52" s="360"/>
      <c r="H52" s="360"/>
      <c r="I52" s="360"/>
      <c r="J52" s="360"/>
      <c r="K52" s="360"/>
      <c r="L52" s="360"/>
      <c r="M52" s="360"/>
      <c r="N52" s="360"/>
      <c r="O52" s="360"/>
      <c r="P52" s="442">
        <f>[1]RONET_Input!K23</f>
        <v>2.0631172438399998</v>
      </c>
      <c r="Q52" s="398">
        <f>[1]RONET_Input!Y23</f>
        <v>1</v>
      </c>
      <c r="R52" s="398">
        <f>[1]RONET_Input!X23</f>
        <v>3.4</v>
      </c>
      <c r="S52" s="398"/>
      <c r="T52" s="398"/>
      <c r="U52" s="398">
        <f>[1]RONET_Input!AA23</f>
        <v>8</v>
      </c>
      <c r="V52" s="398">
        <f>[1]RONET_Input!AC23</f>
        <v>1</v>
      </c>
      <c r="W52" s="398">
        <f>[1]RONET_Input!AD23</f>
        <v>1</v>
      </c>
      <c r="X52" s="398">
        <f>[1]RONET_Input!AE23</f>
        <v>4</v>
      </c>
      <c r="Y52" s="398">
        <f>[1]RONET_Input!AB23</f>
        <v>1</v>
      </c>
      <c r="Z52" s="438">
        <f>[1]RONET_Input!Z23</f>
        <v>1</v>
      </c>
      <c r="AA52" s="442"/>
      <c r="AB52" s="398"/>
      <c r="AC52" s="438"/>
      <c r="AD52" s="442">
        <f>[1]RONET_Input!AH23</f>
        <v>5</v>
      </c>
      <c r="AE52" s="398">
        <f>[1]RONET_Input!D23</f>
        <v>12.99</v>
      </c>
      <c r="AF52" s="398"/>
      <c r="AG52" s="398"/>
      <c r="AH52" s="398"/>
      <c r="AI52" s="438"/>
      <c r="AJ52" s="442">
        <v>1</v>
      </c>
      <c r="AK52" s="442">
        <f>[1]RONET_Input!AF23</f>
        <v>4</v>
      </c>
      <c r="AL52" s="507"/>
      <c r="AM52" s="507"/>
      <c r="AN52" s="507"/>
      <c r="AO52" s="507"/>
      <c r="AP52" s="507"/>
      <c r="AQ52" s="507"/>
      <c r="AR52" s="507"/>
      <c r="AS52" s="507"/>
      <c r="AT52" s="507"/>
      <c r="AU52" s="507"/>
      <c r="AV52" s="507"/>
      <c r="AW52" s="507"/>
      <c r="AX52" s="508"/>
      <c r="AY52" s="509">
        <f>[1]RONET_Input!AG23</f>
        <v>3</v>
      </c>
      <c r="AZ52" s="359" t="s">
        <v>321</v>
      </c>
      <c r="BA52" s="360" t="s">
        <v>502</v>
      </c>
      <c r="BB52" s="360" t="s">
        <v>443</v>
      </c>
      <c r="BC52" s="510">
        <v>0.1003087603955008</v>
      </c>
      <c r="BD52" s="510">
        <v>4.8620000000000003E-2</v>
      </c>
      <c r="BE52" s="438">
        <v>1</v>
      </c>
      <c r="BF52" s="511">
        <v>1.2709282724933566</v>
      </c>
      <c r="BG52" s="512">
        <v>0.61602329013925905</v>
      </c>
      <c r="BH52" s="512">
        <v>12.670162281761806</v>
      </c>
      <c r="BI52" s="513">
        <v>0</v>
      </c>
      <c r="BJ52" s="514">
        <v>375</v>
      </c>
      <c r="BK52" s="515">
        <v>0.22366666666666665</v>
      </c>
      <c r="BL52" s="512">
        <v>0.28238917275059999</v>
      </c>
      <c r="BM52" s="516">
        <v>6.4108143749999999E-2</v>
      </c>
      <c r="BN52" s="517">
        <v>375</v>
      </c>
      <c r="BO52" s="518">
        <v>397.50000000000011</v>
      </c>
      <c r="BP52" s="518">
        <v>421.34999999999991</v>
      </c>
      <c r="BQ52" s="518">
        <v>446.63099999999997</v>
      </c>
      <c r="BR52" s="518">
        <v>473.42885999999999</v>
      </c>
      <c r="BS52" s="518">
        <v>501.83459160000012</v>
      </c>
      <c r="BT52" s="518">
        <v>531.9446670960001</v>
      </c>
      <c r="BU52" s="518">
        <v>563.86134712175999</v>
      </c>
      <c r="BV52" s="518">
        <v>597.69302794906582</v>
      </c>
      <c r="BW52" s="518">
        <v>633.55460962600955</v>
      </c>
      <c r="BX52" s="518">
        <v>671.56788620357008</v>
      </c>
      <c r="BY52" s="518">
        <v>711.86195937578441</v>
      </c>
      <c r="BZ52" s="518">
        <v>754.57367693833146</v>
      </c>
      <c r="CA52" s="518">
        <v>799.84809755463141</v>
      </c>
      <c r="CB52" s="518">
        <v>847.83898340790915</v>
      </c>
      <c r="CC52" s="518">
        <v>898.70932241238381</v>
      </c>
      <c r="CD52" s="518">
        <v>952.63188175712685</v>
      </c>
      <c r="CE52" s="518">
        <v>1009.7897946625544</v>
      </c>
      <c r="CF52" s="518">
        <v>1070.3771823423076</v>
      </c>
      <c r="CG52" s="519">
        <v>1134.5998132828461</v>
      </c>
      <c r="CH52" s="520">
        <v>2.5</v>
      </c>
      <c r="CI52" s="521">
        <v>2.5499999999999998</v>
      </c>
      <c r="CJ52" s="521">
        <v>2.601</v>
      </c>
      <c r="CK52" s="521">
        <v>2.6530200000000002</v>
      </c>
      <c r="CL52" s="521">
        <v>2.7060804000000003</v>
      </c>
      <c r="CM52" s="521">
        <v>2.7602020080000003</v>
      </c>
      <c r="CN52" s="521">
        <v>2.8154060481600003</v>
      </c>
      <c r="CO52" s="521">
        <v>2.8717141691232002</v>
      </c>
      <c r="CP52" s="521">
        <v>2.5</v>
      </c>
      <c r="CQ52" s="521">
        <v>2.5499999999999998</v>
      </c>
      <c r="CR52" s="521">
        <v>2.601</v>
      </c>
      <c r="CS52" s="521">
        <v>2.6530200000000002</v>
      </c>
      <c r="CT52" s="521">
        <v>2.7060804000000003</v>
      </c>
      <c r="CU52" s="521">
        <v>2.7602020080000003</v>
      </c>
      <c r="CV52" s="521">
        <v>2.8154060481600003</v>
      </c>
      <c r="CW52" s="521">
        <v>2.8717141691232002</v>
      </c>
      <c r="CX52" s="521">
        <v>2.5</v>
      </c>
      <c r="CY52" s="521">
        <v>2.5499999999999998</v>
      </c>
      <c r="CZ52" s="521">
        <v>2.601</v>
      </c>
      <c r="DA52" s="522">
        <v>2.6530200000000002</v>
      </c>
      <c r="DB52" s="523">
        <v>-4.2407173669502363E-2</v>
      </c>
      <c r="DC52" s="524">
        <v>5.3808625238704555E-2</v>
      </c>
      <c r="DD52" s="524">
        <v>5.9234889830808768E-2</v>
      </c>
      <c r="DE52" s="524">
        <v>6.5199319752591051E-2</v>
      </c>
      <c r="DF52" s="524">
        <v>7.1752318658043435E-2</v>
      </c>
      <c r="DG52" s="524">
        <v>7.8947994740171223E-2</v>
      </c>
      <c r="DH52" s="524">
        <v>8.6844091424198105E-2</v>
      </c>
      <c r="DI52" s="524">
        <v>9.5501786145500117E-2</v>
      </c>
      <c r="DJ52" s="524">
        <v>1.4839529188797218E-2</v>
      </c>
      <c r="DK52" s="524">
        <v>1.4142640453714204</v>
      </c>
      <c r="DL52" s="524">
        <v>6.8157728724995426E-3</v>
      </c>
      <c r="DM52" s="524">
        <v>6.8749138576025826E-3</v>
      </c>
      <c r="DN52" s="524">
        <v>6.9257331919050924E-3</v>
      </c>
      <c r="DO52" s="524">
        <v>6.9665979140403622E-3</v>
      </c>
      <c r="DP52" s="524">
        <v>6.9956687216145563E-3</v>
      </c>
      <c r="DQ52" s="524">
        <v>7.010877229403023E-3</v>
      </c>
      <c r="DR52" s="524">
        <v>-8.2461759867060891E-2</v>
      </c>
      <c r="DS52" s="524">
        <v>0.19778225487168732</v>
      </c>
      <c r="DT52" s="524">
        <v>1.0128813867238129E-2</v>
      </c>
      <c r="DU52" s="525">
        <v>1.0416395554675106E-2</v>
      </c>
      <c r="DV52" s="526">
        <v>3.4</v>
      </c>
      <c r="DW52" s="507">
        <v>1</v>
      </c>
      <c r="DX52" s="509">
        <v>12.99</v>
      </c>
      <c r="DY52" s="507">
        <v>2</v>
      </c>
      <c r="DZ52" s="507">
        <v>20</v>
      </c>
      <c r="EA52" s="507">
        <v>0</v>
      </c>
      <c r="EB52" s="507">
        <v>0</v>
      </c>
      <c r="EC52" s="507">
        <v>111.62500000000001</v>
      </c>
      <c r="ED52" s="507">
        <v>102.18750000000001</v>
      </c>
      <c r="EE52" s="507">
        <v>0</v>
      </c>
      <c r="EF52" s="507">
        <v>25.062499999999996</v>
      </c>
      <c r="EG52" s="507">
        <v>29.3125</v>
      </c>
      <c r="EH52" s="507">
        <v>12.8125</v>
      </c>
      <c r="EI52" s="507">
        <v>16.6875</v>
      </c>
      <c r="EJ52" s="507">
        <v>56.4375</v>
      </c>
      <c r="EK52" s="507">
        <v>10.4375</v>
      </c>
      <c r="EL52" s="507">
        <v>10.4375</v>
      </c>
      <c r="EM52" s="508">
        <v>375</v>
      </c>
    </row>
    <row r="53" spans="2:143" x14ac:dyDescent="0.25">
      <c r="B53" s="506" t="str">
        <f>[1]RONET_Input!J24</f>
        <v xml:space="preserve">Input VPROMMS: 212th00023 (66.67 pct); 212TH00023 (33.33 pct); </v>
      </c>
      <c r="C53" s="359">
        <f>[1]RONET_Input!B24</f>
        <v>22</v>
      </c>
      <c r="D53" s="397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442">
        <f>[1]RONET_Input!K24</f>
        <v>3.7571437000299999</v>
      </c>
      <c r="Q53" s="398">
        <f>[1]RONET_Input!Y24</f>
        <v>2</v>
      </c>
      <c r="R53" s="398">
        <f>[1]RONET_Input!X24</f>
        <v>3.5</v>
      </c>
      <c r="S53" s="398"/>
      <c r="T53" s="398"/>
      <c r="U53" s="398">
        <f>[1]RONET_Input!AA24</f>
        <v>8</v>
      </c>
      <c r="V53" s="398">
        <f>[1]RONET_Input!AC24</f>
        <v>1</v>
      </c>
      <c r="W53" s="398">
        <f>[1]RONET_Input!AD24</f>
        <v>1</v>
      </c>
      <c r="X53" s="398">
        <f>[1]RONET_Input!AE24</f>
        <v>4</v>
      </c>
      <c r="Y53" s="398">
        <f>[1]RONET_Input!AB24</f>
        <v>1</v>
      </c>
      <c r="Z53" s="438">
        <f>[1]RONET_Input!Z24</f>
        <v>1</v>
      </c>
      <c r="AA53" s="442"/>
      <c r="AB53" s="398"/>
      <c r="AC53" s="438"/>
      <c r="AD53" s="442">
        <f>[1]RONET_Input!AH24</f>
        <v>4</v>
      </c>
      <c r="AE53" s="398">
        <f>[1]RONET_Input!D24</f>
        <v>8.1300000000000008</v>
      </c>
      <c r="AF53" s="398"/>
      <c r="AG53" s="398"/>
      <c r="AH53" s="398"/>
      <c r="AI53" s="438"/>
      <c r="AJ53" s="442">
        <v>1</v>
      </c>
      <c r="AK53" s="442">
        <f>[1]RONET_Input!AF24</f>
        <v>4</v>
      </c>
      <c r="AL53" s="507"/>
      <c r="AM53" s="507"/>
      <c r="AN53" s="507"/>
      <c r="AO53" s="507"/>
      <c r="AP53" s="507"/>
      <c r="AQ53" s="507"/>
      <c r="AR53" s="507"/>
      <c r="AS53" s="507"/>
      <c r="AT53" s="507"/>
      <c r="AU53" s="507"/>
      <c r="AV53" s="507"/>
      <c r="AW53" s="507"/>
      <c r="AX53" s="508"/>
      <c r="AY53" s="509">
        <f>[1]RONET_Input!AG24</f>
        <v>3</v>
      </c>
      <c r="AZ53" s="359" t="s">
        <v>321</v>
      </c>
      <c r="BA53" s="360" t="s">
        <v>502</v>
      </c>
      <c r="BB53" s="360" t="s">
        <v>443</v>
      </c>
      <c r="BC53" s="510">
        <v>0.18804504218650148</v>
      </c>
      <c r="BD53" s="510">
        <v>5.0049999999999997E-2</v>
      </c>
      <c r="BE53" s="438">
        <v>5</v>
      </c>
      <c r="BF53" s="511">
        <v>1.6375970125217827</v>
      </c>
      <c r="BG53" s="512">
        <v>0.43586222494197036</v>
      </c>
      <c r="BH53" s="512">
        <v>8.7085359628765318</v>
      </c>
      <c r="BI53" s="513">
        <v>0</v>
      </c>
      <c r="BJ53" s="514">
        <v>375</v>
      </c>
      <c r="BK53" s="515">
        <v>0.22366666666666665</v>
      </c>
      <c r="BL53" s="512">
        <v>0.51425904394160626</v>
      </c>
      <c r="BM53" s="516">
        <v>3.2054071874999999E-2</v>
      </c>
      <c r="BN53" s="517">
        <v>375</v>
      </c>
      <c r="BO53" s="518">
        <v>397.50000000000011</v>
      </c>
      <c r="BP53" s="518">
        <v>421.34999999999991</v>
      </c>
      <c r="BQ53" s="518">
        <v>446.63099999999997</v>
      </c>
      <c r="BR53" s="518">
        <v>473.42885999999999</v>
      </c>
      <c r="BS53" s="518">
        <v>501.83459160000012</v>
      </c>
      <c r="BT53" s="518">
        <v>531.9446670960001</v>
      </c>
      <c r="BU53" s="518">
        <v>563.86134712175999</v>
      </c>
      <c r="BV53" s="518">
        <v>597.69302794906582</v>
      </c>
      <c r="BW53" s="518">
        <v>633.55460962600955</v>
      </c>
      <c r="BX53" s="518">
        <v>671.56788620357008</v>
      </c>
      <c r="BY53" s="518">
        <v>711.86195937578441</v>
      </c>
      <c r="BZ53" s="518">
        <v>754.57367693833146</v>
      </c>
      <c r="CA53" s="518">
        <v>799.84809755463141</v>
      </c>
      <c r="CB53" s="518">
        <v>847.83898340790915</v>
      </c>
      <c r="CC53" s="518">
        <v>898.70932241238381</v>
      </c>
      <c r="CD53" s="518">
        <v>952.63188175712685</v>
      </c>
      <c r="CE53" s="518">
        <v>1009.7897946625544</v>
      </c>
      <c r="CF53" s="518">
        <v>1070.3771823423076</v>
      </c>
      <c r="CG53" s="519">
        <v>1134.5998132828461</v>
      </c>
      <c r="CH53" s="520">
        <v>8.1300000000000008</v>
      </c>
      <c r="CI53" s="521">
        <v>8.2926000000000002</v>
      </c>
      <c r="CJ53" s="521">
        <v>8.4584519999999994</v>
      </c>
      <c r="CK53" s="521">
        <v>8.6276210399999993</v>
      </c>
      <c r="CL53" s="521">
        <v>2.5</v>
      </c>
      <c r="CM53" s="521">
        <v>2.5499999999999998</v>
      </c>
      <c r="CN53" s="521">
        <v>2.601</v>
      </c>
      <c r="CO53" s="521">
        <v>2.6530200000000002</v>
      </c>
      <c r="CP53" s="521">
        <v>2.7060804000000003</v>
      </c>
      <c r="CQ53" s="521">
        <v>2.7602020080000003</v>
      </c>
      <c r="CR53" s="521">
        <v>2.8154060481600003</v>
      </c>
      <c r="CS53" s="521">
        <v>2.8717141691232002</v>
      </c>
      <c r="CT53" s="521">
        <v>2.5</v>
      </c>
      <c r="CU53" s="521">
        <v>2.5499999999999998</v>
      </c>
      <c r="CV53" s="521">
        <v>2.601</v>
      </c>
      <c r="CW53" s="521">
        <v>2.6530200000000002</v>
      </c>
      <c r="CX53" s="521">
        <v>2.7060804000000003</v>
      </c>
      <c r="CY53" s="521">
        <v>2.7602020080000003</v>
      </c>
      <c r="CZ53" s="521">
        <v>2.8154060481600003</v>
      </c>
      <c r="DA53" s="522">
        <v>2.8717141691232002</v>
      </c>
      <c r="DB53" s="523">
        <v>0</v>
      </c>
      <c r="DC53" s="524">
        <v>0</v>
      </c>
      <c r="DD53" s="524">
        <v>0</v>
      </c>
      <c r="DE53" s="524">
        <v>0</v>
      </c>
      <c r="DF53" s="524">
        <v>-0.12381055381790956</v>
      </c>
      <c r="DG53" s="524">
        <v>5.2256598886804784E-2</v>
      </c>
      <c r="DH53" s="524">
        <v>5.7714681020464564E-2</v>
      </c>
      <c r="DI53" s="524">
        <v>6.3737340545065746E-2</v>
      </c>
      <c r="DJ53" s="524">
        <v>7.0382633860659516E-2</v>
      </c>
      <c r="DK53" s="524">
        <v>2.5640228055874852</v>
      </c>
      <c r="DL53" s="524">
        <v>6.4653675213788286E-4</v>
      </c>
      <c r="DM53" s="524">
        <v>4.6571008584667117E-4</v>
      </c>
      <c r="DN53" s="524">
        <v>-0.16874765619540183</v>
      </c>
      <c r="DO53" s="524">
        <v>2.3596177878714153E-3</v>
      </c>
      <c r="DP53" s="524">
        <v>2.3294610375650393E-3</v>
      </c>
      <c r="DQ53" s="524">
        <v>2.2803181085344626E-3</v>
      </c>
      <c r="DR53" s="524">
        <v>2.2093378130978447E-3</v>
      </c>
      <c r="DS53" s="524">
        <v>0.34592230496381093</v>
      </c>
      <c r="DT53" s="524">
        <v>3.7536306087013749E-3</v>
      </c>
      <c r="DU53" s="525">
        <v>3.8174754046979009E-3</v>
      </c>
      <c r="DV53" s="526">
        <v>3.5</v>
      </c>
      <c r="DW53" s="507">
        <v>1</v>
      </c>
      <c r="DX53" s="509">
        <v>8.1300000000000008</v>
      </c>
      <c r="DY53" s="507">
        <v>2</v>
      </c>
      <c r="DZ53" s="507">
        <v>15</v>
      </c>
      <c r="EA53" s="507">
        <v>0</v>
      </c>
      <c r="EB53" s="507">
        <v>0</v>
      </c>
      <c r="EC53" s="507">
        <v>111.62500000000001</v>
      </c>
      <c r="ED53" s="507">
        <v>102.18750000000001</v>
      </c>
      <c r="EE53" s="507">
        <v>0</v>
      </c>
      <c r="EF53" s="507">
        <v>25.062499999999996</v>
      </c>
      <c r="EG53" s="507">
        <v>29.3125</v>
      </c>
      <c r="EH53" s="507">
        <v>12.8125</v>
      </c>
      <c r="EI53" s="507">
        <v>16.6875</v>
      </c>
      <c r="EJ53" s="507">
        <v>56.4375</v>
      </c>
      <c r="EK53" s="507">
        <v>10.4375</v>
      </c>
      <c r="EL53" s="507">
        <v>10.4375</v>
      </c>
      <c r="EM53" s="508">
        <v>375</v>
      </c>
    </row>
    <row r="54" spans="2:143" x14ac:dyDescent="0.25">
      <c r="B54" s="506" t="str">
        <f>[1]RONET_Input!J25</f>
        <v>214TT00004</v>
      </c>
      <c r="C54" s="359">
        <f>[1]RONET_Input!B25</f>
        <v>23</v>
      </c>
      <c r="D54" s="397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0"/>
      <c r="P54" s="442">
        <f>[1]RONET_Input!K25</f>
        <v>0.71171367427800003</v>
      </c>
      <c r="Q54" s="398">
        <f>[1]RONET_Input!Y25</f>
        <v>1</v>
      </c>
      <c r="R54" s="398">
        <f>[1]RONET_Input!X25</f>
        <v>3.4</v>
      </c>
      <c r="S54" s="398"/>
      <c r="T54" s="398"/>
      <c r="U54" s="398">
        <f>[1]RONET_Input!AA25</f>
        <v>8</v>
      </c>
      <c r="V54" s="398">
        <f>[1]RONET_Input!AC25</f>
        <v>1</v>
      </c>
      <c r="W54" s="398">
        <f>[1]RONET_Input!AD25</f>
        <v>1</v>
      </c>
      <c r="X54" s="398">
        <f>[1]RONET_Input!AE25</f>
        <v>4</v>
      </c>
      <c r="Y54" s="398">
        <f>[1]RONET_Input!AB25</f>
        <v>1</v>
      </c>
      <c r="Z54" s="438">
        <f>[1]RONET_Input!Z25</f>
        <v>1</v>
      </c>
      <c r="AA54" s="442"/>
      <c r="AB54" s="398"/>
      <c r="AC54" s="438"/>
      <c r="AD54" s="442">
        <f>[1]RONET_Input!AH25</f>
        <v>3</v>
      </c>
      <c r="AE54" s="398">
        <f>[1]RONET_Input!D25</f>
        <v>0</v>
      </c>
      <c r="AF54" s="398"/>
      <c r="AG54" s="398"/>
      <c r="AH54" s="398"/>
      <c r="AI54" s="438"/>
      <c r="AJ54" s="442">
        <v>1</v>
      </c>
      <c r="AK54" s="442">
        <f>[1]RONET_Input!AF25</f>
        <v>4</v>
      </c>
      <c r="AL54" s="507"/>
      <c r="AM54" s="507"/>
      <c r="AN54" s="507"/>
      <c r="AO54" s="507"/>
      <c r="AP54" s="507"/>
      <c r="AQ54" s="507"/>
      <c r="AR54" s="507"/>
      <c r="AS54" s="507"/>
      <c r="AT54" s="507"/>
      <c r="AU54" s="507"/>
      <c r="AV54" s="507"/>
      <c r="AW54" s="507"/>
      <c r="AX54" s="508"/>
      <c r="AY54" s="509">
        <f>[1]RONET_Input!AG25</f>
        <v>3</v>
      </c>
      <c r="AZ54" s="359" t="s">
        <v>321</v>
      </c>
      <c r="BA54" s="360" t="s">
        <v>502</v>
      </c>
      <c r="BB54" s="360" t="s">
        <v>443</v>
      </c>
      <c r="BC54" s="510">
        <v>3.4603518843396366E-2</v>
      </c>
      <c r="BD54" s="510">
        <v>4.8620000000000003E-2</v>
      </c>
      <c r="BE54" s="438">
        <v>6</v>
      </c>
      <c r="BF54" s="511">
        <v>0.29454701328102018</v>
      </c>
      <c r="BG54" s="512">
        <v>0.41385605465544023</v>
      </c>
      <c r="BH54" s="512">
        <v>8.5120537773640521</v>
      </c>
      <c r="BI54" s="513">
        <v>0</v>
      </c>
      <c r="BJ54" s="514">
        <v>375</v>
      </c>
      <c r="BK54" s="515">
        <v>0.22366666666666665</v>
      </c>
      <c r="BL54" s="512">
        <v>9.7415809166801259E-2</v>
      </c>
      <c r="BM54" s="516">
        <v>6.4108143749999999E-2</v>
      </c>
      <c r="BN54" s="517">
        <v>375</v>
      </c>
      <c r="BO54" s="518">
        <v>397.50000000000011</v>
      </c>
      <c r="BP54" s="518">
        <v>421.34999999999991</v>
      </c>
      <c r="BQ54" s="518">
        <v>446.63099999999997</v>
      </c>
      <c r="BR54" s="518">
        <v>473.42885999999999</v>
      </c>
      <c r="BS54" s="518">
        <v>501.83459160000012</v>
      </c>
      <c r="BT54" s="518">
        <v>531.9446670960001</v>
      </c>
      <c r="BU54" s="518">
        <v>563.86134712175999</v>
      </c>
      <c r="BV54" s="518">
        <v>597.69302794906582</v>
      </c>
      <c r="BW54" s="518">
        <v>633.55460962600955</v>
      </c>
      <c r="BX54" s="518">
        <v>671.56788620357008</v>
      </c>
      <c r="BY54" s="518">
        <v>711.86195937578441</v>
      </c>
      <c r="BZ54" s="518">
        <v>754.57367693833146</v>
      </c>
      <c r="CA54" s="518">
        <v>799.84809755463141</v>
      </c>
      <c r="CB54" s="518">
        <v>847.83898340790915</v>
      </c>
      <c r="CC54" s="518">
        <v>898.70932241238381</v>
      </c>
      <c r="CD54" s="518">
        <v>952.63188175712685</v>
      </c>
      <c r="CE54" s="518">
        <v>1009.7897946625544</v>
      </c>
      <c r="CF54" s="518">
        <v>1070.3771823423076</v>
      </c>
      <c r="CG54" s="519">
        <v>1134.5998132828461</v>
      </c>
      <c r="CH54" s="520">
        <v>4.5</v>
      </c>
      <c r="CI54" s="521">
        <v>4.59</v>
      </c>
      <c r="CJ54" s="521">
        <v>4.6818</v>
      </c>
      <c r="CK54" s="521">
        <v>4.775436</v>
      </c>
      <c r="CL54" s="521">
        <v>4.8709447199999998</v>
      </c>
      <c r="CM54" s="521">
        <v>2.5</v>
      </c>
      <c r="CN54" s="521">
        <v>2.5499999999999998</v>
      </c>
      <c r="CO54" s="521">
        <v>2.601</v>
      </c>
      <c r="CP54" s="521">
        <v>2.6530200000000002</v>
      </c>
      <c r="CQ54" s="521">
        <v>2.7060804000000003</v>
      </c>
      <c r="CR54" s="521">
        <v>2.7602020080000003</v>
      </c>
      <c r="CS54" s="521">
        <v>2.8154060481600003</v>
      </c>
      <c r="CT54" s="521">
        <v>2.8717141691232002</v>
      </c>
      <c r="CU54" s="521">
        <v>2.5</v>
      </c>
      <c r="CV54" s="521">
        <v>2.5499999999999998</v>
      </c>
      <c r="CW54" s="521">
        <v>2.601</v>
      </c>
      <c r="CX54" s="521">
        <v>2.6530200000000002</v>
      </c>
      <c r="CY54" s="521">
        <v>2.7060804000000003</v>
      </c>
      <c r="CZ54" s="521">
        <v>2.7602020080000003</v>
      </c>
      <c r="DA54" s="522">
        <v>2.8154060481600003</v>
      </c>
      <c r="DB54" s="523">
        <v>0</v>
      </c>
      <c r="DC54" s="524">
        <v>0</v>
      </c>
      <c r="DD54" s="524">
        <v>0</v>
      </c>
      <c r="DE54" s="524">
        <v>0</v>
      </c>
      <c r="DF54" s="524">
        <v>0</v>
      </c>
      <c r="DG54" s="524">
        <v>-2.8834327134078228E-2</v>
      </c>
      <c r="DH54" s="524">
        <v>2.9294836009324254E-3</v>
      </c>
      <c r="DI54" s="524">
        <v>3.2321875125164018E-3</v>
      </c>
      <c r="DJ54" s="524">
        <v>3.5658368783703376E-3</v>
      </c>
      <c r="DK54" s="524">
        <v>0.48773319033901319</v>
      </c>
      <c r="DL54" s="524">
        <v>2.1902809062560175E-3</v>
      </c>
      <c r="DM54" s="524">
        <v>2.1936817842958117E-3</v>
      </c>
      <c r="DN54" s="524">
        <v>2.1924440467863404E-3</v>
      </c>
      <c r="DO54" s="524">
        <v>-2.8779324111961296E-2</v>
      </c>
      <c r="DP54" s="524">
        <v>2.7523393353162395E-3</v>
      </c>
      <c r="DQ54" s="524">
        <v>2.7933949737642128E-3</v>
      </c>
      <c r="DR54" s="524">
        <v>2.8325908606631062E-3</v>
      </c>
      <c r="DS54" s="524">
        <v>6.7996957320063611E-2</v>
      </c>
      <c r="DT54" s="524">
        <v>3.2375970499458617E-3</v>
      </c>
      <c r="DU54" s="525">
        <v>3.3097071244433951E-3</v>
      </c>
      <c r="DV54" s="526">
        <v>3.4</v>
      </c>
      <c r="DW54" s="507">
        <v>1</v>
      </c>
      <c r="DX54" s="509">
        <v>4.5</v>
      </c>
      <c r="DY54" s="507">
        <v>2</v>
      </c>
      <c r="DZ54" s="507">
        <v>10</v>
      </c>
      <c r="EA54" s="507">
        <v>0</v>
      </c>
      <c r="EB54" s="507">
        <v>0</v>
      </c>
      <c r="EC54" s="507">
        <v>111.62500000000001</v>
      </c>
      <c r="ED54" s="507">
        <v>102.18750000000001</v>
      </c>
      <c r="EE54" s="507">
        <v>0</v>
      </c>
      <c r="EF54" s="507">
        <v>25.062499999999996</v>
      </c>
      <c r="EG54" s="507">
        <v>29.3125</v>
      </c>
      <c r="EH54" s="507">
        <v>12.8125</v>
      </c>
      <c r="EI54" s="507">
        <v>16.6875</v>
      </c>
      <c r="EJ54" s="507">
        <v>56.4375</v>
      </c>
      <c r="EK54" s="507">
        <v>10.4375</v>
      </c>
      <c r="EL54" s="507">
        <v>10.4375</v>
      </c>
      <c r="EM54" s="508">
        <v>375</v>
      </c>
    </row>
    <row r="55" spans="2:143" x14ac:dyDescent="0.25">
      <c r="B55" s="506" t="str">
        <f>[1]RONET_Input!J26</f>
        <v>214TT00004</v>
      </c>
      <c r="C55" s="359">
        <f>[1]RONET_Input!B26</f>
        <v>24</v>
      </c>
      <c r="D55" s="397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442">
        <f>[1]RONET_Input!K26</f>
        <v>3.2614046858500001E-2</v>
      </c>
      <c r="Q55" s="398">
        <f>[1]RONET_Input!Y26</f>
        <v>1</v>
      </c>
      <c r="R55" s="398">
        <f>[1]RONET_Input!X26</f>
        <v>3.4</v>
      </c>
      <c r="S55" s="398"/>
      <c r="T55" s="398"/>
      <c r="U55" s="398">
        <f>[1]RONET_Input!AA26</f>
        <v>8</v>
      </c>
      <c r="V55" s="398">
        <f>[1]RONET_Input!AC26</f>
        <v>1</v>
      </c>
      <c r="W55" s="398">
        <f>[1]RONET_Input!AD26</f>
        <v>1</v>
      </c>
      <c r="X55" s="398">
        <f>[1]RONET_Input!AE26</f>
        <v>4</v>
      </c>
      <c r="Y55" s="398">
        <f>[1]RONET_Input!AB26</f>
        <v>1</v>
      </c>
      <c r="Z55" s="438">
        <f>[1]RONET_Input!Z26</f>
        <v>1</v>
      </c>
      <c r="AA55" s="442"/>
      <c r="AB55" s="398"/>
      <c r="AC55" s="438"/>
      <c r="AD55" s="442">
        <f>[1]RONET_Input!AH26</f>
        <v>3</v>
      </c>
      <c r="AE55" s="398">
        <f>[1]RONET_Input!D26</f>
        <v>0</v>
      </c>
      <c r="AF55" s="398"/>
      <c r="AG55" s="398"/>
      <c r="AH55" s="398"/>
      <c r="AI55" s="438"/>
      <c r="AJ55" s="442">
        <v>1</v>
      </c>
      <c r="AK55" s="442">
        <f>[1]RONET_Input!AF26</f>
        <v>4</v>
      </c>
      <c r="AL55" s="507"/>
      <c r="AM55" s="507"/>
      <c r="AN55" s="507"/>
      <c r="AO55" s="507"/>
      <c r="AP55" s="507"/>
      <c r="AQ55" s="507"/>
      <c r="AR55" s="507"/>
      <c r="AS55" s="507"/>
      <c r="AT55" s="507"/>
      <c r="AU55" s="507"/>
      <c r="AV55" s="507"/>
      <c r="AW55" s="507"/>
      <c r="AX55" s="508"/>
      <c r="AY55" s="509">
        <f>[1]RONET_Input!AG26</f>
        <v>3</v>
      </c>
      <c r="AZ55" s="359" t="s">
        <v>321</v>
      </c>
      <c r="BA55" s="360" t="s">
        <v>502</v>
      </c>
      <c r="BB55" s="360" t="s">
        <v>443</v>
      </c>
      <c r="BC55" s="510">
        <v>1.5856949582602701E-3</v>
      </c>
      <c r="BD55" s="510">
        <v>4.8620000000000003E-2</v>
      </c>
      <c r="BE55" s="438">
        <v>6</v>
      </c>
      <c r="BF55" s="511">
        <v>1.3497520759206473E-2</v>
      </c>
      <c r="BG55" s="512">
        <v>0.41385605465544045</v>
      </c>
      <c r="BH55" s="512">
        <v>8.5120537773640574</v>
      </c>
      <c r="BI55" s="513">
        <v>0</v>
      </c>
      <c r="BJ55" s="514">
        <v>375</v>
      </c>
      <c r="BK55" s="515">
        <v>0.22366666666666665</v>
      </c>
      <c r="BL55" s="512">
        <v>4.4640476637571877E-3</v>
      </c>
      <c r="BM55" s="516">
        <v>6.4108143749999999E-2</v>
      </c>
      <c r="BN55" s="517">
        <v>375</v>
      </c>
      <c r="BO55" s="518">
        <v>397.50000000000011</v>
      </c>
      <c r="BP55" s="518">
        <v>421.34999999999991</v>
      </c>
      <c r="BQ55" s="518">
        <v>446.63099999999997</v>
      </c>
      <c r="BR55" s="518">
        <v>473.42885999999999</v>
      </c>
      <c r="BS55" s="518">
        <v>501.83459160000012</v>
      </c>
      <c r="BT55" s="518">
        <v>531.9446670960001</v>
      </c>
      <c r="BU55" s="518">
        <v>563.86134712175999</v>
      </c>
      <c r="BV55" s="518">
        <v>597.69302794906582</v>
      </c>
      <c r="BW55" s="518">
        <v>633.55460962600955</v>
      </c>
      <c r="BX55" s="518">
        <v>671.56788620357008</v>
      </c>
      <c r="BY55" s="518">
        <v>711.86195937578441</v>
      </c>
      <c r="BZ55" s="518">
        <v>754.57367693833146</v>
      </c>
      <c r="CA55" s="518">
        <v>799.84809755463141</v>
      </c>
      <c r="CB55" s="518">
        <v>847.83898340790915</v>
      </c>
      <c r="CC55" s="518">
        <v>898.70932241238381</v>
      </c>
      <c r="CD55" s="518">
        <v>952.63188175712685</v>
      </c>
      <c r="CE55" s="518">
        <v>1009.7897946625544</v>
      </c>
      <c r="CF55" s="518">
        <v>1070.3771823423076</v>
      </c>
      <c r="CG55" s="519">
        <v>1134.5998132828461</v>
      </c>
      <c r="CH55" s="520">
        <v>4.5</v>
      </c>
      <c r="CI55" s="521">
        <v>4.59</v>
      </c>
      <c r="CJ55" s="521">
        <v>4.6818</v>
      </c>
      <c r="CK55" s="521">
        <v>4.775436</v>
      </c>
      <c r="CL55" s="521">
        <v>4.8709447199999998</v>
      </c>
      <c r="CM55" s="521">
        <v>2.5</v>
      </c>
      <c r="CN55" s="521">
        <v>2.5499999999999998</v>
      </c>
      <c r="CO55" s="521">
        <v>2.601</v>
      </c>
      <c r="CP55" s="521">
        <v>2.6530200000000002</v>
      </c>
      <c r="CQ55" s="521">
        <v>2.7060804000000003</v>
      </c>
      <c r="CR55" s="521">
        <v>2.7602020080000003</v>
      </c>
      <c r="CS55" s="521">
        <v>2.8154060481600003</v>
      </c>
      <c r="CT55" s="521">
        <v>2.8717141691232002</v>
      </c>
      <c r="CU55" s="521">
        <v>2.5</v>
      </c>
      <c r="CV55" s="521">
        <v>2.5499999999999998</v>
      </c>
      <c r="CW55" s="521">
        <v>2.601</v>
      </c>
      <c r="CX55" s="521">
        <v>2.6530200000000002</v>
      </c>
      <c r="CY55" s="521">
        <v>2.7060804000000003</v>
      </c>
      <c r="CZ55" s="521">
        <v>2.7602020080000003</v>
      </c>
      <c r="DA55" s="522">
        <v>2.8154060481600003</v>
      </c>
      <c r="DB55" s="523">
        <v>0</v>
      </c>
      <c r="DC55" s="524">
        <v>0</v>
      </c>
      <c r="DD55" s="524">
        <v>0</v>
      </c>
      <c r="DE55" s="524">
        <v>0</v>
      </c>
      <c r="DF55" s="524">
        <v>0</v>
      </c>
      <c r="DG55" s="524">
        <v>-1.3213236309364733E-3</v>
      </c>
      <c r="DH55" s="524">
        <v>1.3424262998591513E-4</v>
      </c>
      <c r="DI55" s="524">
        <v>1.4811393794787915E-4</v>
      </c>
      <c r="DJ55" s="524">
        <v>1.6340331125282203E-4</v>
      </c>
      <c r="DK55" s="524">
        <v>2.2350214277250091E-2</v>
      </c>
      <c r="DL55" s="524">
        <v>1.0036890773860432E-4</v>
      </c>
      <c r="DM55" s="524">
        <v>1.0052475186491305E-4</v>
      </c>
      <c r="DN55" s="524">
        <v>1.0046803294747313E-4</v>
      </c>
      <c r="DO55" s="524">
        <v>-1.3188031353980091E-3</v>
      </c>
      <c r="DP55" s="524">
        <v>1.2612505182446956E-4</v>
      </c>
      <c r="DQ55" s="524">
        <v>1.2800641305798274E-4</v>
      </c>
      <c r="DR55" s="524">
        <v>1.2980255178368302E-4</v>
      </c>
      <c r="DS55" s="524">
        <v>3.115938378620709E-3</v>
      </c>
      <c r="DT55" s="524">
        <v>1.4836182823520141E-4</v>
      </c>
      <c r="DU55" s="525">
        <v>1.5166624886617762E-4</v>
      </c>
      <c r="DV55" s="526">
        <v>3.4</v>
      </c>
      <c r="DW55" s="507">
        <v>1</v>
      </c>
      <c r="DX55" s="509">
        <v>4.5</v>
      </c>
      <c r="DY55" s="507">
        <v>2</v>
      </c>
      <c r="DZ55" s="507">
        <v>10</v>
      </c>
      <c r="EA55" s="507">
        <v>0</v>
      </c>
      <c r="EB55" s="507">
        <v>0</v>
      </c>
      <c r="EC55" s="507">
        <v>111.62500000000001</v>
      </c>
      <c r="ED55" s="507">
        <v>102.18750000000001</v>
      </c>
      <c r="EE55" s="507">
        <v>0</v>
      </c>
      <c r="EF55" s="507">
        <v>25.062499999999996</v>
      </c>
      <c r="EG55" s="507">
        <v>29.3125</v>
      </c>
      <c r="EH55" s="507">
        <v>12.8125</v>
      </c>
      <c r="EI55" s="507">
        <v>16.6875</v>
      </c>
      <c r="EJ55" s="507">
        <v>56.4375</v>
      </c>
      <c r="EK55" s="507">
        <v>10.4375</v>
      </c>
      <c r="EL55" s="507">
        <v>10.4375</v>
      </c>
      <c r="EM55" s="508">
        <v>375</v>
      </c>
    </row>
    <row r="56" spans="2:143" x14ac:dyDescent="0.25">
      <c r="B56" s="506" t="str">
        <f>[1]RONET_Input!J27</f>
        <v xml:space="preserve">Input VPROMMS: 212th00023 (65.49 pct); 212TH00023 (32.74 pct); 214TT00052 (1.33 pct); 214TT00005 (0.44 pct); </v>
      </c>
      <c r="C56" s="359">
        <f>[1]RONET_Input!B27</f>
        <v>25</v>
      </c>
      <c r="D56" s="397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/>
      <c r="P56" s="442">
        <f>[1]RONET_Input!K27</f>
        <v>3.3729691428800002</v>
      </c>
      <c r="Q56" s="398">
        <f>[1]RONET_Input!Y27</f>
        <v>2</v>
      </c>
      <c r="R56" s="398">
        <f>[1]RONET_Input!X27</f>
        <v>3.5</v>
      </c>
      <c r="S56" s="398"/>
      <c r="T56" s="398"/>
      <c r="U56" s="398">
        <f>[1]RONET_Input!AA27</f>
        <v>8</v>
      </c>
      <c r="V56" s="398">
        <f>[1]RONET_Input!AC27</f>
        <v>1</v>
      </c>
      <c r="W56" s="398">
        <f>[1]RONET_Input!AD27</f>
        <v>1</v>
      </c>
      <c r="X56" s="398">
        <f>[1]RONET_Input!AE27</f>
        <v>4</v>
      </c>
      <c r="Y56" s="398">
        <f>[1]RONET_Input!AB27</f>
        <v>1</v>
      </c>
      <c r="Z56" s="438">
        <f>[1]RONET_Input!Z27</f>
        <v>1</v>
      </c>
      <c r="AA56" s="442"/>
      <c r="AB56" s="398"/>
      <c r="AC56" s="438"/>
      <c r="AD56" s="442">
        <f>[1]RONET_Input!AH27</f>
        <v>4</v>
      </c>
      <c r="AE56" s="398">
        <f>[1]RONET_Input!D27</f>
        <v>8.32</v>
      </c>
      <c r="AF56" s="398"/>
      <c r="AG56" s="398"/>
      <c r="AH56" s="398"/>
      <c r="AI56" s="438"/>
      <c r="AJ56" s="442">
        <v>1</v>
      </c>
      <c r="AK56" s="442">
        <f>[1]RONET_Input!AF27</f>
        <v>4</v>
      </c>
      <c r="AL56" s="507"/>
      <c r="AM56" s="507"/>
      <c r="AN56" s="507"/>
      <c r="AO56" s="507"/>
      <c r="AP56" s="507"/>
      <c r="AQ56" s="507"/>
      <c r="AR56" s="507"/>
      <c r="AS56" s="507"/>
      <c r="AT56" s="507"/>
      <c r="AU56" s="507"/>
      <c r="AV56" s="507"/>
      <c r="AW56" s="507"/>
      <c r="AX56" s="508"/>
      <c r="AY56" s="509">
        <f>[1]RONET_Input!AG27</f>
        <v>3</v>
      </c>
      <c r="AZ56" s="359" t="s">
        <v>321</v>
      </c>
      <c r="BA56" s="360" t="s">
        <v>502</v>
      </c>
      <c r="BB56" s="360" t="s">
        <v>443</v>
      </c>
      <c r="BC56" s="510">
        <v>0.16881710560114402</v>
      </c>
      <c r="BD56" s="510">
        <v>5.0050000000000004E-2</v>
      </c>
      <c r="BE56" s="438">
        <v>5</v>
      </c>
      <c r="BF56" s="511">
        <v>1.4797493886779154</v>
      </c>
      <c r="BG56" s="512">
        <v>0.43870824961488841</v>
      </c>
      <c r="BH56" s="512">
        <v>8.7653995927050623</v>
      </c>
      <c r="BI56" s="513">
        <v>0</v>
      </c>
      <c r="BJ56" s="514">
        <v>375</v>
      </c>
      <c r="BK56" s="515">
        <v>0.22366666666666665</v>
      </c>
      <c r="BL56" s="512">
        <v>0.46167515143170001</v>
      </c>
      <c r="BM56" s="516">
        <v>3.2054071874999999E-2</v>
      </c>
      <c r="BN56" s="517">
        <v>375</v>
      </c>
      <c r="BO56" s="518">
        <v>397.50000000000011</v>
      </c>
      <c r="BP56" s="518">
        <v>421.34999999999991</v>
      </c>
      <c r="BQ56" s="518">
        <v>446.63099999999997</v>
      </c>
      <c r="BR56" s="518">
        <v>473.42885999999999</v>
      </c>
      <c r="BS56" s="518">
        <v>501.83459160000012</v>
      </c>
      <c r="BT56" s="518">
        <v>531.9446670960001</v>
      </c>
      <c r="BU56" s="518">
        <v>563.86134712175999</v>
      </c>
      <c r="BV56" s="518">
        <v>597.69302794906582</v>
      </c>
      <c r="BW56" s="518">
        <v>633.55460962600955</v>
      </c>
      <c r="BX56" s="518">
        <v>671.56788620357008</v>
      </c>
      <c r="BY56" s="518">
        <v>711.86195937578441</v>
      </c>
      <c r="BZ56" s="518">
        <v>754.57367693833146</v>
      </c>
      <c r="CA56" s="518">
        <v>799.84809755463141</v>
      </c>
      <c r="CB56" s="518">
        <v>847.83898340790915</v>
      </c>
      <c r="CC56" s="518">
        <v>898.70932241238381</v>
      </c>
      <c r="CD56" s="518">
        <v>952.63188175712685</v>
      </c>
      <c r="CE56" s="518">
        <v>1009.7897946625544</v>
      </c>
      <c r="CF56" s="518">
        <v>1070.3771823423076</v>
      </c>
      <c r="CG56" s="519">
        <v>1134.5998132828461</v>
      </c>
      <c r="CH56" s="520">
        <v>8.32</v>
      </c>
      <c r="CI56" s="521">
        <v>8.4863999999999997</v>
      </c>
      <c r="CJ56" s="521">
        <v>8.6561279999999989</v>
      </c>
      <c r="CK56" s="521">
        <v>8.8292505599999984</v>
      </c>
      <c r="CL56" s="521">
        <v>2.5</v>
      </c>
      <c r="CM56" s="521">
        <v>2.5499999999999998</v>
      </c>
      <c r="CN56" s="521">
        <v>2.601</v>
      </c>
      <c r="CO56" s="521">
        <v>2.6530200000000002</v>
      </c>
      <c r="CP56" s="521">
        <v>2.7060804000000003</v>
      </c>
      <c r="CQ56" s="521">
        <v>2.7602020080000003</v>
      </c>
      <c r="CR56" s="521">
        <v>2.8154060481600003</v>
      </c>
      <c r="CS56" s="521">
        <v>2.8717141691232002</v>
      </c>
      <c r="CT56" s="521">
        <v>2.5</v>
      </c>
      <c r="CU56" s="521">
        <v>2.5499999999999998</v>
      </c>
      <c r="CV56" s="521">
        <v>2.601</v>
      </c>
      <c r="CW56" s="521">
        <v>2.6530200000000002</v>
      </c>
      <c r="CX56" s="521">
        <v>2.7060804000000003</v>
      </c>
      <c r="CY56" s="521">
        <v>2.7602020080000003</v>
      </c>
      <c r="CZ56" s="521">
        <v>2.8154060481600003</v>
      </c>
      <c r="DA56" s="522">
        <v>2.8717141691232002</v>
      </c>
      <c r="DB56" s="523">
        <v>0</v>
      </c>
      <c r="DC56" s="524">
        <v>0</v>
      </c>
      <c r="DD56" s="524">
        <v>0</v>
      </c>
      <c r="DE56" s="524">
        <v>0</v>
      </c>
      <c r="DF56" s="524">
        <v>-0.10891488621177392</v>
      </c>
      <c r="DG56" s="524">
        <v>4.9379009416134378E-2</v>
      </c>
      <c r="DH56" s="524">
        <v>5.453248848990222E-2</v>
      </c>
      <c r="DI56" s="524">
        <v>6.0218804425689443E-2</v>
      </c>
      <c r="DJ56" s="524">
        <v>6.6492732980297065E-2</v>
      </c>
      <c r="DK56" s="524">
        <v>2.3018469601836462</v>
      </c>
      <c r="DL56" s="524">
        <v>5.8042723111217942E-4</v>
      </c>
      <c r="DM56" s="524">
        <v>4.1809040976420464E-4</v>
      </c>
      <c r="DN56" s="524">
        <v>-0.15149291129744891</v>
      </c>
      <c r="DO56" s="524">
        <v>2.1183427153498302E-3</v>
      </c>
      <c r="DP56" s="524">
        <v>2.0912695458480957E-3</v>
      </c>
      <c r="DQ56" s="524">
        <v>2.0471515678188723E-3</v>
      </c>
      <c r="DR56" s="524">
        <v>1.9834291325396824E-3</v>
      </c>
      <c r="DS56" s="524">
        <v>0.31055114034300668</v>
      </c>
      <c r="DT56" s="524">
        <v>3.3698152713239615E-3</v>
      </c>
      <c r="DU56" s="525">
        <v>3.4271318245416849E-3</v>
      </c>
      <c r="DV56" s="526">
        <v>3.5</v>
      </c>
      <c r="DW56" s="507">
        <v>1</v>
      </c>
      <c r="DX56" s="509">
        <v>8.32</v>
      </c>
      <c r="DY56" s="507">
        <v>2</v>
      </c>
      <c r="DZ56" s="507">
        <v>15</v>
      </c>
      <c r="EA56" s="507">
        <v>0</v>
      </c>
      <c r="EB56" s="507">
        <v>0</v>
      </c>
      <c r="EC56" s="507">
        <v>111.62500000000001</v>
      </c>
      <c r="ED56" s="507">
        <v>102.18750000000001</v>
      </c>
      <c r="EE56" s="507">
        <v>0</v>
      </c>
      <c r="EF56" s="507">
        <v>25.062499999999996</v>
      </c>
      <c r="EG56" s="507">
        <v>29.3125</v>
      </c>
      <c r="EH56" s="507">
        <v>12.8125</v>
      </c>
      <c r="EI56" s="507">
        <v>16.6875</v>
      </c>
      <c r="EJ56" s="507">
        <v>56.4375</v>
      </c>
      <c r="EK56" s="507">
        <v>10.4375</v>
      </c>
      <c r="EL56" s="507">
        <v>10.4375</v>
      </c>
      <c r="EM56" s="508">
        <v>375</v>
      </c>
    </row>
    <row r="57" spans="2:143" x14ac:dyDescent="0.25">
      <c r="B57" s="506" t="str">
        <f>[1]RONET_Input!J28</f>
        <v>214TT00017</v>
      </c>
      <c r="C57" s="359">
        <f>[1]RONET_Input!B28</f>
        <v>26</v>
      </c>
      <c r="D57" s="397"/>
      <c r="E57" s="360"/>
      <c r="F57" s="360"/>
      <c r="G57" s="360"/>
      <c r="H57" s="360"/>
      <c r="I57" s="360"/>
      <c r="J57" s="360"/>
      <c r="K57" s="360"/>
      <c r="L57" s="360"/>
      <c r="M57" s="360"/>
      <c r="N57" s="360"/>
      <c r="O57" s="360"/>
      <c r="P57" s="442">
        <f>[1]RONET_Input!K28</f>
        <v>2.7545185923900002</v>
      </c>
      <c r="Q57" s="398">
        <f>[1]RONET_Input!Y28</f>
        <v>1</v>
      </c>
      <c r="R57" s="398">
        <f>[1]RONET_Input!X28</f>
        <v>3.4</v>
      </c>
      <c r="S57" s="398"/>
      <c r="T57" s="398"/>
      <c r="U57" s="398">
        <f>[1]RONET_Input!AA28</f>
        <v>8</v>
      </c>
      <c r="V57" s="398">
        <f>[1]RONET_Input!AC28</f>
        <v>1</v>
      </c>
      <c r="W57" s="398">
        <f>[1]RONET_Input!AD28</f>
        <v>1</v>
      </c>
      <c r="X57" s="398">
        <f>[1]RONET_Input!AE28</f>
        <v>4</v>
      </c>
      <c r="Y57" s="398">
        <f>[1]RONET_Input!AB28</f>
        <v>1</v>
      </c>
      <c r="Z57" s="438">
        <f>[1]RONET_Input!Z28</f>
        <v>1</v>
      </c>
      <c r="AA57" s="442"/>
      <c r="AB57" s="398"/>
      <c r="AC57" s="438"/>
      <c r="AD57" s="442">
        <f>[1]RONET_Input!AH28</f>
        <v>4</v>
      </c>
      <c r="AE57" s="398">
        <f>[1]RONET_Input!D28</f>
        <v>8.3849999999999998</v>
      </c>
      <c r="AF57" s="398"/>
      <c r="AG57" s="398"/>
      <c r="AH57" s="398"/>
      <c r="AI57" s="438"/>
      <c r="AJ57" s="442">
        <v>1</v>
      </c>
      <c r="AK57" s="442">
        <f>[1]RONET_Input!AF28</f>
        <v>4</v>
      </c>
      <c r="AL57" s="507"/>
      <c r="AM57" s="507"/>
      <c r="AN57" s="507"/>
      <c r="AO57" s="507"/>
      <c r="AP57" s="507"/>
      <c r="AQ57" s="507"/>
      <c r="AR57" s="507"/>
      <c r="AS57" s="507"/>
      <c r="AT57" s="507"/>
      <c r="AU57" s="507"/>
      <c r="AV57" s="507"/>
      <c r="AW57" s="507"/>
      <c r="AX57" s="508"/>
      <c r="AY57" s="509">
        <f>[1]RONET_Input!AG28</f>
        <v>3</v>
      </c>
      <c r="AZ57" s="359" t="s">
        <v>321</v>
      </c>
      <c r="BA57" s="360" t="s">
        <v>502</v>
      </c>
      <c r="BB57" s="360" t="s">
        <v>443</v>
      </c>
      <c r="BC57" s="510">
        <v>0.13392469396200182</v>
      </c>
      <c r="BD57" s="510">
        <v>4.8620000000000003E-2</v>
      </c>
      <c r="BE57" s="438">
        <v>5</v>
      </c>
      <c r="BF57" s="511">
        <v>1.2672006071026938</v>
      </c>
      <c r="BG57" s="512">
        <v>0.46004431068413582</v>
      </c>
      <c r="BH57" s="512">
        <v>9.462038475609539</v>
      </c>
      <c r="BI57" s="513">
        <v>0</v>
      </c>
      <c r="BJ57" s="514">
        <v>375</v>
      </c>
      <c r="BK57" s="515">
        <v>0.22366666666666665</v>
      </c>
      <c r="BL57" s="512">
        <v>0.3770247323333813</v>
      </c>
      <c r="BM57" s="516">
        <v>6.4108143749999999E-2</v>
      </c>
      <c r="BN57" s="517">
        <v>375</v>
      </c>
      <c r="BO57" s="518">
        <v>397.50000000000011</v>
      </c>
      <c r="BP57" s="518">
        <v>421.34999999999991</v>
      </c>
      <c r="BQ57" s="518">
        <v>446.63099999999997</v>
      </c>
      <c r="BR57" s="518">
        <v>473.42885999999999</v>
      </c>
      <c r="BS57" s="518">
        <v>501.83459160000012</v>
      </c>
      <c r="BT57" s="518">
        <v>531.9446670960001</v>
      </c>
      <c r="BU57" s="518">
        <v>563.86134712175999</v>
      </c>
      <c r="BV57" s="518">
        <v>597.69302794906582</v>
      </c>
      <c r="BW57" s="518">
        <v>633.55460962600955</v>
      </c>
      <c r="BX57" s="518">
        <v>671.56788620357008</v>
      </c>
      <c r="BY57" s="518">
        <v>711.86195937578441</v>
      </c>
      <c r="BZ57" s="518">
        <v>754.57367693833146</v>
      </c>
      <c r="CA57" s="518">
        <v>799.84809755463141</v>
      </c>
      <c r="CB57" s="518">
        <v>847.83898340790915</v>
      </c>
      <c r="CC57" s="518">
        <v>898.70932241238381</v>
      </c>
      <c r="CD57" s="518">
        <v>952.63188175712685</v>
      </c>
      <c r="CE57" s="518">
        <v>1009.7897946625544</v>
      </c>
      <c r="CF57" s="518">
        <v>1070.3771823423076</v>
      </c>
      <c r="CG57" s="519">
        <v>1134.5998132828461</v>
      </c>
      <c r="CH57" s="520">
        <v>8.3849999999999998</v>
      </c>
      <c r="CI57" s="521">
        <v>8.5526999999999997</v>
      </c>
      <c r="CJ57" s="521">
        <v>8.7237539999999996</v>
      </c>
      <c r="CK57" s="521">
        <v>8.8982290800000001</v>
      </c>
      <c r="CL57" s="521">
        <v>2.5</v>
      </c>
      <c r="CM57" s="521">
        <v>2.5499999999999998</v>
      </c>
      <c r="CN57" s="521">
        <v>2.601</v>
      </c>
      <c r="CO57" s="521">
        <v>2.6530200000000002</v>
      </c>
      <c r="CP57" s="521">
        <v>2.7060804000000003</v>
      </c>
      <c r="CQ57" s="521">
        <v>2.7602020080000003</v>
      </c>
      <c r="CR57" s="521">
        <v>2.8154060481600003</v>
      </c>
      <c r="CS57" s="521">
        <v>2.8717141691232002</v>
      </c>
      <c r="CT57" s="521">
        <v>2.5</v>
      </c>
      <c r="CU57" s="521">
        <v>2.5499999999999998</v>
      </c>
      <c r="CV57" s="521">
        <v>2.601</v>
      </c>
      <c r="CW57" s="521">
        <v>2.6530200000000002</v>
      </c>
      <c r="CX57" s="521">
        <v>2.7060804000000003</v>
      </c>
      <c r="CY57" s="521">
        <v>2.7602020080000003</v>
      </c>
      <c r="CZ57" s="521">
        <v>2.8154060481600003</v>
      </c>
      <c r="DA57" s="522">
        <v>2.8717141691232002</v>
      </c>
      <c r="DB57" s="523">
        <v>0</v>
      </c>
      <c r="DC57" s="524">
        <v>0</v>
      </c>
      <c r="DD57" s="524">
        <v>0</v>
      </c>
      <c r="DE57" s="524">
        <v>0</v>
      </c>
      <c r="DF57" s="524">
        <v>-8.2394024759498752E-2</v>
      </c>
      <c r="DG57" s="524">
        <v>4.349447829383446E-2</v>
      </c>
      <c r="DH57" s="524">
        <v>4.7918160510056956E-2</v>
      </c>
      <c r="DI57" s="524">
        <v>5.2789545678018079E-2</v>
      </c>
      <c r="DJ57" s="524">
        <v>5.8153821751301293E-2</v>
      </c>
      <c r="DK57" s="524">
        <v>1.8874511571494292</v>
      </c>
      <c r="DL57" s="524">
        <v>8.2512073920167905E-3</v>
      </c>
      <c r="DM57" s="524">
        <v>8.2405935595692426E-3</v>
      </c>
      <c r="DN57" s="524">
        <v>-0.11174848553352951</v>
      </c>
      <c r="DO57" s="524">
        <v>1.0270310456542697E-2</v>
      </c>
      <c r="DP57" s="524">
        <v>1.0411551936596652E-2</v>
      </c>
      <c r="DQ57" s="524">
        <v>1.054494282686963E-2</v>
      </c>
      <c r="DR57" s="524">
        <v>1.0668477387371977E-2</v>
      </c>
      <c r="DS57" s="524">
        <v>0.26284057131413147</v>
      </c>
      <c r="DT57" s="524">
        <v>1.217053187017203E-2</v>
      </c>
      <c r="DU57" s="525">
        <v>1.2411721244968366E-2</v>
      </c>
      <c r="DV57" s="526">
        <v>3.4</v>
      </c>
      <c r="DW57" s="507">
        <v>1</v>
      </c>
      <c r="DX57" s="509">
        <v>8.3849999999999998</v>
      </c>
      <c r="DY57" s="507">
        <v>2</v>
      </c>
      <c r="DZ57" s="507">
        <v>15</v>
      </c>
      <c r="EA57" s="507">
        <v>0</v>
      </c>
      <c r="EB57" s="507">
        <v>0</v>
      </c>
      <c r="EC57" s="507">
        <v>111.62500000000001</v>
      </c>
      <c r="ED57" s="507">
        <v>102.18750000000001</v>
      </c>
      <c r="EE57" s="507">
        <v>0</v>
      </c>
      <c r="EF57" s="507">
        <v>25.062499999999996</v>
      </c>
      <c r="EG57" s="507">
        <v>29.3125</v>
      </c>
      <c r="EH57" s="507">
        <v>12.8125</v>
      </c>
      <c r="EI57" s="507">
        <v>16.6875</v>
      </c>
      <c r="EJ57" s="507">
        <v>56.4375</v>
      </c>
      <c r="EK57" s="507">
        <v>10.4375</v>
      </c>
      <c r="EL57" s="507">
        <v>10.4375</v>
      </c>
      <c r="EM57" s="508">
        <v>375</v>
      </c>
    </row>
    <row r="58" spans="2:143" x14ac:dyDescent="0.25">
      <c r="B58" s="506" t="str">
        <f>[1]RONET_Input!J29</f>
        <v xml:space="preserve">Input VPROMMS: 217B_1 (49.12 pct); 217b_1 (49.12 pct); 214TT00017 (1.75 pct); </v>
      </c>
      <c r="C58" s="359">
        <f>[1]RONET_Input!B29</f>
        <v>27</v>
      </c>
      <c r="D58" s="397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0"/>
      <c r="P58" s="442">
        <f>[1]RONET_Input!K29</f>
        <v>2.8189025174800002</v>
      </c>
      <c r="Q58" s="398">
        <f>[1]RONET_Input!Y29</f>
        <v>2</v>
      </c>
      <c r="R58" s="398">
        <f>[1]RONET_Input!X29</f>
        <v>3.5</v>
      </c>
      <c r="S58" s="398"/>
      <c r="T58" s="398"/>
      <c r="U58" s="398">
        <f>[1]RONET_Input!AA29</f>
        <v>8</v>
      </c>
      <c r="V58" s="398">
        <f>[1]RONET_Input!AC29</f>
        <v>1</v>
      </c>
      <c r="W58" s="398">
        <f>[1]RONET_Input!AD29</f>
        <v>1</v>
      </c>
      <c r="X58" s="398">
        <f>[1]RONET_Input!AE29</f>
        <v>4</v>
      </c>
      <c r="Y58" s="398">
        <f>[1]RONET_Input!AB29</f>
        <v>1</v>
      </c>
      <c r="Z58" s="438">
        <f>[1]RONET_Input!Z29</f>
        <v>1</v>
      </c>
      <c r="AA58" s="442"/>
      <c r="AB58" s="398"/>
      <c r="AC58" s="438"/>
      <c r="AD58" s="442">
        <f>[1]RONET_Input!AH29</f>
        <v>4</v>
      </c>
      <c r="AE58" s="398">
        <f>[1]RONET_Input!D29</f>
        <v>8.07</v>
      </c>
      <c r="AF58" s="398"/>
      <c r="AG58" s="398"/>
      <c r="AH58" s="398"/>
      <c r="AI58" s="438"/>
      <c r="AJ58" s="442">
        <v>1</v>
      </c>
      <c r="AK58" s="442">
        <f>[1]RONET_Input!AF29</f>
        <v>4</v>
      </c>
      <c r="AL58" s="507"/>
      <c r="AM58" s="507"/>
      <c r="AN58" s="507"/>
      <c r="AO58" s="507"/>
      <c r="AP58" s="507"/>
      <c r="AQ58" s="507"/>
      <c r="AR58" s="507"/>
      <c r="AS58" s="507"/>
      <c r="AT58" s="507"/>
      <c r="AU58" s="507"/>
      <c r="AV58" s="507"/>
      <c r="AW58" s="507"/>
      <c r="AX58" s="508"/>
      <c r="AY58" s="509">
        <f>[1]RONET_Input!AG29</f>
        <v>3</v>
      </c>
      <c r="AZ58" s="359" t="s">
        <v>321</v>
      </c>
      <c r="BA58" s="360" t="s">
        <v>502</v>
      </c>
      <c r="BB58" s="360" t="s">
        <v>443</v>
      </c>
      <c r="BC58" s="510">
        <v>0.14108607099987405</v>
      </c>
      <c r="BD58" s="510">
        <v>5.0050000000000018E-2</v>
      </c>
      <c r="BE58" s="438">
        <v>5</v>
      </c>
      <c r="BF58" s="511">
        <v>1.2261581111459505</v>
      </c>
      <c r="BG58" s="512">
        <v>0.43497712444561326</v>
      </c>
      <c r="BH58" s="512">
        <v>8.6908516372749869</v>
      </c>
      <c r="BI58" s="513">
        <v>0</v>
      </c>
      <c r="BJ58" s="514">
        <v>375</v>
      </c>
      <c r="BK58" s="515">
        <v>0.22366666666666665</v>
      </c>
      <c r="BL58" s="512">
        <v>0.38583728208007506</v>
      </c>
      <c r="BM58" s="516">
        <v>3.2054071874999999E-2</v>
      </c>
      <c r="BN58" s="517">
        <v>375</v>
      </c>
      <c r="BO58" s="518">
        <v>397.50000000000011</v>
      </c>
      <c r="BP58" s="518">
        <v>421.34999999999991</v>
      </c>
      <c r="BQ58" s="518">
        <v>446.63099999999997</v>
      </c>
      <c r="BR58" s="518">
        <v>473.42885999999999</v>
      </c>
      <c r="BS58" s="518">
        <v>501.83459160000012</v>
      </c>
      <c r="BT58" s="518">
        <v>531.9446670960001</v>
      </c>
      <c r="BU58" s="518">
        <v>563.86134712175999</v>
      </c>
      <c r="BV58" s="518">
        <v>597.69302794906582</v>
      </c>
      <c r="BW58" s="518">
        <v>633.55460962600955</v>
      </c>
      <c r="BX58" s="518">
        <v>671.56788620357008</v>
      </c>
      <c r="BY58" s="518">
        <v>711.86195937578441</v>
      </c>
      <c r="BZ58" s="518">
        <v>754.57367693833146</v>
      </c>
      <c r="CA58" s="518">
        <v>799.84809755463141</v>
      </c>
      <c r="CB58" s="518">
        <v>847.83898340790915</v>
      </c>
      <c r="CC58" s="518">
        <v>898.70932241238381</v>
      </c>
      <c r="CD58" s="518">
        <v>952.63188175712685</v>
      </c>
      <c r="CE58" s="518">
        <v>1009.7897946625544</v>
      </c>
      <c r="CF58" s="518">
        <v>1070.3771823423076</v>
      </c>
      <c r="CG58" s="519">
        <v>1134.5998132828461</v>
      </c>
      <c r="CH58" s="520">
        <v>8.07</v>
      </c>
      <c r="CI58" s="521">
        <v>8.2314000000000007</v>
      </c>
      <c r="CJ58" s="521">
        <v>8.3960280000000012</v>
      </c>
      <c r="CK58" s="521">
        <v>8.5639485600000018</v>
      </c>
      <c r="CL58" s="521">
        <v>2.5</v>
      </c>
      <c r="CM58" s="521">
        <v>2.5499999999999998</v>
      </c>
      <c r="CN58" s="521">
        <v>2.601</v>
      </c>
      <c r="CO58" s="521">
        <v>2.6530200000000002</v>
      </c>
      <c r="CP58" s="521">
        <v>2.7060804000000003</v>
      </c>
      <c r="CQ58" s="521">
        <v>2.7602020080000003</v>
      </c>
      <c r="CR58" s="521">
        <v>2.8154060481600003</v>
      </c>
      <c r="CS58" s="521">
        <v>2.8717141691232002</v>
      </c>
      <c r="CT58" s="521">
        <v>2.5</v>
      </c>
      <c r="CU58" s="521">
        <v>2.5499999999999998</v>
      </c>
      <c r="CV58" s="521">
        <v>2.601</v>
      </c>
      <c r="CW58" s="521">
        <v>2.6530200000000002</v>
      </c>
      <c r="CX58" s="521">
        <v>2.7060804000000003</v>
      </c>
      <c r="CY58" s="521">
        <v>2.7602020080000003</v>
      </c>
      <c r="CZ58" s="521">
        <v>2.8154060481600003</v>
      </c>
      <c r="DA58" s="522">
        <v>2.8717141691232002</v>
      </c>
      <c r="DB58" s="523">
        <v>0</v>
      </c>
      <c r="DC58" s="524">
        <v>0</v>
      </c>
      <c r="DD58" s="524">
        <v>0</v>
      </c>
      <c r="DE58" s="524">
        <v>0</v>
      </c>
      <c r="DF58" s="524">
        <v>-9.3473430058962914E-2</v>
      </c>
      <c r="DG58" s="524">
        <v>3.8566124659237033E-2</v>
      </c>
      <c r="DH58" s="524">
        <v>4.2595306065119187E-2</v>
      </c>
      <c r="DI58" s="524">
        <v>4.7041320480629312E-2</v>
      </c>
      <c r="DJ58" s="524">
        <v>5.1947035140126052E-2</v>
      </c>
      <c r="DK58" s="524">
        <v>1.9237300775823356</v>
      </c>
      <c r="DL58" s="524">
        <v>4.8508234546112972E-4</v>
      </c>
      <c r="DM58" s="524">
        <v>3.4941206358396482E-4</v>
      </c>
      <c r="DN58" s="524">
        <v>-0.12660766551576658</v>
      </c>
      <c r="DO58" s="524">
        <v>1.7703694757451593E-3</v>
      </c>
      <c r="DP58" s="524">
        <v>1.7477435273798303E-3</v>
      </c>
      <c r="DQ58" s="524">
        <v>1.7108726655176154E-3</v>
      </c>
      <c r="DR58" s="524">
        <v>1.6576177065721343E-3</v>
      </c>
      <c r="DS58" s="524">
        <v>0.25953791874055426</v>
      </c>
      <c r="DT58" s="524">
        <v>2.8162667221042215E-3</v>
      </c>
      <c r="DU58" s="525">
        <v>2.8641680723138219E-3</v>
      </c>
      <c r="DV58" s="526">
        <v>3.5</v>
      </c>
      <c r="DW58" s="507">
        <v>1</v>
      </c>
      <c r="DX58" s="509">
        <v>8.07</v>
      </c>
      <c r="DY58" s="507">
        <v>2</v>
      </c>
      <c r="DZ58" s="507">
        <v>15</v>
      </c>
      <c r="EA58" s="507">
        <v>0</v>
      </c>
      <c r="EB58" s="507">
        <v>0</v>
      </c>
      <c r="EC58" s="507">
        <v>111.62500000000001</v>
      </c>
      <c r="ED58" s="507">
        <v>102.18750000000001</v>
      </c>
      <c r="EE58" s="507">
        <v>0</v>
      </c>
      <c r="EF58" s="507">
        <v>25.062499999999996</v>
      </c>
      <c r="EG58" s="507">
        <v>29.3125</v>
      </c>
      <c r="EH58" s="507">
        <v>12.8125</v>
      </c>
      <c r="EI58" s="507">
        <v>16.6875</v>
      </c>
      <c r="EJ58" s="507">
        <v>56.4375</v>
      </c>
      <c r="EK58" s="507">
        <v>10.4375</v>
      </c>
      <c r="EL58" s="507">
        <v>10.4375</v>
      </c>
      <c r="EM58" s="508">
        <v>375</v>
      </c>
    </row>
    <row r="59" spans="2:143" x14ac:dyDescent="0.25">
      <c r="B59" s="506" t="str">
        <f>[1]RONET_Input!J30</f>
        <v xml:space="preserve">Input VPROMMS: 217B_1 (49.25 pct); 217b_1 (49.25 pct); 213TT00002 (1.49 pct); </v>
      </c>
      <c r="C59" s="359">
        <f>[1]RONET_Input!B30</f>
        <v>28</v>
      </c>
      <c r="D59" s="397"/>
      <c r="E59" s="360"/>
      <c r="F59" s="360"/>
      <c r="G59" s="360"/>
      <c r="H59" s="360"/>
      <c r="I59" s="360"/>
      <c r="J59" s="360"/>
      <c r="K59" s="360"/>
      <c r="L59" s="360"/>
      <c r="M59" s="360"/>
      <c r="N59" s="360"/>
      <c r="O59" s="360"/>
      <c r="P59" s="442">
        <f>[1]RONET_Input!K30</f>
        <v>1.66635099276</v>
      </c>
      <c r="Q59" s="398">
        <f>[1]RONET_Input!Y30</f>
        <v>2</v>
      </c>
      <c r="R59" s="398">
        <f>[1]RONET_Input!X30</f>
        <v>3.5</v>
      </c>
      <c r="S59" s="398"/>
      <c r="T59" s="398"/>
      <c r="U59" s="398">
        <f>[1]RONET_Input!AA30</f>
        <v>8</v>
      </c>
      <c r="V59" s="398">
        <f>[1]RONET_Input!AC30</f>
        <v>1</v>
      </c>
      <c r="W59" s="398">
        <f>[1]RONET_Input!AD30</f>
        <v>1</v>
      </c>
      <c r="X59" s="398">
        <f>[1]RONET_Input!AE30</f>
        <v>4</v>
      </c>
      <c r="Y59" s="398">
        <f>[1]RONET_Input!AB30</f>
        <v>1</v>
      </c>
      <c r="Z59" s="438">
        <f>[1]RONET_Input!Z30</f>
        <v>1</v>
      </c>
      <c r="AA59" s="442"/>
      <c r="AB59" s="398"/>
      <c r="AC59" s="438"/>
      <c r="AD59" s="442">
        <f>[1]RONET_Input!AH30</f>
        <v>4</v>
      </c>
      <c r="AE59" s="398">
        <f>[1]RONET_Input!D30</f>
        <v>8.64</v>
      </c>
      <c r="AF59" s="398"/>
      <c r="AG59" s="398"/>
      <c r="AH59" s="398"/>
      <c r="AI59" s="438"/>
      <c r="AJ59" s="442">
        <v>1</v>
      </c>
      <c r="AK59" s="442">
        <f>[1]RONET_Input!AF30</f>
        <v>4</v>
      </c>
      <c r="AL59" s="507"/>
      <c r="AM59" s="507"/>
      <c r="AN59" s="507"/>
      <c r="AO59" s="507"/>
      <c r="AP59" s="507"/>
      <c r="AQ59" s="507"/>
      <c r="AR59" s="507"/>
      <c r="AS59" s="507"/>
      <c r="AT59" s="507"/>
      <c r="AU59" s="507"/>
      <c r="AV59" s="507"/>
      <c r="AW59" s="507"/>
      <c r="AX59" s="508"/>
      <c r="AY59" s="509">
        <f>[1]RONET_Input!AG30</f>
        <v>3</v>
      </c>
      <c r="AZ59" s="359" t="s">
        <v>321</v>
      </c>
      <c r="BA59" s="360" t="s">
        <v>502</v>
      </c>
      <c r="BB59" s="360" t="s">
        <v>443</v>
      </c>
      <c r="BC59" s="510">
        <v>8.3400867187638006E-2</v>
      </c>
      <c r="BD59" s="510">
        <v>5.0050000000000004E-2</v>
      </c>
      <c r="BE59" s="438">
        <v>5</v>
      </c>
      <c r="BF59" s="511">
        <v>0.7392762446961948</v>
      </c>
      <c r="BG59" s="512">
        <v>0.44364977601250827</v>
      </c>
      <c r="BH59" s="512">
        <v>8.8641313888613027</v>
      </c>
      <c r="BI59" s="513">
        <v>0</v>
      </c>
      <c r="BJ59" s="514">
        <v>375</v>
      </c>
      <c r="BK59" s="515">
        <v>0.22366666666666665</v>
      </c>
      <c r="BL59" s="512">
        <v>0.22808179213402502</v>
      </c>
      <c r="BM59" s="516">
        <v>3.2054071874999999E-2</v>
      </c>
      <c r="BN59" s="517">
        <v>375</v>
      </c>
      <c r="BO59" s="518">
        <v>397.50000000000011</v>
      </c>
      <c r="BP59" s="518">
        <v>421.34999999999991</v>
      </c>
      <c r="BQ59" s="518">
        <v>446.63099999999997</v>
      </c>
      <c r="BR59" s="518">
        <v>473.42885999999999</v>
      </c>
      <c r="BS59" s="518">
        <v>501.83459160000012</v>
      </c>
      <c r="BT59" s="518">
        <v>531.9446670960001</v>
      </c>
      <c r="BU59" s="518">
        <v>563.86134712175999</v>
      </c>
      <c r="BV59" s="518">
        <v>597.69302794906582</v>
      </c>
      <c r="BW59" s="518">
        <v>633.55460962600955</v>
      </c>
      <c r="BX59" s="518">
        <v>671.56788620357008</v>
      </c>
      <c r="BY59" s="518">
        <v>711.86195937578441</v>
      </c>
      <c r="BZ59" s="518">
        <v>754.57367693833146</v>
      </c>
      <c r="CA59" s="518">
        <v>799.84809755463141</v>
      </c>
      <c r="CB59" s="518">
        <v>847.83898340790915</v>
      </c>
      <c r="CC59" s="518">
        <v>898.70932241238381</v>
      </c>
      <c r="CD59" s="518">
        <v>952.63188175712685</v>
      </c>
      <c r="CE59" s="518">
        <v>1009.7897946625544</v>
      </c>
      <c r="CF59" s="518">
        <v>1070.3771823423076</v>
      </c>
      <c r="CG59" s="519">
        <v>1134.5998132828461</v>
      </c>
      <c r="CH59" s="520">
        <v>8.64</v>
      </c>
      <c r="CI59" s="521">
        <v>8.8128000000000011</v>
      </c>
      <c r="CJ59" s="521">
        <v>8.9890560000000015</v>
      </c>
      <c r="CK59" s="521">
        <v>9.168837120000001</v>
      </c>
      <c r="CL59" s="521">
        <v>2.5</v>
      </c>
      <c r="CM59" s="521">
        <v>2.5499999999999998</v>
      </c>
      <c r="CN59" s="521">
        <v>2.601</v>
      </c>
      <c r="CO59" s="521">
        <v>2.6530200000000002</v>
      </c>
      <c r="CP59" s="521">
        <v>2.7060804000000003</v>
      </c>
      <c r="CQ59" s="521">
        <v>2.7602020080000003</v>
      </c>
      <c r="CR59" s="521">
        <v>2.8154060481600003</v>
      </c>
      <c r="CS59" s="521">
        <v>2.8717141691232002</v>
      </c>
      <c r="CT59" s="521">
        <v>2.5</v>
      </c>
      <c r="CU59" s="521">
        <v>2.5499999999999998</v>
      </c>
      <c r="CV59" s="521">
        <v>2.601</v>
      </c>
      <c r="CW59" s="521">
        <v>2.6530200000000002</v>
      </c>
      <c r="CX59" s="521">
        <v>2.7060804000000003</v>
      </c>
      <c r="CY59" s="521">
        <v>2.7602020080000003</v>
      </c>
      <c r="CZ59" s="521">
        <v>2.8154060481600003</v>
      </c>
      <c r="DA59" s="522">
        <v>2.8717141691232002</v>
      </c>
      <c r="DB59" s="523">
        <v>0</v>
      </c>
      <c r="DC59" s="524">
        <v>0</v>
      </c>
      <c r="DD59" s="524">
        <v>0</v>
      </c>
      <c r="DE59" s="524">
        <v>0</v>
      </c>
      <c r="DF59" s="524">
        <v>-5.1889321617078349E-2</v>
      </c>
      <c r="DG59" s="524">
        <v>2.650991051086124E-2</v>
      </c>
      <c r="DH59" s="524">
        <v>2.9273253597381449E-2</v>
      </c>
      <c r="DI59" s="524">
        <v>3.2322107072660394E-2</v>
      </c>
      <c r="DJ59" s="524">
        <v>3.5685800970437054E-2</v>
      </c>
      <c r="DK59" s="524">
        <v>1.137183533202595</v>
      </c>
      <c r="DL59" s="524">
        <v>2.8674898933789272E-4</v>
      </c>
      <c r="DM59" s="524">
        <v>2.0654958283408686E-4</v>
      </c>
      <c r="DN59" s="524">
        <v>-7.4842179825298033E-2</v>
      </c>
      <c r="DO59" s="524">
        <v>1.0465267653516352E-3</v>
      </c>
      <c r="DP59" s="524">
        <v>1.0331517829651193E-3</v>
      </c>
      <c r="DQ59" s="524">
        <v>1.0113561384236247E-3</v>
      </c>
      <c r="DR59" s="524">
        <v>9.7987528615645081E-4</v>
      </c>
      <c r="DS59" s="524">
        <v>0.15342186041211875</v>
      </c>
      <c r="DT59" s="524">
        <v>1.6647928827459579E-3</v>
      </c>
      <c r="DU59" s="525">
        <v>1.6931090313112573E-3</v>
      </c>
      <c r="DV59" s="526">
        <v>3.5</v>
      </c>
      <c r="DW59" s="507">
        <v>1</v>
      </c>
      <c r="DX59" s="509">
        <v>8.64</v>
      </c>
      <c r="DY59" s="507">
        <v>2</v>
      </c>
      <c r="DZ59" s="507">
        <v>15</v>
      </c>
      <c r="EA59" s="507">
        <v>0</v>
      </c>
      <c r="EB59" s="507">
        <v>0</v>
      </c>
      <c r="EC59" s="507">
        <v>111.62500000000001</v>
      </c>
      <c r="ED59" s="507">
        <v>102.18750000000001</v>
      </c>
      <c r="EE59" s="507">
        <v>0</v>
      </c>
      <c r="EF59" s="507">
        <v>25.062499999999996</v>
      </c>
      <c r="EG59" s="507">
        <v>29.3125</v>
      </c>
      <c r="EH59" s="507">
        <v>12.8125</v>
      </c>
      <c r="EI59" s="507">
        <v>16.6875</v>
      </c>
      <c r="EJ59" s="507">
        <v>56.4375</v>
      </c>
      <c r="EK59" s="507">
        <v>10.4375</v>
      </c>
      <c r="EL59" s="507">
        <v>10.4375</v>
      </c>
      <c r="EM59" s="508">
        <v>375</v>
      </c>
    </row>
    <row r="60" spans="2:143" x14ac:dyDescent="0.25">
      <c r="B60" s="506" t="str">
        <f>[1]RONET_Input!J31</f>
        <v>213TT00002</v>
      </c>
      <c r="C60" s="359">
        <f>[1]RONET_Input!B31</f>
        <v>29</v>
      </c>
      <c r="D60" s="397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442">
        <f>[1]RONET_Input!K31</f>
        <v>4.3644648669099997</v>
      </c>
      <c r="Q60" s="398">
        <f>[1]RONET_Input!Y31</f>
        <v>2</v>
      </c>
      <c r="R60" s="398">
        <f>[1]RONET_Input!X31</f>
        <v>3.8</v>
      </c>
      <c r="S60" s="398"/>
      <c r="T60" s="398"/>
      <c r="U60" s="398">
        <f>[1]RONET_Input!AA31</f>
        <v>6</v>
      </c>
      <c r="V60" s="398">
        <f>[1]RONET_Input!AC31</f>
        <v>1</v>
      </c>
      <c r="W60" s="398">
        <f>[1]RONET_Input!AD31</f>
        <v>1</v>
      </c>
      <c r="X60" s="398">
        <f>[1]RONET_Input!AE31</f>
        <v>4</v>
      </c>
      <c r="Y60" s="398">
        <f>[1]RONET_Input!AB31</f>
        <v>1</v>
      </c>
      <c r="Z60" s="438">
        <f>[1]RONET_Input!Z31</f>
        <v>3</v>
      </c>
      <c r="AA60" s="442"/>
      <c r="AB60" s="398"/>
      <c r="AC60" s="438"/>
      <c r="AD60" s="442">
        <f>[1]RONET_Input!AH31</f>
        <v>4</v>
      </c>
      <c r="AE60" s="398">
        <f>[1]RONET_Input!D31</f>
        <v>10.02</v>
      </c>
      <c r="AF60" s="398"/>
      <c r="AG60" s="398"/>
      <c r="AH60" s="398"/>
      <c r="AI60" s="438"/>
      <c r="AJ60" s="442">
        <v>1</v>
      </c>
      <c r="AK60" s="442">
        <f>[1]RONET_Input!AF31</f>
        <v>6</v>
      </c>
      <c r="AL60" s="507"/>
      <c r="AM60" s="507"/>
      <c r="AN60" s="507"/>
      <c r="AO60" s="507"/>
      <c r="AP60" s="507"/>
      <c r="AQ60" s="507"/>
      <c r="AR60" s="507"/>
      <c r="AS60" s="507"/>
      <c r="AT60" s="507"/>
      <c r="AU60" s="507"/>
      <c r="AV60" s="507"/>
      <c r="AW60" s="507"/>
      <c r="AX60" s="508"/>
      <c r="AY60" s="509">
        <f>[1]RONET_Input!AG31</f>
        <v>3</v>
      </c>
      <c r="AZ60" s="359" t="s">
        <v>321</v>
      </c>
      <c r="BA60" s="360" t="s">
        <v>506</v>
      </c>
      <c r="BB60" s="360" t="s">
        <v>447</v>
      </c>
      <c r="BC60" s="510">
        <v>0.23716502086788938</v>
      </c>
      <c r="BD60" s="510">
        <v>5.4339999999999999E-2</v>
      </c>
      <c r="BE60" s="438">
        <v>1</v>
      </c>
      <c r="BF60" s="511">
        <v>3.8417574256573661</v>
      </c>
      <c r="BG60" s="512">
        <v>0.88023561715076759</v>
      </c>
      <c r="BH60" s="512">
        <v>16.198667963760904</v>
      </c>
      <c r="BI60" s="513">
        <v>0</v>
      </c>
      <c r="BJ60" s="514">
        <v>2000.0000000000002</v>
      </c>
      <c r="BK60" s="515">
        <v>0.22366666666666662</v>
      </c>
      <c r="BL60" s="512">
        <v>3.1860593528442998</v>
      </c>
      <c r="BM60" s="516">
        <v>0.17095505000000003</v>
      </c>
      <c r="BN60" s="517">
        <v>2000.0000000000002</v>
      </c>
      <c r="BO60" s="518">
        <v>2120.0000000000005</v>
      </c>
      <c r="BP60" s="518">
        <v>2247.1999999999998</v>
      </c>
      <c r="BQ60" s="518">
        <v>2382.0320000000002</v>
      </c>
      <c r="BR60" s="518">
        <v>2524.9539199999995</v>
      </c>
      <c r="BS60" s="518">
        <v>2676.4511551999999</v>
      </c>
      <c r="BT60" s="518">
        <v>2837.0382245120009</v>
      </c>
      <c r="BU60" s="518">
        <v>3007.2605179827201</v>
      </c>
      <c r="BV60" s="518">
        <v>3187.6961490616836</v>
      </c>
      <c r="BW60" s="518">
        <v>3378.9579180053843</v>
      </c>
      <c r="BX60" s="518">
        <v>3581.6953930857071</v>
      </c>
      <c r="BY60" s="518">
        <v>3796.59711667085</v>
      </c>
      <c r="BZ60" s="518">
        <v>4024.3929436711001</v>
      </c>
      <c r="CA60" s="518">
        <v>4265.8565202913678</v>
      </c>
      <c r="CB60" s="518">
        <v>4521.8079115088494</v>
      </c>
      <c r="CC60" s="518">
        <v>4793.11638619938</v>
      </c>
      <c r="CD60" s="518">
        <v>5080.703369371342</v>
      </c>
      <c r="CE60" s="518">
        <v>5385.5455715336238</v>
      </c>
      <c r="CF60" s="518">
        <v>5708.6783058256406</v>
      </c>
      <c r="CG60" s="519">
        <v>6051.1990041751797</v>
      </c>
      <c r="CH60" s="520">
        <v>2</v>
      </c>
      <c r="CI60" s="521">
        <v>2.0499999999999998</v>
      </c>
      <c r="CJ60" s="521">
        <v>2.1012499999999998</v>
      </c>
      <c r="CK60" s="521">
        <v>2.1537812499999998</v>
      </c>
      <c r="CL60" s="521">
        <v>2.20762578125</v>
      </c>
      <c r="CM60" s="521">
        <v>2.2628164257812502</v>
      </c>
      <c r="CN60" s="521">
        <v>2.3193868364257813</v>
      </c>
      <c r="CO60" s="521">
        <v>2.3773715073364259</v>
      </c>
      <c r="CP60" s="521">
        <v>2.5</v>
      </c>
      <c r="CQ60" s="521">
        <v>2.5625</v>
      </c>
      <c r="CR60" s="521">
        <v>2.6265624999999999</v>
      </c>
      <c r="CS60" s="521">
        <v>2.6922265624999997</v>
      </c>
      <c r="CT60" s="521">
        <v>2.7595322265624995</v>
      </c>
      <c r="CU60" s="521">
        <v>2.8285205322265621</v>
      </c>
      <c r="CV60" s="521">
        <v>2.8992335455322262</v>
      </c>
      <c r="CW60" s="521">
        <v>2.9717143841705318</v>
      </c>
      <c r="CX60" s="521">
        <v>2.5</v>
      </c>
      <c r="CY60" s="521">
        <v>2.5625</v>
      </c>
      <c r="CZ60" s="521">
        <v>2.6265624999999999</v>
      </c>
      <c r="DA60" s="522">
        <v>2.6922265624999997</v>
      </c>
      <c r="DB60" s="523">
        <v>9.8678940293531969E-2</v>
      </c>
      <c r="DC60" s="524">
        <v>0.35083582409504488</v>
      </c>
      <c r="DD60" s="524">
        <v>0.39132289469516346</v>
      </c>
      <c r="DE60" s="524">
        <v>0.43643026493642312</v>
      </c>
      <c r="DF60" s="524">
        <v>0.48668008865550672</v>
      </c>
      <c r="DG60" s="524">
        <v>0.54265204800839206</v>
      </c>
      <c r="DH60" s="524">
        <v>0.60498898208149132</v>
      </c>
      <c r="DI60" s="524">
        <v>0.67440273175720655</v>
      </c>
      <c r="DJ60" s="524">
        <v>0.60697011425946412</v>
      </c>
      <c r="DK60" s="524">
        <v>0.81627759176588555</v>
      </c>
      <c r="DL60" s="524">
        <v>2.217379421801402E-2</v>
      </c>
      <c r="DM60" s="524">
        <v>2.3239953647274714E-2</v>
      </c>
      <c r="DN60" s="524">
        <v>2.4350467554695054E-2</v>
      </c>
      <c r="DO60" s="524">
        <v>2.5506684568061821E-2</v>
      </c>
      <c r="DP60" s="524">
        <v>2.6709965655719703E-2</v>
      </c>
      <c r="DQ60" s="524">
        <v>2.7961684130612063E-2</v>
      </c>
      <c r="DR60" s="524">
        <v>-9.2352648357350464E-2</v>
      </c>
      <c r="DS60" s="524">
        <v>0.29479416939118064</v>
      </c>
      <c r="DT60" s="524">
        <v>3.1893508999490727E-2</v>
      </c>
      <c r="DU60" s="525">
        <v>3.3124183385526251E-2</v>
      </c>
      <c r="DV60" s="526">
        <v>3.8</v>
      </c>
      <c r="DW60" s="507">
        <v>3</v>
      </c>
      <c r="DX60" s="509">
        <v>10.02</v>
      </c>
      <c r="DY60" s="507">
        <v>4</v>
      </c>
      <c r="DZ60" s="507">
        <v>15</v>
      </c>
      <c r="EA60" s="507">
        <v>0</v>
      </c>
      <c r="EB60" s="507">
        <v>0</v>
      </c>
      <c r="EC60" s="507">
        <v>595.33333333333337</v>
      </c>
      <c r="ED60" s="507">
        <v>545</v>
      </c>
      <c r="EE60" s="507">
        <v>0</v>
      </c>
      <c r="EF60" s="507">
        <v>133.66666666666666</v>
      </c>
      <c r="EG60" s="507">
        <v>156.33333333333331</v>
      </c>
      <c r="EH60" s="507">
        <v>68.333333333333329</v>
      </c>
      <c r="EI60" s="507">
        <v>89</v>
      </c>
      <c r="EJ60" s="507">
        <v>301</v>
      </c>
      <c r="EK60" s="507">
        <v>55.666666666666671</v>
      </c>
      <c r="EL60" s="507">
        <v>55.666666666666671</v>
      </c>
      <c r="EM60" s="508">
        <v>2000.0000000000002</v>
      </c>
    </row>
    <row r="61" spans="2:143" x14ac:dyDescent="0.25">
      <c r="B61" s="506" t="str">
        <f>[1]RONET_Input!J32</f>
        <v xml:space="preserve">Input VPROMMS: 217B_1 (46.88 pct); 217b_1 (46.88 pct); 214TT00018 (3.13 pct); 213TT00002 (3.13 pct); </v>
      </c>
      <c r="C61" s="359">
        <f>[1]RONET_Input!B32</f>
        <v>30</v>
      </c>
      <c r="D61" s="397"/>
      <c r="E61" s="360"/>
      <c r="F61" s="360"/>
      <c r="G61" s="360"/>
      <c r="H61" s="360"/>
      <c r="I61" s="360"/>
      <c r="J61" s="360"/>
      <c r="K61" s="360"/>
      <c r="L61" s="360"/>
      <c r="M61" s="360"/>
      <c r="N61" s="360"/>
      <c r="O61" s="360"/>
      <c r="P61" s="442">
        <f>[1]RONET_Input!K32</f>
        <v>0.46601173649299998</v>
      </c>
      <c r="Q61" s="398">
        <f>[1]RONET_Input!Y32</f>
        <v>2</v>
      </c>
      <c r="R61" s="398">
        <f>[1]RONET_Input!X32</f>
        <v>3.5</v>
      </c>
      <c r="S61" s="398"/>
      <c r="T61" s="398"/>
      <c r="U61" s="398">
        <f>[1]RONET_Input!AA32</f>
        <v>8</v>
      </c>
      <c r="V61" s="398">
        <f>[1]RONET_Input!AC32</f>
        <v>1</v>
      </c>
      <c r="W61" s="398">
        <f>[1]RONET_Input!AD32</f>
        <v>1</v>
      </c>
      <c r="X61" s="398">
        <f>[1]RONET_Input!AE32</f>
        <v>4</v>
      </c>
      <c r="Y61" s="398">
        <f>[1]RONET_Input!AB32</f>
        <v>1</v>
      </c>
      <c r="Z61" s="438">
        <f>[1]RONET_Input!Z32</f>
        <v>1</v>
      </c>
      <c r="AA61" s="442"/>
      <c r="AB61" s="398"/>
      <c r="AC61" s="438"/>
      <c r="AD61" s="442">
        <f>[1]RONET_Input!AH32</f>
        <v>3</v>
      </c>
      <c r="AE61" s="398">
        <f>[1]RONET_Input!D32</f>
        <v>6.95</v>
      </c>
      <c r="AF61" s="398"/>
      <c r="AG61" s="398"/>
      <c r="AH61" s="398"/>
      <c r="AI61" s="438"/>
      <c r="AJ61" s="442">
        <v>1</v>
      </c>
      <c r="AK61" s="442">
        <f>[1]RONET_Input!AF32</f>
        <v>4</v>
      </c>
      <c r="AL61" s="507"/>
      <c r="AM61" s="507"/>
      <c r="AN61" s="507"/>
      <c r="AO61" s="507"/>
      <c r="AP61" s="507"/>
      <c r="AQ61" s="507"/>
      <c r="AR61" s="507"/>
      <c r="AS61" s="507"/>
      <c r="AT61" s="507"/>
      <c r="AU61" s="507"/>
      <c r="AV61" s="507"/>
      <c r="AW61" s="507"/>
      <c r="AX61" s="508"/>
      <c r="AY61" s="509">
        <f>[1]RONET_Input!AG32</f>
        <v>3</v>
      </c>
      <c r="AZ61" s="359" t="s">
        <v>321</v>
      </c>
      <c r="BA61" s="360" t="s">
        <v>502</v>
      </c>
      <c r="BB61" s="360" t="s">
        <v>443</v>
      </c>
      <c r="BC61" s="510">
        <v>2.3323887411474651E-2</v>
      </c>
      <c r="BD61" s="510">
        <v>5.0050000000000004E-2</v>
      </c>
      <c r="BE61" s="438">
        <v>5</v>
      </c>
      <c r="BF61" s="511">
        <v>0.19556750660163949</v>
      </c>
      <c r="BG61" s="512">
        <v>0.41966219150057205</v>
      </c>
      <c r="BH61" s="512">
        <v>8.3848589710403996</v>
      </c>
      <c r="BI61" s="513">
        <v>0</v>
      </c>
      <c r="BJ61" s="514">
        <v>375</v>
      </c>
      <c r="BK61" s="515">
        <v>0.22366666666666665</v>
      </c>
      <c r="BL61" s="512">
        <v>6.3785356432479373E-2</v>
      </c>
      <c r="BM61" s="516">
        <v>3.2054071874999999E-2</v>
      </c>
      <c r="BN61" s="517">
        <v>375</v>
      </c>
      <c r="BO61" s="518">
        <v>397.50000000000011</v>
      </c>
      <c r="BP61" s="518">
        <v>421.34999999999991</v>
      </c>
      <c r="BQ61" s="518">
        <v>446.63099999999997</v>
      </c>
      <c r="BR61" s="518">
        <v>473.42885999999999</v>
      </c>
      <c r="BS61" s="518">
        <v>501.83459160000012</v>
      </c>
      <c r="BT61" s="518">
        <v>531.9446670960001</v>
      </c>
      <c r="BU61" s="518">
        <v>563.86134712175999</v>
      </c>
      <c r="BV61" s="518">
        <v>597.69302794906582</v>
      </c>
      <c r="BW61" s="518">
        <v>633.55460962600955</v>
      </c>
      <c r="BX61" s="518">
        <v>671.56788620357008</v>
      </c>
      <c r="BY61" s="518">
        <v>711.86195937578441</v>
      </c>
      <c r="BZ61" s="518">
        <v>754.57367693833146</v>
      </c>
      <c r="CA61" s="518">
        <v>799.84809755463141</v>
      </c>
      <c r="CB61" s="518">
        <v>847.83898340790915</v>
      </c>
      <c r="CC61" s="518">
        <v>898.70932241238381</v>
      </c>
      <c r="CD61" s="518">
        <v>952.63188175712685</v>
      </c>
      <c r="CE61" s="518">
        <v>1009.7897946625544</v>
      </c>
      <c r="CF61" s="518">
        <v>1070.3771823423076</v>
      </c>
      <c r="CG61" s="519">
        <v>1134.5998132828461</v>
      </c>
      <c r="CH61" s="520">
        <v>6.95</v>
      </c>
      <c r="CI61" s="521">
        <v>7.0890000000000004</v>
      </c>
      <c r="CJ61" s="521">
        <v>7.2307800000000002</v>
      </c>
      <c r="CK61" s="521">
        <v>7.3753956000000001</v>
      </c>
      <c r="CL61" s="521">
        <v>2.5</v>
      </c>
      <c r="CM61" s="521">
        <v>2.5499999999999998</v>
      </c>
      <c r="CN61" s="521">
        <v>2.601</v>
      </c>
      <c r="CO61" s="521">
        <v>2.6530200000000002</v>
      </c>
      <c r="CP61" s="521">
        <v>2.7060804000000003</v>
      </c>
      <c r="CQ61" s="521">
        <v>2.7602020080000003</v>
      </c>
      <c r="CR61" s="521">
        <v>2.8154060481600003</v>
      </c>
      <c r="CS61" s="521">
        <v>2.8717141691232002</v>
      </c>
      <c r="CT61" s="521">
        <v>2.5</v>
      </c>
      <c r="CU61" s="521">
        <v>2.5499999999999998</v>
      </c>
      <c r="CV61" s="521">
        <v>2.601</v>
      </c>
      <c r="CW61" s="521">
        <v>2.6530200000000002</v>
      </c>
      <c r="CX61" s="521">
        <v>2.7060804000000003</v>
      </c>
      <c r="CY61" s="521">
        <v>2.7602020080000003</v>
      </c>
      <c r="CZ61" s="521">
        <v>2.8154060481600003</v>
      </c>
      <c r="DA61" s="522">
        <v>2.8717141691232002</v>
      </c>
      <c r="DB61" s="523">
        <v>0</v>
      </c>
      <c r="DC61" s="524">
        <v>0</v>
      </c>
      <c r="DD61" s="524">
        <v>0</v>
      </c>
      <c r="DE61" s="524">
        <v>0</v>
      </c>
      <c r="DF61" s="524">
        <v>-1.7114513993414203E-2</v>
      </c>
      <c r="DG61" s="524">
        <v>4.5426807408326247E-3</v>
      </c>
      <c r="DH61" s="524">
        <v>5.0200630413872183E-3</v>
      </c>
      <c r="DI61" s="524">
        <v>5.5469987113787034E-3</v>
      </c>
      <c r="DJ61" s="524">
        <v>6.1285908067988462E-3</v>
      </c>
      <c r="DK61" s="524">
        <v>0.31802475908226158</v>
      </c>
      <c r="DL61" s="524">
        <v>8.0192225431235942E-5</v>
      </c>
      <c r="DM61" s="524">
        <v>5.776365854890525E-5</v>
      </c>
      <c r="DN61" s="524">
        <v>-2.0930364812002021E-2</v>
      </c>
      <c r="DO61" s="524">
        <v>2.9267168641353147E-4</v>
      </c>
      <c r="DP61" s="524">
        <v>2.8893123869597193E-4</v>
      </c>
      <c r="DQ61" s="524">
        <v>2.8283586850993969E-4</v>
      </c>
      <c r="DR61" s="524">
        <v>2.7403193302752427E-4</v>
      </c>
      <c r="DS61" s="524">
        <v>4.2905959127024981E-2</v>
      </c>
      <c r="DT61" s="524">
        <v>4.6557599542977612E-4</v>
      </c>
      <c r="DU61" s="525">
        <v>4.7349488984102517E-4</v>
      </c>
      <c r="DV61" s="526">
        <v>3.5</v>
      </c>
      <c r="DW61" s="507">
        <v>1</v>
      </c>
      <c r="DX61" s="509">
        <v>6.95</v>
      </c>
      <c r="DY61" s="507">
        <v>2</v>
      </c>
      <c r="DZ61" s="507">
        <v>10</v>
      </c>
      <c r="EA61" s="507">
        <v>0</v>
      </c>
      <c r="EB61" s="507">
        <v>0</v>
      </c>
      <c r="EC61" s="507">
        <v>111.62500000000001</v>
      </c>
      <c r="ED61" s="507">
        <v>102.18750000000001</v>
      </c>
      <c r="EE61" s="507">
        <v>0</v>
      </c>
      <c r="EF61" s="507">
        <v>25.062499999999996</v>
      </c>
      <c r="EG61" s="507">
        <v>29.3125</v>
      </c>
      <c r="EH61" s="507">
        <v>12.8125</v>
      </c>
      <c r="EI61" s="507">
        <v>16.6875</v>
      </c>
      <c r="EJ61" s="507">
        <v>56.4375</v>
      </c>
      <c r="EK61" s="507">
        <v>10.4375</v>
      </c>
      <c r="EL61" s="507">
        <v>10.4375</v>
      </c>
      <c r="EM61" s="508">
        <v>375</v>
      </c>
    </row>
    <row r="62" spans="2:143" x14ac:dyDescent="0.25">
      <c r="B62" s="506" t="str">
        <f>[1]RONET_Input!J33</f>
        <v>214TT00018</v>
      </c>
      <c r="C62" s="359">
        <f>[1]RONET_Input!B33</f>
        <v>31</v>
      </c>
      <c r="D62" s="397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0"/>
      <c r="P62" s="442">
        <f>[1]RONET_Input!K33</f>
        <v>2.3725218627600002</v>
      </c>
      <c r="Q62" s="398">
        <f>[1]RONET_Input!Y33</f>
        <v>1</v>
      </c>
      <c r="R62" s="398">
        <f>[1]RONET_Input!X33</f>
        <v>3.4</v>
      </c>
      <c r="S62" s="398"/>
      <c r="T62" s="398"/>
      <c r="U62" s="398">
        <f>[1]RONET_Input!AA33</f>
        <v>8</v>
      </c>
      <c r="V62" s="398">
        <f>[1]RONET_Input!AC33</f>
        <v>1</v>
      </c>
      <c r="W62" s="398">
        <f>[1]RONET_Input!AD33</f>
        <v>1</v>
      </c>
      <c r="X62" s="398">
        <f>[1]RONET_Input!AE33</f>
        <v>4</v>
      </c>
      <c r="Y62" s="398">
        <f>[1]RONET_Input!AB33</f>
        <v>1</v>
      </c>
      <c r="Z62" s="438">
        <f>[1]RONET_Input!Z33</f>
        <v>1</v>
      </c>
      <c r="AA62" s="442"/>
      <c r="AB62" s="398"/>
      <c r="AC62" s="438"/>
      <c r="AD62" s="442">
        <f>[1]RONET_Input!AH33</f>
        <v>3</v>
      </c>
      <c r="AE62" s="398">
        <f>[1]RONET_Input!D33</f>
        <v>6.5149999999999997</v>
      </c>
      <c r="AF62" s="398"/>
      <c r="AG62" s="398"/>
      <c r="AH62" s="398"/>
      <c r="AI62" s="438"/>
      <c r="AJ62" s="442">
        <v>1</v>
      </c>
      <c r="AK62" s="442">
        <f>[1]RONET_Input!AF33</f>
        <v>4</v>
      </c>
      <c r="AL62" s="507"/>
      <c r="AM62" s="507"/>
      <c r="AN62" s="507"/>
      <c r="AO62" s="507"/>
      <c r="AP62" s="507"/>
      <c r="AQ62" s="507"/>
      <c r="AR62" s="507"/>
      <c r="AS62" s="507"/>
      <c r="AT62" s="507"/>
      <c r="AU62" s="507"/>
      <c r="AV62" s="507"/>
      <c r="AW62" s="507"/>
      <c r="AX62" s="508"/>
      <c r="AY62" s="509">
        <f>[1]RONET_Input!AG33</f>
        <v>3</v>
      </c>
      <c r="AZ62" s="359" t="s">
        <v>321</v>
      </c>
      <c r="BA62" s="360" t="s">
        <v>502</v>
      </c>
      <c r="BB62" s="360" t="s">
        <v>443</v>
      </c>
      <c r="BC62" s="510">
        <v>0.11535201296739121</v>
      </c>
      <c r="BD62" s="510">
        <v>4.8620000000000003E-2</v>
      </c>
      <c r="BE62" s="438">
        <v>5</v>
      </c>
      <c r="BF62" s="511">
        <v>1.0299320358928232</v>
      </c>
      <c r="BG62" s="512">
        <v>0.43410855430208073</v>
      </c>
      <c r="BH62" s="512">
        <v>8.9286004587017835</v>
      </c>
      <c r="BI62" s="513">
        <v>0</v>
      </c>
      <c r="BJ62" s="514">
        <v>375</v>
      </c>
      <c r="BK62" s="515">
        <v>0.22366666666666665</v>
      </c>
      <c r="BL62" s="512">
        <v>0.32473892996527504</v>
      </c>
      <c r="BM62" s="516">
        <v>6.4108143749999999E-2</v>
      </c>
      <c r="BN62" s="517">
        <v>375</v>
      </c>
      <c r="BO62" s="518">
        <v>397.50000000000011</v>
      </c>
      <c r="BP62" s="518">
        <v>421.34999999999991</v>
      </c>
      <c r="BQ62" s="518">
        <v>446.63099999999997</v>
      </c>
      <c r="BR62" s="518">
        <v>473.42885999999999</v>
      </c>
      <c r="BS62" s="518">
        <v>501.83459160000012</v>
      </c>
      <c r="BT62" s="518">
        <v>531.9446670960001</v>
      </c>
      <c r="BU62" s="518">
        <v>563.86134712175999</v>
      </c>
      <c r="BV62" s="518">
        <v>597.69302794906582</v>
      </c>
      <c r="BW62" s="518">
        <v>633.55460962600955</v>
      </c>
      <c r="BX62" s="518">
        <v>671.56788620357008</v>
      </c>
      <c r="BY62" s="518">
        <v>711.86195937578441</v>
      </c>
      <c r="BZ62" s="518">
        <v>754.57367693833146</v>
      </c>
      <c r="CA62" s="518">
        <v>799.84809755463141</v>
      </c>
      <c r="CB62" s="518">
        <v>847.83898340790915</v>
      </c>
      <c r="CC62" s="518">
        <v>898.70932241238381</v>
      </c>
      <c r="CD62" s="518">
        <v>952.63188175712685</v>
      </c>
      <c r="CE62" s="518">
        <v>1009.7897946625544</v>
      </c>
      <c r="CF62" s="518">
        <v>1070.3771823423076</v>
      </c>
      <c r="CG62" s="519">
        <v>1134.5998132828461</v>
      </c>
      <c r="CH62" s="520">
        <v>6.5149999999999997</v>
      </c>
      <c r="CI62" s="521">
        <v>6.6452999999999998</v>
      </c>
      <c r="CJ62" s="521">
        <v>6.778206</v>
      </c>
      <c r="CK62" s="521">
        <v>6.9137701199999997</v>
      </c>
      <c r="CL62" s="521">
        <v>2.5</v>
      </c>
      <c r="CM62" s="521">
        <v>2.5499999999999998</v>
      </c>
      <c r="CN62" s="521">
        <v>2.601</v>
      </c>
      <c r="CO62" s="521">
        <v>2.6530200000000002</v>
      </c>
      <c r="CP62" s="521">
        <v>2.7060804000000003</v>
      </c>
      <c r="CQ62" s="521">
        <v>2.7602020080000003</v>
      </c>
      <c r="CR62" s="521">
        <v>2.8154060481600003</v>
      </c>
      <c r="CS62" s="521">
        <v>2.8717141691232002</v>
      </c>
      <c r="CT62" s="521">
        <v>2.5</v>
      </c>
      <c r="CU62" s="521">
        <v>2.5499999999999998</v>
      </c>
      <c r="CV62" s="521">
        <v>2.601</v>
      </c>
      <c r="CW62" s="521">
        <v>2.6530200000000002</v>
      </c>
      <c r="CX62" s="521">
        <v>2.7060804000000003</v>
      </c>
      <c r="CY62" s="521">
        <v>2.7602020080000003</v>
      </c>
      <c r="CZ62" s="521">
        <v>2.8154060481600003</v>
      </c>
      <c r="DA62" s="522">
        <v>2.8717141691232002</v>
      </c>
      <c r="DB62" s="523">
        <v>0</v>
      </c>
      <c r="DC62" s="524">
        <v>0</v>
      </c>
      <c r="DD62" s="524">
        <v>0</v>
      </c>
      <c r="DE62" s="524">
        <v>0</v>
      </c>
      <c r="DF62" s="524">
        <v>-8.5349053269663744E-2</v>
      </c>
      <c r="DG62" s="524">
        <v>2.1628992053034424E-2</v>
      </c>
      <c r="DH62" s="524">
        <v>2.3840544739350877E-2</v>
      </c>
      <c r="DI62" s="524">
        <v>2.6276524817421432E-2</v>
      </c>
      <c r="DJ62" s="524">
        <v>2.8959595194913201E-2</v>
      </c>
      <c r="DK62" s="524">
        <v>1.6256993681582885</v>
      </c>
      <c r="DL62" s="524">
        <v>7.106929677588858E-3</v>
      </c>
      <c r="DM62" s="524">
        <v>7.0977877717766646E-3</v>
      </c>
      <c r="DN62" s="524">
        <v>-9.6251201858317481E-2</v>
      </c>
      <c r="DO62" s="524">
        <v>8.8460234622479428E-3</v>
      </c>
      <c r="DP62" s="524">
        <v>8.9676775691696631E-3</v>
      </c>
      <c r="DQ62" s="524">
        <v>9.0825698063614069E-3</v>
      </c>
      <c r="DR62" s="524">
        <v>9.188972589921407E-3</v>
      </c>
      <c r="DS62" s="524">
        <v>0.22638983217827319</v>
      </c>
      <c r="DT62" s="524">
        <v>1.0482722107294506E-2</v>
      </c>
      <c r="DU62" s="525">
        <v>1.0690463331605282E-2</v>
      </c>
      <c r="DV62" s="526">
        <v>3.4</v>
      </c>
      <c r="DW62" s="507">
        <v>1</v>
      </c>
      <c r="DX62" s="509">
        <v>6.5149999999999997</v>
      </c>
      <c r="DY62" s="507">
        <v>2</v>
      </c>
      <c r="DZ62" s="507">
        <v>10</v>
      </c>
      <c r="EA62" s="507">
        <v>0</v>
      </c>
      <c r="EB62" s="507">
        <v>0</v>
      </c>
      <c r="EC62" s="507">
        <v>111.62500000000001</v>
      </c>
      <c r="ED62" s="507">
        <v>102.18750000000001</v>
      </c>
      <c r="EE62" s="507">
        <v>0</v>
      </c>
      <c r="EF62" s="507">
        <v>25.062499999999996</v>
      </c>
      <c r="EG62" s="507">
        <v>29.3125</v>
      </c>
      <c r="EH62" s="507">
        <v>12.8125</v>
      </c>
      <c r="EI62" s="507">
        <v>16.6875</v>
      </c>
      <c r="EJ62" s="507">
        <v>56.4375</v>
      </c>
      <c r="EK62" s="507">
        <v>10.4375</v>
      </c>
      <c r="EL62" s="507">
        <v>10.4375</v>
      </c>
      <c r="EM62" s="508">
        <v>375</v>
      </c>
    </row>
    <row r="63" spans="2:143" x14ac:dyDescent="0.25">
      <c r="B63" s="506" t="str">
        <f>[1]RONET_Input!J34</f>
        <v xml:space="preserve">Input VPROMMS: 217B_1 (47.83 pct); 217b_1 (47.83 pct); 214TT00018 (4.35 pct); </v>
      </c>
      <c r="C63" s="359">
        <f>[1]RONET_Input!B34</f>
        <v>32</v>
      </c>
      <c r="D63" s="397"/>
      <c r="E63" s="360"/>
      <c r="F63" s="360"/>
      <c r="G63" s="360"/>
      <c r="H63" s="360"/>
      <c r="I63" s="360"/>
      <c r="J63" s="360"/>
      <c r="K63" s="360"/>
      <c r="L63" s="360"/>
      <c r="M63" s="360"/>
      <c r="N63" s="360"/>
      <c r="O63" s="360"/>
      <c r="P63" s="442">
        <f>[1]RONET_Input!K34</f>
        <v>0.53097815755699995</v>
      </c>
      <c r="Q63" s="398">
        <f>[1]RONET_Input!Y34</f>
        <v>2</v>
      </c>
      <c r="R63" s="398">
        <f>[1]RONET_Input!X34</f>
        <v>3.5</v>
      </c>
      <c r="S63" s="398"/>
      <c r="T63" s="398"/>
      <c r="U63" s="398">
        <f>[1]RONET_Input!AA34</f>
        <v>8</v>
      </c>
      <c r="V63" s="398">
        <f>[1]RONET_Input!AC34</f>
        <v>1</v>
      </c>
      <c r="W63" s="398">
        <f>[1]RONET_Input!AD34</f>
        <v>1</v>
      </c>
      <c r="X63" s="398">
        <f>[1]RONET_Input!AE34</f>
        <v>4</v>
      </c>
      <c r="Y63" s="398">
        <f>[1]RONET_Input!AB34</f>
        <v>1</v>
      </c>
      <c r="Z63" s="438">
        <f>[1]RONET_Input!Z34</f>
        <v>1</v>
      </c>
      <c r="AA63" s="442"/>
      <c r="AB63" s="398"/>
      <c r="AC63" s="438"/>
      <c r="AD63" s="442">
        <f>[1]RONET_Input!AH34</f>
        <v>3</v>
      </c>
      <c r="AE63" s="398">
        <f>[1]RONET_Input!D34</f>
        <v>6.8550000000000004</v>
      </c>
      <c r="AF63" s="398"/>
      <c r="AG63" s="398"/>
      <c r="AH63" s="398"/>
      <c r="AI63" s="438"/>
      <c r="AJ63" s="442">
        <v>1</v>
      </c>
      <c r="AK63" s="442">
        <f>[1]RONET_Input!AF34</f>
        <v>4</v>
      </c>
      <c r="AL63" s="507"/>
      <c r="AM63" s="507"/>
      <c r="AN63" s="507"/>
      <c r="AO63" s="507"/>
      <c r="AP63" s="507"/>
      <c r="AQ63" s="507"/>
      <c r="AR63" s="507"/>
      <c r="AS63" s="507"/>
      <c r="AT63" s="507"/>
      <c r="AU63" s="507"/>
      <c r="AV63" s="507"/>
      <c r="AW63" s="507"/>
      <c r="AX63" s="508"/>
      <c r="AY63" s="509">
        <f>[1]RONET_Input!AG34</f>
        <v>3</v>
      </c>
      <c r="AZ63" s="359" t="s">
        <v>321</v>
      </c>
      <c r="BA63" s="360" t="s">
        <v>502</v>
      </c>
      <c r="BB63" s="360" t="s">
        <v>443</v>
      </c>
      <c r="BC63" s="510">
        <v>2.6575456785727848E-2</v>
      </c>
      <c r="BD63" s="510">
        <v>5.0050000000000004E-2</v>
      </c>
      <c r="BE63" s="438">
        <v>5</v>
      </c>
      <c r="BF63" s="511">
        <v>0.22219791687061785</v>
      </c>
      <c r="BG63" s="512">
        <v>0.4184690343816358</v>
      </c>
      <c r="BH63" s="512">
        <v>8.3610196679647508</v>
      </c>
      <c r="BI63" s="513">
        <v>0</v>
      </c>
      <c r="BJ63" s="514">
        <v>375</v>
      </c>
      <c r="BK63" s="515">
        <v>0.22366666666666665</v>
      </c>
      <c r="BL63" s="512">
        <v>7.2677635315614372E-2</v>
      </c>
      <c r="BM63" s="516">
        <v>3.2054071874999999E-2</v>
      </c>
      <c r="BN63" s="517">
        <v>375</v>
      </c>
      <c r="BO63" s="518">
        <v>397.50000000000011</v>
      </c>
      <c r="BP63" s="518">
        <v>421.34999999999991</v>
      </c>
      <c r="BQ63" s="518">
        <v>446.63099999999997</v>
      </c>
      <c r="BR63" s="518">
        <v>473.42885999999999</v>
      </c>
      <c r="BS63" s="518">
        <v>501.83459160000012</v>
      </c>
      <c r="BT63" s="518">
        <v>531.9446670960001</v>
      </c>
      <c r="BU63" s="518">
        <v>563.86134712175999</v>
      </c>
      <c r="BV63" s="518">
        <v>597.69302794906582</v>
      </c>
      <c r="BW63" s="518">
        <v>633.55460962600955</v>
      </c>
      <c r="BX63" s="518">
        <v>671.56788620357008</v>
      </c>
      <c r="BY63" s="518">
        <v>711.86195937578441</v>
      </c>
      <c r="BZ63" s="518">
        <v>754.57367693833146</v>
      </c>
      <c r="CA63" s="518">
        <v>799.84809755463141</v>
      </c>
      <c r="CB63" s="518">
        <v>847.83898340790915</v>
      </c>
      <c r="CC63" s="518">
        <v>898.70932241238381</v>
      </c>
      <c r="CD63" s="518">
        <v>952.63188175712685</v>
      </c>
      <c r="CE63" s="518">
        <v>1009.7897946625544</v>
      </c>
      <c r="CF63" s="518">
        <v>1070.3771823423076</v>
      </c>
      <c r="CG63" s="519">
        <v>1134.5998132828461</v>
      </c>
      <c r="CH63" s="520">
        <v>6.8550000000000004</v>
      </c>
      <c r="CI63" s="521">
        <v>6.9921000000000006</v>
      </c>
      <c r="CJ63" s="521">
        <v>7.1319420000000004</v>
      </c>
      <c r="CK63" s="521">
        <v>7.2745808400000005</v>
      </c>
      <c r="CL63" s="521">
        <v>2.5</v>
      </c>
      <c r="CM63" s="521">
        <v>2.5499999999999998</v>
      </c>
      <c r="CN63" s="521">
        <v>2.601</v>
      </c>
      <c r="CO63" s="521">
        <v>2.6530200000000002</v>
      </c>
      <c r="CP63" s="521">
        <v>2.7060804000000003</v>
      </c>
      <c r="CQ63" s="521">
        <v>2.7602020080000003</v>
      </c>
      <c r="CR63" s="521">
        <v>2.8154060481600003</v>
      </c>
      <c r="CS63" s="521">
        <v>2.8717141691232002</v>
      </c>
      <c r="CT63" s="521">
        <v>2.5</v>
      </c>
      <c r="CU63" s="521">
        <v>2.5499999999999998</v>
      </c>
      <c r="CV63" s="521">
        <v>2.601</v>
      </c>
      <c r="CW63" s="521">
        <v>2.6530200000000002</v>
      </c>
      <c r="CX63" s="521">
        <v>2.7060804000000003</v>
      </c>
      <c r="CY63" s="521">
        <v>2.7602020080000003</v>
      </c>
      <c r="CZ63" s="521">
        <v>2.8154060481600003</v>
      </c>
      <c r="DA63" s="522">
        <v>2.8717141691232002</v>
      </c>
      <c r="DB63" s="523">
        <v>0</v>
      </c>
      <c r="DC63" s="524">
        <v>0</v>
      </c>
      <c r="DD63" s="524">
        <v>0</v>
      </c>
      <c r="DE63" s="524">
        <v>0</v>
      </c>
      <c r="DF63" s="524">
        <v>-1.9647903730141345E-2</v>
      </c>
      <c r="DG63" s="524">
        <v>5.0132908909055057E-3</v>
      </c>
      <c r="DH63" s="524">
        <v>5.5404464548453672E-3</v>
      </c>
      <c r="DI63" s="524">
        <v>6.1223421039986528E-3</v>
      </c>
      <c r="DJ63" s="524">
        <v>6.764615864549163E-3</v>
      </c>
      <c r="DK63" s="524">
        <v>0.36236040299286443</v>
      </c>
      <c r="DL63" s="524">
        <v>9.1371776235318891E-5</v>
      </c>
      <c r="DM63" s="524">
        <v>6.5816456085138197E-5</v>
      </c>
      <c r="DN63" s="524">
        <v>-2.3848254613732522E-2</v>
      </c>
      <c r="DO63" s="524">
        <v>3.334728734311343E-4</v>
      </c>
      <c r="DP63" s="524">
        <v>3.2921097210554529E-4</v>
      </c>
      <c r="DQ63" s="524">
        <v>3.2226584996039587E-4</v>
      </c>
      <c r="DR63" s="524">
        <v>3.122345630299922E-4</v>
      </c>
      <c r="DS63" s="524">
        <v>4.8887453558427468E-2</v>
      </c>
      <c r="DT63" s="524">
        <v>5.3048167008939995E-4</v>
      </c>
      <c r="DU63" s="525">
        <v>5.3950453289543232E-4</v>
      </c>
      <c r="DV63" s="526">
        <v>3.5</v>
      </c>
      <c r="DW63" s="507">
        <v>1</v>
      </c>
      <c r="DX63" s="509">
        <v>6.8550000000000004</v>
      </c>
      <c r="DY63" s="507">
        <v>2</v>
      </c>
      <c r="DZ63" s="507">
        <v>10</v>
      </c>
      <c r="EA63" s="507">
        <v>0</v>
      </c>
      <c r="EB63" s="507">
        <v>0</v>
      </c>
      <c r="EC63" s="507">
        <v>111.62500000000001</v>
      </c>
      <c r="ED63" s="507">
        <v>102.18750000000001</v>
      </c>
      <c r="EE63" s="507">
        <v>0</v>
      </c>
      <c r="EF63" s="507">
        <v>25.062499999999996</v>
      </c>
      <c r="EG63" s="507">
        <v>29.3125</v>
      </c>
      <c r="EH63" s="507">
        <v>12.8125</v>
      </c>
      <c r="EI63" s="507">
        <v>16.6875</v>
      </c>
      <c r="EJ63" s="507">
        <v>56.4375</v>
      </c>
      <c r="EK63" s="507">
        <v>10.4375</v>
      </c>
      <c r="EL63" s="507">
        <v>10.4375</v>
      </c>
      <c r="EM63" s="508">
        <v>375</v>
      </c>
    </row>
    <row r="64" spans="2:143" x14ac:dyDescent="0.25">
      <c r="B64" s="506" t="str">
        <f>[1]RONET_Input!J35</f>
        <v xml:space="preserve">Input VPROMMS: 214TT00053 (65.52 pct); 214TT00052 (34.48 pct); </v>
      </c>
      <c r="C64" s="359">
        <f>[1]RONET_Input!B35</f>
        <v>33</v>
      </c>
      <c r="D64" s="397"/>
      <c r="E64" s="360"/>
      <c r="F64" s="360"/>
      <c r="G64" s="360"/>
      <c r="H64" s="360"/>
      <c r="I64" s="360"/>
      <c r="J64" s="360"/>
      <c r="K64" s="360"/>
      <c r="L64" s="360"/>
      <c r="M64" s="360"/>
      <c r="N64" s="360"/>
      <c r="O64" s="360"/>
      <c r="P64" s="442">
        <f>[1]RONET_Input!K35</f>
        <v>1.8484457239000001</v>
      </c>
      <c r="Q64" s="398">
        <f>[1]RONET_Input!Y35</f>
        <v>2</v>
      </c>
      <c r="R64" s="398">
        <f>[1]RONET_Input!X35</f>
        <v>3.5</v>
      </c>
      <c r="S64" s="398"/>
      <c r="T64" s="398"/>
      <c r="U64" s="398">
        <f>[1]RONET_Input!AA35</f>
        <v>8</v>
      </c>
      <c r="V64" s="398">
        <f>[1]RONET_Input!AC35</f>
        <v>1</v>
      </c>
      <c r="W64" s="398">
        <f>[1]RONET_Input!AD35</f>
        <v>1</v>
      </c>
      <c r="X64" s="398">
        <f>[1]RONET_Input!AE35</f>
        <v>4</v>
      </c>
      <c r="Y64" s="398">
        <f>[1]RONET_Input!AB35</f>
        <v>1</v>
      </c>
      <c r="Z64" s="438">
        <f>[1]RONET_Input!Z35</f>
        <v>1</v>
      </c>
      <c r="AA64" s="442"/>
      <c r="AB64" s="398"/>
      <c r="AC64" s="438"/>
      <c r="AD64" s="442">
        <f>[1]RONET_Input!AH35</f>
        <v>4</v>
      </c>
      <c r="AE64" s="398">
        <f>[1]RONET_Input!D35</f>
        <v>10.07</v>
      </c>
      <c r="AF64" s="398"/>
      <c r="AG64" s="398"/>
      <c r="AH64" s="398"/>
      <c r="AI64" s="438"/>
      <c r="AJ64" s="442">
        <v>1</v>
      </c>
      <c r="AK64" s="442">
        <f>[1]RONET_Input!AF35</f>
        <v>4</v>
      </c>
      <c r="AL64" s="507"/>
      <c r="AM64" s="507"/>
      <c r="AN64" s="507"/>
      <c r="AO64" s="507"/>
      <c r="AP64" s="507"/>
      <c r="AQ64" s="507"/>
      <c r="AR64" s="507"/>
      <c r="AS64" s="507"/>
      <c r="AT64" s="507"/>
      <c r="AU64" s="507"/>
      <c r="AV64" s="507"/>
      <c r="AW64" s="507"/>
      <c r="AX64" s="508"/>
      <c r="AY64" s="509">
        <f>[1]RONET_Input!AG35</f>
        <v>3</v>
      </c>
      <c r="AZ64" s="359" t="s">
        <v>321</v>
      </c>
      <c r="BA64" s="360" t="s">
        <v>502</v>
      </c>
      <c r="BB64" s="360" t="s">
        <v>443</v>
      </c>
      <c r="BC64" s="510">
        <v>9.2514708481195002E-2</v>
      </c>
      <c r="BD64" s="510">
        <v>5.0049999999999997E-2</v>
      </c>
      <c r="BE64" s="438">
        <v>5</v>
      </c>
      <c r="BF64" s="511">
        <v>0.86505168131662924</v>
      </c>
      <c r="BG64" s="512">
        <v>0.46798868375289554</v>
      </c>
      <c r="BH64" s="512">
        <v>9.3504232518061059</v>
      </c>
      <c r="BI64" s="513">
        <v>0</v>
      </c>
      <c r="BJ64" s="514">
        <v>375</v>
      </c>
      <c r="BK64" s="515">
        <v>0.22366666666666665</v>
      </c>
      <c r="BL64" s="512">
        <v>0.25300600845881255</v>
      </c>
      <c r="BM64" s="516">
        <v>3.2054071874999999E-2</v>
      </c>
      <c r="BN64" s="517">
        <v>375</v>
      </c>
      <c r="BO64" s="518">
        <v>397.50000000000011</v>
      </c>
      <c r="BP64" s="518">
        <v>421.34999999999991</v>
      </c>
      <c r="BQ64" s="518">
        <v>446.63099999999997</v>
      </c>
      <c r="BR64" s="518">
        <v>473.42885999999999</v>
      </c>
      <c r="BS64" s="518">
        <v>501.83459160000012</v>
      </c>
      <c r="BT64" s="518">
        <v>531.9446670960001</v>
      </c>
      <c r="BU64" s="518">
        <v>563.86134712175999</v>
      </c>
      <c r="BV64" s="518">
        <v>597.69302794906582</v>
      </c>
      <c r="BW64" s="518">
        <v>633.55460962600955</v>
      </c>
      <c r="BX64" s="518">
        <v>671.56788620357008</v>
      </c>
      <c r="BY64" s="518">
        <v>711.86195937578441</v>
      </c>
      <c r="BZ64" s="518">
        <v>754.57367693833146</v>
      </c>
      <c r="CA64" s="518">
        <v>799.84809755463141</v>
      </c>
      <c r="CB64" s="518">
        <v>847.83898340790915</v>
      </c>
      <c r="CC64" s="518">
        <v>898.70932241238381</v>
      </c>
      <c r="CD64" s="518">
        <v>952.63188175712685</v>
      </c>
      <c r="CE64" s="518">
        <v>1009.7897946625544</v>
      </c>
      <c r="CF64" s="518">
        <v>1070.3771823423076</v>
      </c>
      <c r="CG64" s="519">
        <v>1134.5998132828461</v>
      </c>
      <c r="CH64" s="520">
        <v>10.07</v>
      </c>
      <c r="CI64" s="521">
        <v>10.2714</v>
      </c>
      <c r="CJ64" s="521">
        <v>10.476827999999999</v>
      </c>
      <c r="CK64" s="521">
        <v>10.686364559999999</v>
      </c>
      <c r="CL64" s="521">
        <v>2.5</v>
      </c>
      <c r="CM64" s="521">
        <v>2.5499999999999998</v>
      </c>
      <c r="CN64" s="521">
        <v>2.601</v>
      </c>
      <c r="CO64" s="521">
        <v>2.6530200000000002</v>
      </c>
      <c r="CP64" s="521">
        <v>2.7060804000000003</v>
      </c>
      <c r="CQ64" s="521">
        <v>2.7602020080000003</v>
      </c>
      <c r="CR64" s="521">
        <v>2.8154060481600003</v>
      </c>
      <c r="CS64" s="521">
        <v>2.8717141691232002</v>
      </c>
      <c r="CT64" s="521">
        <v>2.5</v>
      </c>
      <c r="CU64" s="521">
        <v>2.5499999999999998</v>
      </c>
      <c r="CV64" s="521">
        <v>2.601</v>
      </c>
      <c r="CW64" s="521">
        <v>2.6530200000000002</v>
      </c>
      <c r="CX64" s="521">
        <v>2.7060804000000003</v>
      </c>
      <c r="CY64" s="521">
        <v>2.7602020080000003</v>
      </c>
      <c r="CZ64" s="521">
        <v>2.8154060481600003</v>
      </c>
      <c r="DA64" s="522">
        <v>2.8717141691232002</v>
      </c>
      <c r="DB64" s="523">
        <v>0</v>
      </c>
      <c r="DC64" s="524">
        <v>0</v>
      </c>
      <c r="DD64" s="524">
        <v>0</v>
      </c>
      <c r="DE64" s="524">
        <v>0</v>
      </c>
      <c r="DF64" s="524">
        <v>-4.7076099048600828E-2</v>
      </c>
      <c r="DG64" s="524">
        <v>4.0966129721885264E-2</v>
      </c>
      <c r="DH64" s="524">
        <v>4.521688065749932E-2</v>
      </c>
      <c r="DI64" s="524">
        <v>4.9905000981799424E-2</v>
      </c>
      <c r="DJ64" s="524">
        <v>5.5074957789877282E-2</v>
      </c>
      <c r="DK64" s="524">
        <v>1.2614521480592891</v>
      </c>
      <c r="DL64" s="524">
        <v>3.1808421243617602E-4</v>
      </c>
      <c r="DM64" s="524">
        <v>2.2912081237497217E-4</v>
      </c>
      <c r="DN64" s="524">
        <v>-8.3020748849730486E-2</v>
      </c>
      <c r="DO64" s="524">
        <v>1.1608886319664502E-3</v>
      </c>
      <c r="DP64" s="524">
        <v>1.1460520644563932E-3</v>
      </c>
      <c r="DQ64" s="524">
        <v>1.1218746455767814E-3</v>
      </c>
      <c r="DR64" s="524">
        <v>1.0869536433325555E-3</v>
      </c>
      <c r="DS64" s="524">
        <v>0.17018742333621217</v>
      </c>
      <c r="DT64" s="524">
        <v>1.8467173474622789E-3</v>
      </c>
      <c r="DU64" s="525">
        <v>1.8781278149810343E-3</v>
      </c>
      <c r="DV64" s="526">
        <v>3.5</v>
      </c>
      <c r="DW64" s="507">
        <v>1</v>
      </c>
      <c r="DX64" s="509">
        <v>10.07</v>
      </c>
      <c r="DY64" s="507">
        <v>2</v>
      </c>
      <c r="DZ64" s="507">
        <v>15</v>
      </c>
      <c r="EA64" s="507">
        <v>0</v>
      </c>
      <c r="EB64" s="507">
        <v>0</v>
      </c>
      <c r="EC64" s="507">
        <v>111.62500000000001</v>
      </c>
      <c r="ED64" s="507">
        <v>102.18750000000001</v>
      </c>
      <c r="EE64" s="507">
        <v>0</v>
      </c>
      <c r="EF64" s="507">
        <v>25.062499999999996</v>
      </c>
      <c r="EG64" s="507">
        <v>29.3125</v>
      </c>
      <c r="EH64" s="507">
        <v>12.8125</v>
      </c>
      <c r="EI64" s="507">
        <v>16.6875</v>
      </c>
      <c r="EJ64" s="507">
        <v>56.4375</v>
      </c>
      <c r="EK64" s="507">
        <v>10.4375</v>
      </c>
      <c r="EL64" s="507">
        <v>10.4375</v>
      </c>
      <c r="EM64" s="508">
        <v>375</v>
      </c>
    </row>
    <row r="65" spans="2:143" x14ac:dyDescent="0.25">
      <c r="B65" s="506" t="str">
        <f>[1]RONET_Input!J36</f>
        <v xml:space="preserve">Input VPROMMS: 212th00023 (67.39 pct); 212TH00023 (32.61 pct); </v>
      </c>
      <c r="C65" s="359">
        <f>[1]RONET_Input!B36</f>
        <v>34</v>
      </c>
      <c r="D65" s="397"/>
      <c r="E65" s="360"/>
      <c r="F65" s="360"/>
      <c r="G65" s="360"/>
      <c r="H65" s="360"/>
      <c r="I65" s="360"/>
      <c r="J65" s="360"/>
      <c r="K65" s="360"/>
      <c r="L65" s="360"/>
      <c r="M65" s="360"/>
      <c r="N65" s="360"/>
      <c r="O65" s="360"/>
      <c r="P65" s="442">
        <f>[1]RONET_Input!K36</f>
        <v>1.3173861247400001</v>
      </c>
      <c r="Q65" s="398">
        <f>[1]RONET_Input!Y36</f>
        <v>2</v>
      </c>
      <c r="R65" s="398">
        <f>[1]RONET_Input!X36</f>
        <v>3.5</v>
      </c>
      <c r="S65" s="398"/>
      <c r="T65" s="398"/>
      <c r="U65" s="398">
        <f>[1]RONET_Input!AA36</f>
        <v>8</v>
      </c>
      <c r="V65" s="398">
        <f>[1]RONET_Input!AC36</f>
        <v>1</v>
      </c>
      <c r="W65" s="398">
        <f>[1]RONET_Input!AD36</f>
        <v>1</v>
      </c>
      <c r="X65" s="398">
        <f>[1]RONET_Input!AE36</f>
        <v>4</v>
      </c>
      <c r="Y65" s="398">
        <f>[1]RONET_Input!AB36</f>
        <v>1</v>
      </c>
      <c r="Z65" s="438">
        <f>[1]RONET_Input!Z36</f>
        <v>1</v>
      </c>
      <c r="AA65" s="442"/>
      <c r="AB65" s="398"/>
      <c r="AC65" s="438"/>
      <c r="AD65" s="442">
        <f>[1]RONET_Input!AH36</f>
        <v>4</v>
      </c>
      <c r="AE65" s="398">
        <f>[1]RONET_Input!D36</f>
        <v>9.6750000000000007</v>
      </c>
      <c r="AF65" s="398"/>
      <c r="AG65" s="398"/>
      <c r="AH65" s="398"/>
      <c r="AI65" s="438"/>
      <c r="AJ65" s="442">
        <v>1</v>
      </c>
      <c r="AK65" s="442">
        <f>[1]RONET_Input!AF36</f>
        <v>4</v>
      </c>
      <c r="AL65" s="507"/>
      <c r="AM65" s="507"/>
      <c r="AN65" s="507"/>
      <c r="AO65" s="507"/>
      <c r="AP65" s="507"/>
      <c r="AQ65" s="507"/>
      <c r="AR65" s="507"/>
      <c r="AS65" s="507"/>
      <c r="AT65" s="507"/>
      <c r="AU65" s="507"/>
      <c r="AV65" s="507"/>
      <c r="AW65" s="507"/>
      <c r="AX65" s="508"/>
      <c r="AY65" s="509">
        <f>[1]RONET_Input!AG36</f>
        <v>3</v>
      </c>
      <c r="AZ65" s="359" t="s">
        <v>321</v>
      </c>
      <c r="BA65" s="360" t="s">
        <v>502</v>
      </c>
      <c r="BB65" s="360" t="s">
        <v>443</v>
      </c>
      <c r="BC65" s="510">
        <v>6.5935175543236996E-2</v>
      </c>
      <c r="BD65" s="510">
        <v>5.0049999999999997E-2</v>
      </c>
      <c r="BE65" s="438">
        <v>5</v>
      </c>
      <c r="BF65" s="511">
        <v>0.60718286658097476</v>
      </c>
      <c r="BG65" s="512">
        <v>0.46089969765000272</v>
      </c>
      <c r="BH65" s="512">
        <v>9.2087851678322235</v>
      </c>
      <c r="BI65" s="513">
        <v>0</v>
      </c>
      <c r="BJ65" s="514">
        <v>375</v>
      </c>
      <c r="BK65" s="515">
        <v>0.22366666666666665</v>
      </c>
      <c r="BL65" s="512">
        <v>0.18031722582378754</v>
      </c>
      <c r="BM65" s="516">
        <v>3.2054071874999999E-2</v>
      </c>
      <c r="BN65" s="517">
        <v>375</v>
      </c>
      <c r="BO65" s="518">
        <v>397.50000000000011</v>
      </c>
      <c r="BP65" s="518">
        <v>421.34999999999991</v>
      </c>
      <c r="BQ65" s="518">
        <v>446.63099999999997</v>
      </c>
      <c r="BR65" s="518">
        <v>473.42885999999999</v>
      </c>
      <c r="BS65" s="518">
        <v>501.83459160000012</v>
      </c>
      <c r="BT65" s="518">
        <v>531.9446670960001</v>
      </c>
      <c r="BU65" s="518">
        <v>563.86134712175999</v>
      </c>
      <c r="BV65" s="518">
        <v>597.69302794906582</v>
      </c>
      <c r="BW65" s="518">
        <v>633.55460962600955</v>
      </c>
      <c r="BX65" s="518">
        <v>671.56788620357008</v>
      </c>
      <c r="BY65" s="518">
        <v>711.86195937578441</v>
      </c>
      <c r="BZ65" s="518">
        <v>754.57367693833146</v>
      </c>
      <c r="CA65" s="518">
        <v>799.84809755463141</v>
      </c>
      <c r="CB65" s="518">
        <v>847.83898340790915</v>
      </c>
      <c r="CC65" s="518">
        <v>898.70932241238381</v>
      </c>
      <c r="CD65" s="518">
        <v>952.63188175712685</v>
      </c>
      <c r="CE65" s="518">
        <v>1009.7897946625544</v>
      </c>
      <c r="CF65" s="518">
        <v>1070.3771823423076</v>
      </c>
      <c r="CG65" s="519">
        <v>1134.5998132828461</v>
      </c>
      <c r="CH65" s="520">
        <v>9.6750000000000007</v>
      </c>
      <c r="CI65" s="521">
        <v>9.8685000000000009</v>
      </c>
      <c r="CJ65" s="521">
        <v>10.06587</v>
      </c>
      <c r="CK65" s="521">
        <v>10.267187400000001</v>
      </c>
      <c r="CL65" s="521">
        <v>2.5</v>
      </c>
      <c r="CM65" s="521">
        <v>2.5499999999999998</v>
      </c>
      <c r="CN65" s="521">
        <v>2.601</v>
      </c>
      <c r="CO65" s="521">
        <v>2.6530200000000002</v>
      </c>
      <c r="CP65" s="521">
        <v>2.7060804000000003</v>
      </c>
      <c r="CQ65" s="521">
        <v>2.7602020080000003</v>
      </c>
      <c r="CR65" s="521">
        <v>2.8154060481600003</v>
      </c>
      <c r="CS65" s="521">
        <v>2.8717141691232002</v>
      </c>
      <c r="CT65" s="521">
        <v>2.5</v>
      </c>
      <c r="CU65" s="521">
        <v>2.5499999999999998</v>
      </c>
      <c r="CV65" s="521">
        <v>2.601</v>
      </c>
      <c r="CW65" s="521">
        <v>2.6530200000000002</v>
      </c>
      <c r="CX65" s="521">
        <v>2.7060804000000003</v>
      </c>
      <c r="CY65" s="521">
        <v>2.7602020080000003</v>
      </c>
      <c r="CZ65" s="521">
        <v>2.8154060481600003</v>
      </c>
      <c r="DA65" s="522">
        <v>2.8717141691232002</v>
      </c>
      <c r="DB65" s="523">
        <v>0</v>
      </c>
      <c r="DC65" s="524">
        <v>0</v>
      </c>
      <c r="DD65" s="524">
        <v>0</v>
      </c>
      <c r="DE65" s="524">
        <v>0</v>
      </c>
      <c r="DF65" s="524">
        <v>-3.5728055948318488E-2</v>
      </c>
      <c r="DG65" s="524">
        <v>2.6796518230331995E-2</v>
      </c>
      <c r="DH65" s="524">
        <v>2.9580321651821659E-2</v>
      </c>
      <c r="DI65" s="524">
        <v>3.2650993066575762E-2</v>
      </c>
      <c r="DJ65" s="524">
        <v>3.6037835625187309E-2</v>
      </c>
      <c r="DK65" s="524">
        <v>0.89903616610961912</v>
      </c>
      <c r="DL65" s="524">
        <v>2.2669842156797237E-4</v>
      </c>
      <c r="DM65" s="524">
        <v>1.6329426134031877E-4</v>
      </c>
      <c r="DN65" s="524">
        <v>-5.9168836382926526E-2</v>
      </c>
      <c r="DO65" s="524">
        <v>8.2736461035726183E-4</v>
      </c>
      <c r="DP65" s="524">
        <v>8.1679059786454733E-4</v>
      </c>
      <c r="DQ65" s="524">
        <v>7.995593663752687E-4</v>
      </c>
      <c r="DR65" s="524">
        <v>7.7467118966340065E-4</v>
      </c>
      <c r="DS65" s="524">
        <v>0.12129247140421179</v>
      </c>
      <c r="DT65" s="524">
        <v>1.3161543119212804E-3</v>
      </c>
      <c r="DU65" s="525">
        <v>1.3385405327044353E-3</v>
      </c>
      <c r="DV65" s="526">
        <v>3.5</v>
      </c>
      <c r="DW65" s="507">
        <v>1</v>
      </c>
      <c r="DX65" s="509">
        <v>9.6750000000000007</v>
      </c>
      <c r="DY65" s="507">
        <v>2</v>
      </c>
      <c r="DZ65" s="507">
        <v>15</v>
      </c>
      <c r="EA65" s="507">
        <v>0</v>
      </c>
      <c r="EB65" s="507">
        <v>0</v>
      </c>
      <c r="EC65" s="507">
        <v>111.62500000000001</v>
      </c>
      <c r="ED65" s="507">
        <v>102.18750000000001</v>
      </c>
      <c r="EE65" s="507">
        <v>0</v>
      </c>
      <c r="EF65" s="507">
        <v>25.062499999999996</v>
      </c>
      <c r="EG65" s="507">
        <v>29.3125</v>
      </c>
      <c r="EH65" s="507">
        <v>12.8125</v>
      </c>
      <c r="EI65" s="507">
        <v>16.6875</v>
      </c>
      <c r="EJ65" s="507">
        <v>56.4375</v>
      </c>
      <c r="EK65" s="507">
        <v>10.4375</v>
      </c>
      <c r="EL65" s="507">
        <v>10.4375</v>
      </c>
      <c r="EM65" s="508">
        <v>375</v>
      </c>
    </row>
    <row r="66" spans="2:143" x14ac:dyDescent="0.25">
      <c r="B66" s="506" t="str">
        <f>[1]RONET_Input!J37</f>
        <v xml:space="preserve">Input VPROMMS: 217B_1 (49.51 pct); 217b_1 (49.51 pct); 214TT00074 (0.97 pct); </v>
      </c>
      <c r="C66" s="359">
        <f>[1]RONET_Input!B37</f>
        <v>35</v>
      </c>
      <c r="D66" s="397"/>
      <c r="E66" s="360"/>
      <c r="F66" s="360"/>
      <c r="G66" s="360"/>
      <c r="H66" s="360"/>
      <c r="I66" s="360"/>
      <c r="J66" s="360"/>
      <c r="K66" s="360"/>
      <c r="L66" s="360"/>
      <c r="M66" s="360"/>
      <c r="N66" s="360"/>
      <c r="O66" s="360"/>
      <c r="P66" s="442">
        <f>[1]RONET_Input!K37</f>
        <v>2.9368845887699999</v>
      </c>
      <c r="Q66" s="398">
        <f>[1]RONET_Input!Y37</f>
        <v>2</v>
      </c>
      <c r="R66" s="398">
        <f>[1]RONET_Input!X37</f>
        <v>3.5</v>
      </c>
      <c r="S66" s="398"/>
      <c r="T66" s="398"/>
      <c r="U66" s="398">
        <f>[1]RONET_Input!AA37</f>
        <v>8</v>
      </c>
      <c r="V66" s="398">
        <f>[1]RONET_Input!AC37</f>
        <v>1</v>
      </c>
      <c r="W66" s="398">
        <f>[1]RONET_Input!AD37</f>
        <v>1</v>
      </c>
      <c r="X66" s="398">
        <f>[1]RONET_Input!AE37</f>
        <v>4</v>
      </c>
      <c r="Y66" s="398">
        <f>[1]RONET_Input!AB37</f>
        <v>1</v>
      </c>
      <c r="Z66" s="438">
        <f>[1]RONET_Input!Z37</f>
        <v>1</v>
      </c>
      <c r="AA66" s="442"/>
      <c r="AB66" s="398"/>
      <c r="AC66" s="438"/>
      <c r="AD66" s="442">
        <f>[1]RONET_Input!AH37</f>
        <v>4</v>
      </c>
      <c r="AE66" s="398">
        <f>[1]RONET_Input!D37</f>
        <v>8.0299999999999994</v>
      </c>
      <c r="AF66" s="398"/>
      <c r="AG66" s="398"/>
      <c r="AH66" s="398"/>
      <c r="AI66" s="438"/>
      <c r="AJ66" s="442">
        <v>1</v>
      </c>
      <c r="AK66" s="442">
        <f>[1]RONET_Input!AF37</f>
        <v>4</v>
      </c>
      <c r="AL66" s="507"/>
      <c r="AM66" s="507"/>
      <c r="AN66" s="507"/>
      <c r="AO66" s="507"/>
      <c r="AP66" s="507"/>
      <c r="AQ66" s="507"/>
      <c r="AR66" s="507"/>
      <c r="AS66" s="507"/>
      <c r="AT66" s="507"/>
      <c r="AU66" s="507"/>
      <c r="AV66" s="507"/>
      <c r="AW66" s="507"/>
      <c r="AX66" s="508"/>
      <c r="AY66" s="509">
        <f>[1]RONET_Input!AG37</f>
        <v>3</v>
      </c>
      <c r="AZ66" s="359" t="s">
        <v>321</v>
      </c>
      <c r="BA66" s="360" t="s">
        <v>502</v>
      </c>
      <c r="BB66" s="360" t="s">
        <v>443</v>
      </c>
      <c r="BC66" s="510">
        <v>0.14699107366793851</v>
      </c>
      <c r="BD66" s="510">
        <v>5.0050000000000004E-2</v>
      </c>
      <c r="BE66" s="438">
        <v>5</v>
      </c>
      <c r="BF66" s="511">
        <v>1.2757553484886253</v>
      </c>
      <c r="BG66" s="512">
        <v>0.43439069869031721</v>
      </c>
      <c r="BH66" s="512">
        <v>8.6791348389673768</v>
      </c>
      <c r="BI66" s="513">
        <v>0</v>
      </c>
      <c r="BJ66" s="514">
        <v>375</v>
      </c>
      <c r="BK66" s="515">
        <v>0.22366666666666665</v>
      </c>
      <c r="BL66" s="512">
        <v>0.40198607808789383</v>
      </c>
      <c r="BM66" s="516">
        <v>3.2054071874999999E-2</v>
      </c>
      <c r="BN66" s="517">
        <v>375</v>
      </c>
      <c r="BO66" s="518">
        <v>397.50000000000011</v>
      </c>
      <c r="BP66" s="518">
        <v>421.34999999999991</v>
      </c>
      <c r="BQ66" s="518">
        <v>446.63099999999997</v>
      </c>
      <c r="BR66" s="518">
        <v>473.42885999999999</v>
      </c>
      <c r="BS66" s="518">
        <v>501.83459160000012</v>
      </c>
      <c r="BT66" s="518">
        <v>531.9446670960001</v>
      </c>
      <c r="BU66" s="518">
        <v>563.86134712175999</v>
      </c>
      <c r="BV66" s="518">
        <v>597.69302794906582</v>
      </c>
      <c r="BW66" s="518">
        <v>633.55460962600955</v>
      </c>
      <c r="BX66" s="518">
        <v>671.56788620357008</v>
      </c>
      <c r="BY66" s="518">
        <v>711.86195937578441</v>
      </c>
      <c r="BZ66" s="518">
        <v>754.57367693833146</v>
      </c>
      <c r="CA66" s="518">
        <v>799.84809755463141</v>
      </c>
      <c r="CB66" s="518">
        <v>847.83898340790915</v>
      </c>
      <c r="CC66" s="518">
        <v>898.70932241238381</v>
      </c>
      <c r="CD66" s="518">
        <v>952.63188175712685</v>
      </c>
      <c r="CE66" s="518">
        <v>1009.7897946625544</v>
      </c>
      <c r="CF66" s="518">
        <v>1070.3771823423076</v>
      </c>
      <c r="CG66" s="519">
        <v>1134.5998132828461</v>
      </c>
      <c r="CH66" s="520">
        <v>8.0299999999999994</v>
      </c>
      <c r="CI66" s="521">
        <v>8.1905999999999999</v>
      </c>
      <c r="CJ66" s="521">
        <v>8.3544119999999999</v>
      </c>
      <c r="CK66" s="521">
        <v>8.5215002399999999</v>
      </c>
      <c r="CL66" s="521">
        <v>2.5</v>
      </c>
      <c r="CM66" s="521">
        <v>2.5499999999999998</v>
      </c>
      <c r="CN66" s="521">
        <v>2.601</v>
      </c>
      <c r="CO66" s="521">
        <v>2.6530200000000002</v>
      </c>
      <c r="CP66" s="521">
        <v>2.7060804000000003</v>
      </c>
      <c r="CQ66" s="521">
        <v>2.7602020080000003</v>
      </c>
      <c r="CR66" s="521">
        <v>2.8154060481600003</v>
      </c>
      <c r="CS66" s="521">
        <v>2.8717141691232002</v>
      </c>
      <c r="CT66" s="521">
        <v>2.5</v>
      </c>
      <c r="CU66" s="521">
        <v>2.5499999999999998</v>
      </c>
      <c r="CV66" s="521">
        <v>2.601</v>
      </c>
      <c r="CW66" s="521">
        <v>2.6530200000000002</v>
      </c>
      <c r="CX66" s="521">
        <v>2.7060804000000003</v>
      </c>
      <c r="CY66" s="521">
        <v>2.7602020080000003</v>
      </c>
      <c r="CZ66" s="521">
        <v>2.8154060481600003</v>
      </c>
      <c r="DA66" s="522">
        <v>2.8717141691232002</v>
      </c>
      <c r="DB66" s="523">
        <v>0</v>
      </c>
      <c r="DC66" s="524">
        <v>0</v>
      </c>
      <c r="DD66" s="524">
        <v>0</v>
      </c>
      <c r="DE66" s="524">
        <v>0</v>
      </c>
      <c r="DF66" s="524">
        <v>-9.7786765743194559E-2</v>
      </c>
      <c r="DG66" s="524">
        <v>3.9737899428411716E-2</v>
      </c>
      <c r="DH66" s="524">
        <v>4.3890226112297481E-2</v>
      </c>
      <c r="DI66" s="524">
        <v>4.8472167034088853E-2</v>
      </c>
      <c r="DJ66" s="524">
        <v>5.3527906235201983E-2</v>
      </c>
      <c r="DK66" s="524">
        <v>2.0042456887993332</v>
      </c>
      <c r="DL66" s="524">
        <v>5.053849346811079E-4</v>
      </c>
      <c r="DM66" s="524">
        <v>3.6403632204617953E-4</v>
      </c>
      <c r="DN66" s="524">
        <v>-0.13190669041148906</v>
      </c>
      <c r="DO66" s="524">
        <v>1.8444663472764189E-3</v>
      </c>
      <c r="DP66" s="524">
        <v>1.8208934146729527E-3</v>
      </c>
      <c r="DQ66" s="524">
        <v>1.7824793633511304E-3</v>
      </c>
      <c r="DR66" s="524">
        <v>1.7269954765430362E-3</v>
      </c>
      <c r="DS66" s="524">
        <v>0.2704005935018936</v>
      </c>
      <c r="DT66" s="524">
        <v>2.9341384750715127E-3</v>
      </c>
      <c r="DU66" s="525">
        <v>2.9840446837251511E-3</v>
      </c>
      <c r="DV66" s="526">
        <v>3.5</v>
      </c>
      <c r="DW66" s="507">
        <v>1</v>
      </c>
      <c r="DX66" s="509">
        <v>8.0299999999999994</v>
      </c>
      <c r="DY66" s="507">
        <v>2</v>
      </c>
      <c r="DZ66" s="507">
        <v>15</v>
      </c>
      <c r="EA66" s="507">
        <v>0</v>
      </c>
      <c r="EB66" s="507">
        <v>0</v>
      </c>
      <c r="EC66" s="507">
        <v>111.62500000000001</v>
      </c>
      <c r="ED66" s="507">
        <v>102.18750000000001</v>
      </c>
      <c r="EE66" s="507">
        <v>0</v>
      </c>
      <c r="EF66" s="507">
        <v>25.062499999999996</v>
      </c>
      <c r="EG66" s="507">
        <v>29.3125</v>
      </c>
      <c r="EH66" s="507">
        <v>12.8125</v>
      </c>
      <c r="EI66" s="507">
        <v>16.6875</v>
      </c>
      <c r="EJ66" s="507">
        <v>56.4375</v>
      </c>
      <c r="EK66" s="507">
        <v>10.4375</v>
      </c>
      <c r="EL66" s="507">
        <v>10.4375</v>
      </c>
      <c r="EM66" s="508">
        <v>375</v>
      </c>
    </row>
    <row r="67" spans="2:143" x14ac:dyDescent="0.25">
      <c r="B67" s="506" t="str">
        <f>[1]RONET_Input!J38</f>
        <v>214TT00053</v>
      </c>
      <c r="C67" s="359">
        <f>[1]RONET_Input!B38</f>
        <v>36</v>
      </c>
      <c r="D67" s="397"/>
      <c r="E67" s="360"/>
      <c r="F67" s="360"/>
      <c r="G67" s="360"/>
      <c r="H67" s="360"/>
      <c r="I67" s="360"/>
      <c r="J67" s="360"/>
      <c r="K67" s="360"/>
      <c r="L67" s="360"/>
      <c r="M67" s="360"/>
      <c r="N67" s="360"/>
      <c r="O67" s="360"/>
      <c r="P67" s="442">
        <f>[1]RONET_Input!K38</f>
        <v>1.5484874522200001</v>
      </c>
      <c r="Q67" s="398">
        <f>[1]RONET_Input!Y38</f>
        <v>1</v>
      </c>
      <c r="R67" s="398">
        <f>[1]RONET_Input!X38</f>
        <v>3.4</v>
      </c>
      <c r="S67" s="398"/>
      <c r="T67" s="398"/>
      <c r="U67" s="398">
        <f>[1]RONET_Input!AA38</f>
        <v>8</v>
      </c>
      <c r="V67" s="398">
        <f>[1]RONET_Input!AC38</f>
        <v>1</v>
      </c>
      <c r="W67" s="398">
        <f>[1]RONET_Input!AD38</f>
        <v>1</v>
      </c>
      <c r="X67" s="398">
        <f>[1]RONET_Input!AE38</f>
        <v>4</v>
      </c>
      <c r="Y67" s="398">
        <f>[1]RONET_Input!AB38</f>
        <v>1</v>
      </c>
      <c r="Z67" s="438">
        <f>[1]RONET_Input!Z38</f>
        <v>1</v>
      </c>
      <c r="AA67" s="442"/>
      <c r="AB67" s="398"/>
      <c r="AC67" s="438"/>
      <c r="AD67" s="442">
        <f>[1]RONET_Input!AH38</f>
        <v>4</v>
      </c>
      <c r="AE67" s="398">
        <f>[1]RONET_Input!D38</f>
        <v>9.67</v>
      </c>
      <c r="AF67" s="398"/>
      <c r="AG67" s="398"/>
      <c r="AH67" s="398"/>
      <c r="AI67" s="438"/>
      <c r="AJ67" s="442">
        <v>1</v>
      </c>
      <c r="AK67" s="442">
        <f>[1]RONET_Input!AF38</f>
        <v>4</v>
      </c>
      <c r="AL67" s="507"/>
      <c r="AM67" s="507"/>
      <c r="AN67" s="507"/>
      <c r="AO67" s="507"/>
      <c r="AP67" s="507"/>
      <c r="AQ67" s="507"/>
      <c r="AR67" s="507"/>
      <c r="AS67" s="507"/>
      <c r="AT67" s="507"/>
      <c r="AU67" s="507"/>
      <c r="AV67" s="507"/>
      <c r="AW67" s="507"/>
      <c r="AX67" s="508"/>
      <c r="AY67" s="509">
        <f>[1]RONET_Input!AG38</f>
        <v>3</v>
      </c>
      <c r="AZ67" s="359" t="s">
        <v>321</v>
      </c>
      <c r="BA67" s="360" t="s">
        <v>502</v>
      </c>
      <c r="BB67" s="360" t="s">
        <v>443</v>
      </c>
      <c r="BC67" s="510">
        <v>7.528745992693639E-2</v>
      </c>
      <c r="BD67" s="510">
        <v>4.861999999999999E-2</v>
      </c>
      <c r="BE67" s="438">
        <v>5</v>
      </c>
      <c r="BF67" s="511">
        <v>0.74526010479354199</v>
      </c>
      <c r="BG67" s="512">
        <v>0.48128262436036828</v>
      </c>
      <c r="BH67" s="512">
        <v>9.8988610522494511</v>
      </c>
      <c r="BI67" s="513">
        <v>0</v>
      </c>
      <c r="BJ67" s="514">
        <v>375</v>
      </c>
      <c r="BK67" s="515">
        <v>0.22366666666666665</v>
      </c>
      <c r="BL67" s="512">
        <v>0.21194922002261249</v>
      </c>
      <c r="BM67" s="516">
        <v>6.4108143749999999E-2</v>
      </c>
      <c r="BN67" s="517">
        <v>375</v>
      </c>
      <c r="BO67" s="518">
        <v>397.50000000000011</v>
      </c>
      <c r="BP67" s="518">
        <v>421.34999999999991</v>
      </c>
      <c r="BQ67" s="518">
        <v>446.63099999999997</v>
      </c>
      <c r="BR67" s="518">
        <v>473.42885999999999</v>
      </c>
      <c r="BS67" s="518">
        <v>501.83459160000012</v>
      </c>
      <c r="BT67" s="518">
        <v>531.9446670960001</v>
      </c>
      <c r="BU67" s="518">
        <v>563.86134712175999</v>
      </c>
      <c r="BV67" s="518">
        <v>597.69302794906582</v>
      </c>
      <c r="BW67" s="518">
        <v>633.55460962600955</v>
      </c>
      <c r="BX67" s="518">
        <v>671.56788620357008</v>
      </c>
      <c r="BY67" s="518">
        <v>711.86195937578441</v>
      </c>
      <c r="BZ67" s="518">
        <v>754.57367693833146</v>
      </c>
      <c r="CA67" s="518">
        <v>799.84809755463141</v>
      </c>
      <c r="CB67" s="518">
        <v>847.83898340790915</v>
      </c>
      <c r="CC67" s="518">
        <v>898.70932241238381</v>
      </c>
      <c r="CD67" s="518">
        <v>952.63188175712685</v>
      </c>
      <c r="CE67" s="518">
        <v>1009.7897946625544</v>
      </c>
      <c r="CF67" s="518">
        <v>1070.3771823423076</v>
      </c>
      <c r="CG67" s="519">
        <v>1134.5998132828461</v>
      </c>
      <c r="CH67" s="520">
        <v>9.67</v>
      </c>
      <c r="CI67" s="521">
        <v>9.8634000000000004</v>
      </c>
      <c r="CJ67" s="521">
        <v>10.060668</v>
      </c>
      <c r="CK67" s="521">
        <v>10.26188136</v>
      </c>
      <c r="CL67" s="521">
        <v>2.5</v>
      </c>
      <c r="CM67" s="521">
        <v>2.5499999999999998</v>
      </c>
      <c r="CN67" s="521">
        <v>2.601</v>
      </c>
      <c r="CO67" s="521">
        <v>2.6530200000000002</v>
      </c>
      <c r="CP67" s="521">
        <v>2.7060804000000003</v>
      </c>
      <c r="CQ67" s="521">
        <v>2.7602020080000003</v>
      </c>
      <c r="CR67" s="521">
        <v>2.8154060481600003</v>
      </c>
      <c r="CS67" s="521">
        <v>2.8717141691232002</v>
      </c>
      <c r="CT67" s="521">
        <v>2.5</v>
      </c>
      <c r="CU67" s="521">
        <v>2.5499999999999998</v>
      </c>
      <c r="CV67" s="521">
        <v>2.601</v>
      </c>
      <c r="CW67" s="521">
        <v>2.6530200000000002</v>
      </c>
      <c r="CX67" s="521">
        <v>2.7060804000000003</v>
      </c>
      <c r="CY67" s="521">
        <v>2.7602020080000003</v>
      </c>
      <c r="CZ67" s="521">
        <v>2.8154060481600003</v>
      </c>
      <c r="DA67" s="522">
        <v>2.8717141691232002</v>
      </c>
      <c r="DB67" s="523">
        <v>0</v>
      </c>
      <c r="DC67" s="524">
        <v>0</v>
      </c>
      <c r="DD67" s="524">
        <v>0</v>
      </c>
      <c r="DE67" s="524">
        <v>0</v>
      </c>
      <c r="DF67" s="524">
        <v>-3.8630876289836164E-2</v>
      </c>
      <c r="DG67" s="524">
        <v>3.2914483066107225E-2</v>
      </c>
      <c r="DH67" s="524">
        <v>3.6254938475122539E-2</v>
      </c>
      <c r="DI67" s="524">
        <v>3.993293501436751E-2</v>
      </c>
      <c r="DJ67" s="524">
        <v>4.3982387774089499E-2</v>
      </c>
      <c r="DK67" s="524">
        <v>1.0610545311251973</v>
      </c>
      <c r="DL67" s="524">
        <v>4.6385205558248932E-3</v>
      </c>
      <c r="DM67" s="524">
        <v>4.6325538557232815E-3</v>
      </c>
      <c r="DN67" s="524">
        <v>-6.2820823984025775E-2</v>
      </c>
      <c r="DO67" s="524">
        <v>5.7735848711630011E-3</v>
      </c>
      <c r="DP67" s="524">
        <v>5.8529855548979937E-3</v>
      </c>
      <c r="DQ67" s="524">
        <v>5.927972930332287E-3</v>
      </c>
      <c r="DR67" s="524">
        <v>5.9974194453719099E-3</v>
      </c>
      <c r="DS67" s="524">
        <v>0.14775915026992942</v>
      </c>
      <c r="DT67" s="524">
        <v>6.8418183634233465E-3</v>
      </c>
      <c r="DU67" s="525">
        <v>6.9774060198337651E-3</v>
      </c>
      <c r="DV67" s="526">
        <v>3.4</v>
      </c>
      <c r="DW67" s="507">
        <v>1</v>
      </c>
      <c r="DX67" s="509">
        <v>9.67</v>
      </c>
      <c r="DY67" s="507">
        <v>2</v>
      </c>
      <c r="DZ67" s="507">
        <v>15</v>
      </c>
      <c r="EA67" s="507">
        <v>0</v>
      </c>
      <c r="EB67" s="507">
        <v>0</v>
      </c>
      <c r="EC67" s="507">
        <v>111.62500000000001</v>
      </c>
      <c r="ED67" s="507">
        <v>102.18750000000001</v>
      </c>
      <c r="EE67" s="507">
        <v>0</v>
      </c>
      <c r="EF67" s="507">
        <v>25.062499999999996</v>
      </c>
      <c r="EG67" s="507">
        <v>29.3125</v>
      </c>
      <c r="EH67" s="507">
        <v>12.8125</v>
      </c>
      <c r="EI67" s="507">
        <v>16.6875</v>
      </c>
      <c r="EJ67" s="507">
        <v>56.4375</v>
      </c>
      <c r="EK67" s="507">
        <v>10.4375</v>
      </c>
      <c r="EL67" s="507">
        <v>10.4375</v>
      </c>
      <c r="EM67" s="508">
        <v>375</v>
      </c>
    </row>
    <row r="68" spans="2:143" x14ac:dyDescent="0.25">
      <c r="B68" s="506" t="str">
        <f>[1]RONET_Input!J39</f>
        <v xml:space="preserve">Input VPROMMS: 212th00023 (63.41 pct); 212TH00023 (31.71 pct); 214TT00053 (4.88 pct); </v>
      </c>
      <c r="C68" s="359">
        <f>[1]RONET_Input!B39</f>
        <v>37</v>
      </c>
      <c r="D68" s="397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442">
        <f>[1]RONET_Input!K39</f>
        <v>0.63143701588699996</v>
      </c>
      <c r="Q68" s="398">
        <f>[1]RONET_Input!Y39</f>
        <v>2</v>
      </c>
      <c r="R68" s="398">
        <f>[1]RONET_Input!X39</f>
        <v>3.5</v>
      </c>
      <c r="S68" s="398"/>
      <c r="T68" s="398"/>
      <c r="U68" s="398">
        <f>[1]RONET_Input!AA39</f>
        <v>8</v>
      </c>
      <c r="V68" s="398">
        <f>[1]RONET_Input!AC39</f>
        <v>1</v>
      </c>
      <c r="W68" s="398">
        <f>[1]RONET_Input!AD39</f>
        <v>1</v>
      </c>
      <c r="X68" s="398">
        <f>[1]RONET_Input!AE39</f>
        <v>4</v>
      </c>
      <c r="Y68" s="398">
        <f>[1]RONET_Input!AB39</f>
        <v>1</v>
      </c>
      <c r="Z68" s="438">
        <f>[1]RONET_Input!Z39</f>
        <v>1</v>
      </c>
      <c r="AA68" s="442"/>
      <c r="AB68" s="398"/>
      <c r="AC68" s="438"/>
      <c r="AD68" s="442">
        <f>[1]RONET_Input!AH39</f>
        <v>4</v>
      </c>
      <c r="AE68" s="398">
        <f>[1]RONET_Input!D39</f>
        <v>9.01</v>
      </c>
      <c r="AF68" s="398"/>
      <c r="AG68" s="398"/>
      <c r="AH68" s="398"/>
      <c r="AI68" s="438"/>
      <c r="AJ68" s="442">
        <v>1</v>
      </c>
      <c r="AK68" s="442">
        <f>[1]RONET_Input!AF39</f>
        <v>4</v>
      </c>
      <c r="AL68" s="507"/>
      <c r="AM68" s="507"/>
      <c r="AN68" s="507"/>
      <c r="AO68" s="507"/>
      <c r="AP68" s="507"/>
      <c r="AQ68" s="507"/>
      <c r="AR68" s="507"/>
      <c r="AS68" s="507"/>
      <c r="AT68" s="507"/>
      <c r="AU68" s="507"/>
      <c r="AV68" s="507"/>
      <c r="AW68" s="507"/>
      <c r="AX68" s="508"/>
      <c r="AY68" s="509">
        <f>[1]RONET_Input!AG39</f>
        <v>3</v>
      </c>
      <c r="AZ68" s="359" t="s">
        <v>321</v>
      </c>
      <c r="BA68" s="360" t="s">
        <v>502</v>
      </c>
      <c r="BB68" s="360" t="s">
        <v>443</v>
      </c>
      <c r="BC68" s="510">
        <v>3.1603422645144347E-2</v>
      </c>
      <c r="BD68" s="510">
        <v>5.0049999999999997E-2</v>
      </c>
      <c r="BE68" s="438">
        <v>5</v>
      </c>
      <c r="BF68" s="511">
        <v>0.28389073149520944</v>
      </c>
      <c r="BG68" s="512">
        <v>0.44959469329877494</v>
      </c>
      <c r="BH68" s="512">
        <v>8.9829109550204791</v>
      </c>
      <c r="BI68" s="513">
        <v>0</v>
      </c>
      <c r="BJ68" s="514">
        <v>375</v>
      </c>
      <c r="BK68" s="515">
        <v>0.22366666666666665</v>
      </c>
      <c r="BL68" s="512">
        <v>8.6427941549533122E-2</v>
      </c>
      <c r="BM68" s="516">
        <v>3.2054071874999999E-2</v>
      </c>
      <c r="BN68" s="517">
        <v>375</v>
      </c>
      <c r="BO68" s="518">
        <v>397.50000000000011</v>
      </c>
      <c r="BP68" s="518">
        <v>421.34999999999991</v>
      </c>
      <c r="BQ68" s="518">
        <v>446.63099999999997</v>
      </c>
      <c r="BR68" s="518">
        <v>473.42885999999999</v>
      </c>
      <c r="BS68" s="518">
        <v>501.83459160000012</v>
      </c>
      <c r="BT68" s="518">
        <v>531.9446670960001</v>
      </c>
      <c r="BU68" s="518">
        <v>563.86134712175999</v>
      </c>
      <c r="BV68" s="518">
        <v>597.69302794906582</v>
      </c>
      <c r="BW68" s="518">
        <v>633.55460962600955</v>
      </c>
      <c r="BX68" s="518">
        <v>671.56788620357008</v>
      </c>
      <c r="BY68" s="518">
        <v>711.86195937578441</v>
      </c>
      <c r="BZ68" s="518">
        <v>754.57367693833146</v>
      </c>
      <c r="CA68" s="518">
        <v>799.84809755463141</v>
      </c>
      <c r="CB68" s="518">
        <v>847.83898340790915</v>
      </c>
      <c r="CC68" s="518">
        <v>898.70932241238381</v>
      </c>
      <c r="CD68" s="518">
        <v>952.63188175712685</v>
      </c>
      <c r="CE68" s="518">
        <v>1009.7897946625544</v>
      </c>
      <c r="CF68" s="518">
        <v>1070.3771823423076</v>
      </c>
      <c r="CG68" s="519">
        <v>1134.5998132828461</v>
      </c>
      <c r="CH68" s="520">
        <v>9.01</v>
      </c>
      <c r="CI68" s="521">
        <v>9.190199999999999</v>
      </c>
      <c r="CJ68" s="521">
        <v>9.3740039999999993</v>
      </c>
      <c r="CK68" s="521">
        <v>9.5614840799999996</v>
      </c>
      <c r="CL68" s="521">
        <v>2.5</v>
      </c>
      <c r="CM68" s="521">
        <v>2.5499999999999998</v>
      </c>
      <c r="CN68" s="521">
        <v>2.601</v>
      </c>
      <c r="CO68" s="521">
        <v>2.6530200000000002</v>
      </c>
      <c r="CP68" s="521">
        <v>2.7060804000000003</v>
      </c>
      <c r="CQ68" s="521">
        <v>2.7602020080000003</v>
      </c>
      <c r="CR68" s="521">
        <v>2.8154060481600003</v>
      </c>
      <c r="CS68" s="521">
        <v>2.8717141691232002</v>
      </c>
      <c r="CT68" s="521">
        <v>2.5</v>
      </c>
      <c r="CU68" s="521">
        <v>2.5499999999999998</v>
      </c>
      <c r="CV68" s="521">
        <v>2.601</v>
      </c>
      <c r="CW68" s="521">
        <v>2.6530200000000002</v>
      </c>
      <c r="CX68" s="521">
        <v>2.7060804000000003</v>
      </c>
      <c r="CY68" s="521">
        <v>2.7602020080000003</v>
      </c>
      <c r="CZ68" s="521">
        <v>2.8154060481600003</v>
      </c>
      <c r="DA68" s="522">
        <v>2.8717141691232002</v>
      </c>
      <c r="DB68" s="523">
        <v>0</v>
      </c>
      <c r="DC68" s="524">
        <v>0</v>
      </c>
      <c r="DD68" s="524">
        <v>0</v>
      </c>
      <c r="DE68" s="524">
        <v>0</v>
      </c>
      <c r="DF68" s="524">
        <v>-1.8788154756206599E-2</v>
      </c>
      <c r="DG68" s="524">
        <v>1.1009819264622814E-2</v>
      </c>
      <c r="DH68" s="524">
        <v>1.2155985301275728E-2</v>
      </c>
      <c r="DI68" s="524">
        <v>1.3420476179009495E-2</v>
      </c>
      <c r="DJ68" s="524">
        <v>1.4815431894084422E-2</v>
      </c>
      <c r="DK68" s="524">
        <v>0.4309174836760829</v>
      </c>
      <c r="DL68" s="524">
        <v>1.0865893615619182E-4</v>
      </c>
      <c r="DM68" s="524">
        <v>7.8268655753860328E-5</v>
      </c>
      <c r="DN68" s="524">
        <v>-2.8360245168450468E-2</v>
      </c>
      <c r="DO68" s="524">
        <v>3.9656455370484789E-4</v>
      </c>
      <c r="DP68" s="524">
        <v>3.9149631837964716E-4</v>
      </c>
      <c r="DQ68" s="524">
        <v>3.8323720801912431E-4</v>
      </c>
      <c r="DR68" s="524">
        <v>3.7130804333559975E-4</v>
      </c>
      <c r="DS68" s="524">
        <v>5.8136756380480589E-2</v>
      </c>
      <c r="DT68" s="524">
        <v>6.3084659505611984E-4</v>
      </c>
      <c r="DU68" s="525">
        <v>6.4157654596634639E-4</v>
      </c>
      <c r="DV68" s="526">
        <v>3.5</v>
      </c>
      <c r="DW68" s="507">
        <v>1</v>
      </c>
      <c r="DX68" s="509">
        <v>9.01</v>
      </c>
      <c r="DY68" s="507">
        <v>2</v>
      </c>
      <c r="DZ68" s="507">
        <v>15</v>
      </c>
      <c r="EA68" s="507">
        <v>0</v>
      </c>
      <c r="EB68" s="507">
        <v>0</v>
      </c>
      <c r="EC68" s="507">
        <v>111.62500000000001</v>
      </c>
      <c r="ED68" s="507">
        <v>102.18750000000001</v>
      </c>
      <c r="EE68" s="507">
        <v>0</v>
      </c>
      <c r="EF68" s="507">
        <v>25.062499999999996</v>
      </c>
      <c r="EG68" s="507">
        <v>29.3125</v>
      </c>
      <c r="EH68" s="507">
        <v>12.8125</v>
      </c>
      <c r="EI68" s="507">
        <v>16.6875</v>
      </c>
      <c r="EJ68" s="507">
        <v>56.4375</v>
      </c>
      <c r="EK68" s="507">
        <v>10.4375</v>
      </c>
      <c r="EL68" s="507">
        <v>10.4375</v>
      </c>
      <c r="EM68" s="508">
        <v>375</v>
      </c>
    </row>
    <row r="69" spans="2:143" x14ac:dyDescent="0.25">
      <c r="B69" s="506" t="str">
        <f>[1]RONET_Input!J40</f>
        <v xml:space="preserve">Input VPROMMS: 214TT00072 (73.61 pct); 214TT00017 (26.39 pct); </v>
      </c>
      <c r="C69" s="359">
        <f>[1]RONET_Input!B40</f>
        <v>38</v>
      </c>
      <c r="D69" s="397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442">
        <f>[1]RONET_Input!K40</f>
        <v>2.6118022886699999</v>
      </c>
      <c r="Q69" s="398">
        <f>[1]RONET_Input!Y40</f>
        <v>2</v>
      </c>
      <c r="R69" s="398">
        <f>[1]RONET_Input!X40</f>
        <v>3.5</v>
      </c>
      <c r="S69" s="398"/>
      <c r="T69" s="398"/>
      <c r="U69" s="398">
        <f>[1]RONET_Input!AA40</f>
        <v>8</v>
      </c>
      <c r="V69" s="398">
        <f>[1]RONET_Input!AC40</f>
        <v>1</v>
      </c>
      <c r="W69" s="398">
        <f>[1]RONET_Input!AD40</f>
        <v>1</v>
      </c>
      <c r="X69" s="398">
        <f>[1]RONET_Input!AE40</f>
        <v>4</v>
      </c>
      <c r="Y69" s="398">
        <f>[1]RONET_Input!AB40</f>
        <v>1</v>
      </c>
      <c r="Z69" s="438">
        <f>[1]RONET_Input!Z40</f>
        <v>1</v>
      </c>
      <c r="AA69" s="442"/>
      <c r="AB69" s="398"/>
      <c r="AC69" s="438"/>
      <c r="AD69" s="442">
        <f>[1]RONET_Input!AH40</f>
        <v>4</v>
      </c>
      <c r="AE69" s="398">
        <f>[1]RONET_Input!D40</f>
        <v>9.6750000000000007</v>
      </c>
      <c r="AF69" s="398"/>
      <c r="AG69" s="398"/>
      <c r="AH69" s="398"/>
      <c r="AI69" s="438"/>
      <c r="AJ69" s="442">
        <v>1</v>
      </c>
      <c r="AK69" s="442">
        <f>[1]RONET_Input!AF40</f>
        <v>4</v>
      </c>
      <c r="AL69" s="507"/>
      <c r="AM69" s="507"/>
      <c r="AN69" s="507"/>
      <c r="AO69" s="507"/>
      <c r="AP69" s="507"/>
      <c r="AQ69" s="507"/>
      <c r="AR69" s="507"/>
      <c r="AS69" s="507"/>
      <c r="AT69" s="507"/>
      <c r="AU69" s="507"/>
      <c r="AV69" s="507"/>
      <c r="AW69" s="507"/>
      <c r="AX69" s="508"/>
      <c r="AY69" s="509">
        <f>[1]RONET_Input!AG40</f>
        <v>3</v>
      </c>
      <c r="AZ69" s="359" t="s">
        <v>321</v>
      </c>
      <c r="BA69" s="360" t="s">
        <v>502</v>
      </c>
      <c r="BB69" s="360" t="s">
        <v>443</v>
      </c>
      <c r="BC69" s="510">
        <v>0.1307207045479335</v>
      </c>
      <c r="BD69" s="510">
        <v>5.0050000000000004E-2</v>
      </c>
      <c r="BE69" s="438">
        <v>5</v>
      </c>
      <c r="BF69" s="511">
        <v>1.203778885169587</v>
      </c>
      <c r="BG69" s="512">
        <v>0.46089969765000233</v>
      </c>
      <c r="BH69" s="512">
        <v>9.2087851678322128</v>
      </c>
      <c r="BI69" s="513">
        <v>0</v>
      </c>
      <c r="BJ69" s="514">
        <v>375</v>
      </c>
      <c r="BK69" s="515">
        <v>0.22366666666666665</v>
      </c>
      <c r="BL69" s="512">
        <v>0.35749043826170623</v>
      </c>
      <c r="BM69" s="516">
        <v>3.2054071874999999E-2</v>
      </c>
      <c r="BN69" s="517">
        <v>375</v>
      </c>
      <c r="BO69" s="518">
        <v>397.50000000000011</v>
      </c>
      <c r="BP69" s="518">
        <v>421.34999999999991</v>
      </c>
      <c r="BQ69" s="518">
        <v>446.63099999999997</v>
      </c>
      <c r="BR69" s="518">
        <v>473.42885999999999</v>
      </c>
      <c r="BS69" s="518">
        <v>501.83459160000012</v>
      </c>
      <c r="BT69" s="518">
        <v>531.9446670960001</v>
      </c>
      <c r="BU69" s="518">
        <v>563.86134712175999</v>
      </c>
      <c r="BV69" s="518">
        <v>597.69302794906582</v>
      </c>
      <c r="BW69" s="518">
        <v>633.55460962600955</v>
      </c>
      <c r="BX69" s="518">
        <v>671.56788620357008</v>
      </c>
      <c r="BY69" s="518">
        <v>711.86195937578441</v>
      </c>
      <c r="BZ69" s="518">
        <v>754.57367693833146</v>
      </c>
      <c r="CA69" s="518">
        <v>799.84809755463141</v>
      </c>
      <c r="CB69" s="518">
        <v>847.83898340790915</v>
      </c>
      <c r="CC69" s="518">
        <v>898.70932241238381</v>
      </c>
      <c r="CD69" s="518">
        <v>952.63188175712685</v>
      </c>
      <c r="CE69" s="518">
        <v>1009.7897946625544</v>
      </c>
      <c r="CF69" s="518">
        <v>1070.3771823423076</v>
      </c>
      <c r="CG69" s="519">
        <v>1134.5998132828461</v>
      </c>
      <c r="CH69" s="520">
        <v>9.6750000000000007</v>
      </c>
      <c r="CI69" s="521">
        <v>9.8685000000000009</v>
      </c>
      <c r="CJ69" s="521">
        <v>10.06587</v>
      </c>
      <c r="CK69" s="521">
        <v>10.267187400000001</v>
      </c>
      <c r="CL69" s="521">
        <v>2.5</v>
      </c>
      <c r="CM69" s="521">
        <v>2.5499999999999998</v>
      </c>
      <c r="CN69" s="521">
        <v>2.601</v>
      </c>
      <c r="CO69" s="521">
        <v>2.6530200000000002</v>
      </c>
      <c r="CP69" s="521">
        <v>2.7060804000000003</v>
      </c>
      <c r="CQ69" s="521">
        <v>2.7602020080000003</v>
      </c>
      <c r="CR69" s="521">
        <v>2.8154060481600003</v>
      </c>
      <c r="CS69" s="521">
        <v>2.8717141691232002</v>
      </c>
      <c r="CT69" s="521">
        <v>2.5</v>
      </c>
      <c r="CU69" s="521">
        <v>2.5499999999999998</v>
      </c>
      <c r="CV69" s="521">
        <v>2.601</v>
      </c>
      <c r="CW69" s="521">
        <v>2.6530200000000002</v>
      </c>
      <c r="CX69" s="521">
        <v>2.7060804000000003</v>
      </c>
      <c r="CY69" s="521">
        <v>2.7602020080000003</v>
      </c>
      <c r="CZ69" s="521">
        <v>2.8154060481600003</v>
      </c>
      <c r="DA69" s="522">
        <v>2.8717141691232002</v>
      </c>
      <c r="DB69" s="523">
        <v>0</v>
      </c>
      <c r="DC69" s="524">
        <v>0</v>
      </c>
      <c r="DD69" s="524">
        <v>0</v>
      </c>
      <c r="DE69" s="524">
        <v>0</v>
      </c>
      <c r="DF69" s="524">
        <v>-7.0833157070000763E-2</v>
      </c>
      <c r="DG69" s="524">
        <v>5.312581203645303E-2</v>
      </c>
      <c r="DH69" s="524">
        <v>5.8644880448448872E-2</v>
      </c>
      <c r="DI69" s="524">
        <v>6.4732683013084991E-2</v>
      </c>
      <c r="DJ69" s="524">
        <v>7.1447315101450415E-2</v>
      </c>
      <c r="DK69" s="524">
        <v>1.7823967264765501</v>
      </c>
      <c r="DL69" s="524">
        <v>4.4944412664588151E-4</v>
      </c>
      <c r="DM69" s="524">
        <v>3.237413219146501E-4</v>
      </c>
      <c r="DN69" s="524">
        <v>-0.11730600420083198</v>
      </c>
      <c r="DO69" s="524">
        <v>1.6403032811068141E-3</v>
      </c>
      <c r="DP69" s="524">
        <v>1.6193396247343173E-3</v>
      </c>
      <c r="DQ69" s="524">
        <v>1.5851776057217437E-3</v>
      </c>
      <c r="DR69" s="524">
        <v>1.5358352028559397E-3</v>
      </c>
      <c r="DS69" s="524">
        <v>0.24047008577267592</v>
      </c>
      <c r="DT69" s="524">
        <v>2.6093601409362122E-3</v>
      </c>
      <c r="DU69" s="525">
        <v>2.6537422560791168E-3</v>
      </c>
      <c r="DV69" s="526">
        <v>3.5</v>
      </c>
      <c r="DW69" s="507">
        <v>1</v>
      </c>
      <c r="DX69" s="509">
        <v>9.6750000000000007</v>
      </c>
      <c r="DY69" s="507">
        <v>2</v>
      </c>
      <c r="DZ69" s="507">
        <v>15</v>
      </c>
      <c r="EA69" s="507">
        <v>0</v>
      </c>
      <c r="EB69" s="507">
        <v>0</v>
      </c>
      <c r="EC69" s="507">
        <v>111.62500000000001</v>
      </c>
      <c r="ED69" s="507">
        <v>102.18750000000001</v>
      </c>
      <c r="EE69" s="507">
        <v>0</v>
      </c>
      <c r="EF69" s="507">
        <v>25.062499999999996</v>
      </c>
      <c r="EG69" s="507">
        <v>29.3125</v>
      </c>
      <c r="EH69" s="507">
        <v>12.8125</v>
      </c>
      <c r="EI69" s="507">
        <v>16.6875</v>
      </c>
      <c r="EJ69" s="507">
        <v>56.4375</v>
      </c>
      <c r="EK69" s="507">
        <v>10.4375</v>
      </c>
      <c r="EL69" s="507">
        <v>10.4375</v>
      </c>
      <c r="EM69" s="508">
        <v>375</v>
      </c>
    </row>
    <row r="70" spans="2:143" x14ac:dyDescent="0.25">
      <c r="B70" s="506" t="str">
        <f>[1]RONET_Input!J41</f>
        <v xml:space="preserve">Input VPROMMS: 212th00023 (63.01 pct); 212TH00023 (32.88 pct); 213TT00003 (2.74 pct); 214TT00054 (1.37 pct); </v>
      </c>
      <c r="C70" s="359">
        <f>[1]RONET_Input!B41</f>
        <v>39</v>
      </c>
      <c r="D70" s="397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/>
      <c r="P70" s="442">
        <f>[1]RONET_Input!K41</f>
        <v>0.87481637215399999</v>
      </c>
      <c r="Q70" s="398">
        <f>[1]RONET_Input!Y41</f>
        <v>2</v>
      </c>
      <c r="R70" s="398">
        <f>[1]RONET_Input!X41</f>
        <v>3.5</v>
      </c>
      <c r="S70" s="398"/>
      <c r="T70" s="398"/>
      <c r="U70" s="398">
        <f>[1]RONET_Input!AA41</f>
        <v>8</v>
      </c>
      <c r="V70" s="398">
        <f>[1]RONET_Input!AC41</f>
        <v>1</v>
      </c>
      <c r="W70" s="398">
        <f>[1]RONET_Input!AD41</f>
        <v>1</v>
      </c>
      <c r="X70" s="398">
        <f>[1]RONET_Input!AE41</f>
        <v>4</v>
      </c>
      <c r="Y70" s="398">
        <f>[1]RONET_Input!AB41</f>
        <v>1</v>
      </c>
      <c r="Z70" s="438">
        <f>[1]RONET_Input!Z41</f>
        <v>1</v>
      </c>
      <c r="AA70" s="442"/>
      <c r="AB70" s="398"/>
      <c r="AC70" s="438"/>
      <c r="AD70" s="442">
        <f>[1]RONET_Input!AH41</f>
        <v>4</v>
      </c>
      <c r="AE70" s="398">
        <f>[1]RONET_Input!D41</f>
        <v>8.93</v>
      </c>
      <c r="AF70" s="398"/>
      <c r="AG70" s="398"/>
      <c r="AH70" s="398"/>
      <c r="AI70" s="438"/>
      <c r="AJ70" s="442">
        <v>1</v>
      </c>
      <c r="AK70" s="442">
        <f>[1]RONET_Input!AF41</f>
        <v>4</v>
      </c>
      <c r="AL70" s="507"/>
      <c r="AM70" s="507"/>
      <c r="AN70" s="507"/>
      <c r="AO70" s="507"/>
      <c r="AP70" s="507"/>
      <c r="AQ70" s="507"/>
      <c r="AR70" s="507"/>
      <c r="AS70" s="507"/>
      <c r="AT70" s="507"/>
      <c r="AU70" s="507"/>
      <c r="AV70" s="507"/>
      <c r="AW70" s="507"/>
      <c r="AX70" s="508"/>
      <c r="AY70" s="509">
        <f>[1]RONET_Input!AG41</f>
        <v>3</v>
      </c>
      <c r="AZ70" s="359" t="s">
        <v>321</v>
      </c>
      <c r="BA70" s="360" t="s">
        <v>502</v>
      </c>
      <c r="BB70" s="360" t="s">
        <v>443</v>
      </c>
      <c r="BC70" s="510">
        <v>4.3784559426307705E-2</v>
      </c>
      <c r="BD70" s="510">
        <v>5.0050000000000004E-2</v>
      </c>
      <c r="BE70" s="438">
        <v>5</v>
      </c>
      <c r="BF70" s="511">
        <v>0.39216997093851069</v>
      </c>
      <c r="BG70" s="512">
        <v>0.44828833046745298</v>
      </c>
      <c r="BH70" s="512">
        <v>8.9568097995495091</v>
      </c>
      <c r="BI70" s="513">
        <v>0</v>
      </c>
      <c r="BJ70" s="514">
        <v>375</v>
      </c>
      <c r="BK70" s="515">
        <v>0.22366666666666665</v>
      </c>
      <c r="BL70" s="512">
        <v>0.11974049093857875</v>
      </c>
      <c r="BM70" s="516">
        <v>3.2054071874999999E-2</v>
      </c>
      <c r="BN70" s="517">
        <v>375</v>
      </c>
      <c r="BO70" s="518">
        <v>397.50000000000011</v>
      </c>
      <c r="BP70" s="518">
        <v>421.34999999999991</v>
      </c>
      <c r="BQ70" s="518">
        <v>446.63099999999997</v>
      </c>
      <c r="BR70" s="518">
        <v>473.42885999999999</v>
      </c>
      <c r="BS70" s="518">
        <v>501.83459160000012</v>
      </c>
      <c r="BT70" s="518">
        <v>531.9446670960001</v>
      </c>
      <c r="BU70" s="518">
        <v>563.86134712175999</v>
      </c>
      <c r="BV70" s="518">
        <v>597.69302794906582</v>
      </c>
      <c r="BW70" s="518">
        <v>633.55460962600955</v>
      </c>
      <c r="BX70" s="518">
        <v>671.56788620357008</v>
      </c>
      <c r="BY70" s="518">
        <v>711.86195937578441</v>
      </c>
      <c r="BZ70" s="518">
        <v>754.57367693833146</v>
      </c>
      <c r="CA70" s="518">
        <v>799.84809755463141</v>
      </c>
      <c r="CB70" s="518">
        <v>847.83898340790915</v>
      </c>
      <c r="CC70" s="518">
        <v>898.70932241238381</v>
      </c>
      <c r="CD70" s="518">
        <v>952.63188175712685</v>
      </c>
      <c r="CE70" s="518">
        <v>1009.7897946625544</v>
      </c>
      <c r="CF70" s="518">
        <v>1070.3771823423076</v>
      </c>
      <c r="CG70" s="519">
        <v>1134.5998132828461</v>
      </c>
      <c r="CH70" s="520">
        <v>8.93</v>
      </c>
      <c r="CI70" s="521">
        <v>9.1085999999999991</v>
      </c>
      <c r="CJ70" s="521">
        <v>9.2907719999999987</v>
      </c>
      <c r="CK70" s="521">
        <v>9.4765874399999994</v>
      </c>
      <c r="CL70" s="521">
        <v>2.5</v>
      </c>
      <c r="CM70" s="521">
        <v>2.5499999999999998</v>
      </c>
      <c r="CN70" s="521">
        <v>2.601</v>
      </c>
      <c r="CO70" s="521">
        <v>2.6530200000000002</v>
      </c>
      <c r="CP70" s="521">
        <v>2.7060804000000003</v>
      </c>
      <c r="CQ70" s="521">
        <v>2.7602020080000003</v>
      </c>
      <c r="CR70" s="521">
        <v>2.8154060481600003</v>
      </c>
      <c r="CS70" s="521">
        <v>2.8717141691232002</v>
      </c>
      <c r="CT70" s="521">
        <v>2.5</v>
      </c>
      <c r="CU70" s="521">
        <v>2.5499999999999998</v>
      </c>
      <c r="CV70" s="521">
        <v>2.601</v>
      </c>
      <c r="CW70" s="521">
        <v>2.6530200000000002</v>
      </c>
      <c r="CX70" s="521">
        <v>2.7060804000000003</v>
      </c>
      <c r="CY70" s="521">
        <v>2.7602020080000003</v>
      </c>
      <c r="CZ70" s="521">
        <v>2.8154060481600003</v>
      </c>
      <c r="DA70" s="522">
        <v>2.8717141691232002</v>
      </c>
      <c r="DB70" s="523">
        <v>0</v>
      </c>
      <c r="DC70" s="524">
        <v>0</v>
      </c>
      <c r="DD70" s="524">
        <v>0</v>
      </c>
      <c r="DE70" s="524">
        <v>0</v>
      </c>
      <c r="DF70" s="524">
        <v>-2.6296050111256353E-2</v>
      </c>
      <c r="DG70" s="524">
        <v>1.495982712466444E-2</v>
      </c>
      <c r="DH70" s="524">
        <v>1.6517622873409188E-2</v>
      </c>
      <c r="DI70" s="524">
        <v>1.8236267698751682E-2</v>
      </c>
      <c r="DJ70" s="524">
        <v>2.0132269917394321E-2</v>
      </c>
      <c r="DK70" s="524">
        <v>0.59700913991824534</v>
      </c>
      <c r="DL70" s="524">
        <v>1.5054013929917398E-4</v>
      </c>
      <c r="DM70" s="524">
        <v>1.0843631234350171E-4</v>
      </c>
      <c r="DN70" s="524">
        <v>-3.9291340493889867E-2</v>
      </c>
      <c r="DO70" s="524">
        <v>5.4941531058266824E-4</v>
      </c>
      <c r="DP70" s="524">
        <v>5.4239358849658692E-4</v>
      </c>
      <c r="DQ70" s="524">
        <v>5.3095110922940503E-4</v>
      </c>
      <c r="DR70" s="524">
        <v>5.1442399993950616E-4</v>
      </c>
      <c r="DS70" s="524">
        <v>8.0544828741358571E-2</v>
      </c>
      <c r="DT70" s="524">
        <v>8.7399838113302875E-4</v>
      </c>
      <c r="DU70" s="525">
        <v>8.8886405497301535E-4</v>
      </c>
      <c r="DV70" s="526">
        <v>3.5</v>
      </c>
      <c r="DW70" s="507">
        <v>1</v>
      </c>
      <c r="DX70" s="509">
        <v>8.93</v>
      </c>
      <c r="DY70" s="507">
        <v>2</v>
      </c>
      <c r="DZ70" s="507">
        <v>15</v>
      </c>
      <c r="EA70" s="507">
        <v>0</v>
      </c>
      <c r="EB70" s="507">
        <v>0</v>
      </c>
      <c r="EC70" s="507">
        <v>111.62500000000001</v>
      </c>
      <c r="ED70" s="507">
        <v>102.18750000000001</v>
      </c>
      <c r="EE70" s="507">
        <v>0</v>
      </c>
      <c r="EF70" s="507">
        <v>25.062499999999996</v>
      </c>
      <c r="EG70" s="507">
        <v>29.3125</v>
      </c>
      <c r="EH70" s="507">
        <v>12.8125</v>
      </c>
      <c r="EI70" s="507">
        <v>16.6875</v>
      </c>
      <c r="EJ70" s="507">
        <v>56.4375</v>
      </c>
      <c r="EK70" s="507">
        <v>10.4375</v>
      </c>
      <c r="EL70" s="507">
        <v>10.4375</v>
      </c>
      <c r="EM70" s="508">
        <v>375</v>
      </c>
    </row>
    <row r="71" spans="2:143" x14ac:dyDescent="0.25">
      <c r="B71" s="506" t="str">
        <f>[1]RONET_Input!J42</f>
        <v>214TT00101</v>
      </c>
      <c r="C71" s="359">
        <f>[1]RONET_Input!B42</f>
        <v>40</v>
      </c>
      <c r="D71" s="397"/>
      <c r="E71" s="360"/>
      <c r="F71" s="360"/>
      <c r="G71" s="360"/>
      <c r="H71" s="360"/>
      <c r="I71" s="360"/>
      <c r="J71" s="360"/>
      <c r="K71" s="360"/>
      <c r="L71" s="360"/>
      <c r="M71" s="360"/>
      <c r="N71" s="360"/>
      <c r="O71" s="360"/>
      <c r="P71" s="442">
        <f>[1]RONET_Input!K42</f>
        <v>5.24070310892</v>
      </c>
      <c r="Q71" s="398">
        <f>[1]RONET_Input!Y42</f>
        <v>1</v>
      </c>
      <c r="R71" s="398">
        <f>[1]RONET_Input!X42</f>
        <v>3.4</v>
      </c>
      <c r="S71" s="398"/>
      <c r="T71" s="398"/>
      <c r="U71" s="398">
        <f>[1]RONET_Input!AA42</f>
        <v>8</v>
      </c>
      <c r="V71" s="398">
        <f>[1]RONET_Input!AC42</f>
        <v>1</v>
      </c>
      <c r="W71" s="398">
        <f>[1]RONET_Input!AD42</f>
        <v>1</v>
      </c>
      <c r="X71" s="398">
        <f>[1]RONET_Input!AE42</f>
        <v>4</v>
      </c>
      <c r="Y71" s="398">
        <f>[1]RONET_Input!AB42</f>
        <v>1</v>
      </c>
      <c r="Z71" s="438">
        <f>[1]RONET_Input!Z42</f>
        <v>1</v>
      </c>
      <c r="AA71" s="442"/>
      <c r="AB71" s="398"/>
      <c r="AC71" s="438"/>
      <c r="AD71" s="442">
        <f>[1]RONET_Input!AH42</f>
        <v>4</v>
      </c>
      <c r="AE71" s="398">
        <f>[1]RONET_Input!D42</f>
        <v>8.2100000000000009</v>
      </c>
      <c r="AF71" s="398"/>
      <c r="AG71" s="398"/>
      <c r="AH71" s="398"/>
      <c r="AI71" s="438"/>
      <c r="AJ71" s="442">
        <v>1</v>
      </c>
      <c r="AK71" s="442">
        <f>[1]RONET_Input!AF42</f>
        <v>4</v>
      </c>
      <c r="AL71" s="507"/>
      <c r="AM71" s="507"/>
      <c r="AN71" s="507"/>
      <c r="AO71" s="507"/>
      <c r="AP71" s="507"/>
      <c r="AQ71" s="507"/>
      <c r="AR71" s="507"/>
      <c r="AS71" s="507"/>
      <c r="AT71" s="507"/>
      <c r="AU71" s="507"/>
      <c r="AV71" s="507"/>
      <c r="AW71" s="507"/>
      <c r="AX71" s="508"/>
      <c r="AY71" s="509">
        <f>[1]RONET_Input!AG42</f>
        <v>3</v>
      </c>
      <c r="AZ71" s="359" t="s">
        <v>321</v>
      </c>
      <c r="BA71" s="360" t="s">
        <v>502</v>
      </c>
      <c r="BB71" s="360" t="s">
        <v>443</v>
      </c>
      <c r="BC71" s="510">
        <v>0.25480298515569039</v>
      </c>
      <c r="BD71" s="510">
        <v>4.8619999999999997E-2</v>
      </c>
      <c r="BE71" s="438">
        <v>5</v>
      </c>
      <c r="BF71" s="511">
        <v>2.3969170371614417</v>
      </c>
      <c r="BG71" s="512">
        <v>0.45736554568064369</v>
      </c>
      <c r="BH71" s="512">
        <v>9.406942527368237</v>
      </c>
      <c r="BI71" s="513">
        <v>0</v>
      </c>
      <c r="BJ71" s="514">
        <v>375</v>
      </c>
      <c r="BK71" s="515">
        <v>0.22366666666666665</v>
      </c>
      <c r="BL71" s="512">
        <v>0.71732123803342507</v>
      </c>
      <c r="BM71" s="516">
        <v>6.4108143749999999E-2</v>
      </c>
      <c r="BN71" s="517">
        <v>375</v>
      </c>
      <c r="BO71" s="518">
        <v>397.50000000000011</v>
      </c>
      <c r="BP71" s="518">
        <v>421.34999999999991</v>
      </c>
      <c r="BQ71" s="518">
        <v>446.63099999999997</v>
      </c>
      <c r="BR71" s="518">
        <v>473.42885999999999</v>
      </c>
      <c r="BS71" s="518">
        <v>501.83459160000012</v>
      </c>
      <c r="BT71" s="518">
        <v>531.9446670960001</v>
      </c>
      <c r="BU71" s="518">
        <v>563.86134712175999</v>
      </c>
      <c r="BV71" s="518">
        <v>597.69302794906582</v>
      </c>
      <c r="BW71" s="518">
        <v>633.55460962600955</v>
      </c>
      <c r="BX71" s="518">
        <v>671.56788620357008</v>
      </c>
      <c r="BY71" s="518">
        <v>711.86195937578441</v>
      </c>
      <c r="BZ71" s="518">
        <v>754.57367693833146</v>
      </c>
      <c r="CA71" s="518">
        <v>799.84809755463141</v>
      </c>
      <c r="CB71" s="518">
        <v>847.83898340790915</v>
      </c>
      <c r="CC71" s="518">
        <v>898.70932241238381</v>
      </c>
      <c r="CD71" s="518">
        <v>952.63188175712685</v>
      </c>
      <c r="CE71" s="518">
        <v>1009.7897946625544</v>
      </c>
      <c r="CF71" s="518">
        <v>1070.3771823423076</v>
      </c>
      <c r="CG71" s="519">
        <v>1134.5998132828461</v>
      </c>
      <c r="CH71" s="520">
        <v>8.2100000000000009</v>
      </c>
      <c r="CI71" s="521">
        <v>8.3742000000000001</v>
      </c>
      <c r="CJ71" s="521">
        <v>8.5416840000000001</v>
      </c>
      <c r="CK71" s="521">
        <v>8.7125176799999995</v>
      </c>
      <c r="CL71" s="521">
        <v>2.5</v>
      </c>
      <c r="CM71" s="521">
        <v>2.5499999999999998</v>
      </c>
      <c r="CN71" s="521">
        <v>2.601</v>
      </c>
      <c r="CO71" s="521">
        <v>2.6530200000000002</v>
      </c>
      <c r="CP71" s="521">
        <v>2.7060804000000003</v>
      </c>
      <c r="CQ71" s="521">
        <v>2.7602020080000003</v>
      </c>
      <c r="CR71" s="521">
        <v>2.8154060481600003</v>
      </c>
      <c r="CS71" s="521">
        <v>2.8717141691232002</v>
      </c>
      <c r="CT71" s="521">
        <v>2.5</v>
      </c>
      <c r="CU71" s="521">
        <v>2.5499999999999998</v>
      </c>
      <c r="CV71" s="521">
        <v>2.601</v>
      </c>
      <c r="CW71" s="521">
        <v>2.6530200000000002</v>
      </c>
      <c r="CX71" s="521">
        <v>2.7060804000000003</v>
      </c>
      <c r="CY71" s="521">
        <v>2.7602020080000003</v>
      </c>
      <c r="CZ71" s="521">
        <v>2.8154060481600003</v>
      </c>
      <c r="DA71" s="522">
        <v>2.8717141691232002</v>
      </c>
      <c r="DB71" s="523">
        <v>0</v>
      </c>
      <c r="DC71" s="524">
        <v>0</v>
      </c>
      <c r="DD71" s="524">
        <v>0</v>
      </c>
      <c r="DE71" s="524">
        <v>0</v>
      </c>
      <c r="DF71" s="524">
        <v>-0.16004298128421818</v>
      </c>
      <c r="DG71" s="524">
        <v>7.9139326368716845E-2</v>
      </c>
      <c r="DH71" s="524">
        <v>8.7191204568758673E-2</v>
      </c>
      <c r="DI71" s="524">
        <v>9.6058109309536677E-2</v>
      </c>
      <c r="DJ71" s="524">
        <v>0.10582231390149055</v>
      </c>
      <c r="DK71" s="524">
        <v>3.5910344459229417</v>
      </c>
      <c r="DL71" s="524">
        <v>1.5698615486260392E-2</v>
      </c>
      <c r="DM71" s="524">
        <v>1.5678421778053342E-2</v>
      </c>
      <c r="DN71" s="524">
        <v>-0.21261088495486602</v>
      </c>
      <c r="DO71" s="524">
        <v>1.9540128749857444E-2</v>
      </c>
      <c r="DP71" s="524">
        <v>1.9808852535448063E-2</v>
      </c>
      <c r="DQ71" s="524">
        <v>2.0062639914225189E-2</v>
      </c>
      <c r="DR71" s="524">
        <v>2.0297674797297827E-2</v>
      </c>
      <c r="DS71" s="524">
        <v>0.50007627577532343</v>
      </c>
      <c r="DT71" s="524">
        <v>2.3155459681932555E-2</v>
      </c>
      <c r="DU71" s="525">
        <v>2.3614342736788863E-2</v>
      </c>
      <c r="DV71" s="526">
        <v>3.4</v>
      </c>
      <c r="DW71" s="507">
        <v>1</v>
      </c>
      <c r="DX71" s="509">
        <v>8.2100000000000009</v>
      </c>
      <c r="DY71" s="507">
        <v>2</v>
      </c>
      <c r="DZ71" s="507">
        <v>15</v>
      </c>
      <c r="EA71" s="507">
        <v>0</v>
      </c>
      <c r="EB71" s="507">
        <v>0</v>
      </c>
      <c r="EC71" s="507">
        <v>111.62500000000001</v>
      </c>
      <c r="ED71" s="507">
        <v>102.18750000000001</v>
      </c>
      <c r="EE71" s="507">
        <v>0</v>
      </c>
      <c r="EF71" s="507">
        <v>25.062499999999996</v>
      </c>
      <c r="EG71" s="507">
        <v>29.3125</v>
      </c>
      <c r="EH71" s="507">
        <v>12.8125</v>
      </c>
      <c r="EI71" s="507">
        <v>16.6875</v>
      </c>
      <c r="EJ71" s="507">
        <v>56.4375</v>
      </c>
      <c r="EK71" s="507">
        <v>10.4375</v>
      </c>
      <c r="EL71" s="507">
        <v>10.4375</v>
      </c>
      <c r="EM71" s="508">
        <v>375</v>
      </c>
    </row>
    <row r="72" spans="2:143" x14ac:dyDescent="0.25">
      <c r="B72" s="506" t="str">
        <f>[1]RONET_Input!J43</f>
        <v xml:space="preserve">Input VPROMMS: 212th00023 (65.33 pct); 212TH00023 (33.33 pct); 214TT00054 (1.33 pct); </v>
      </c>
      <c r="C72" s="359">
        <f>[1]RONET_Input!B43</f>
        <v>41</v>
      </c>
      <c r="D72" s="397"/>
      <c r="E72" s="360"/>
      <c r="F72" s="360"/>
      <c r="G72" s="360"/>
      <c r="H72" s="360"/>
      <c r="I72" s="360"/>
      <c r="J72" s="360"/>
      <c r="K72" s="360"/>
      <c r="L72" s="360"/>
      <c r="M72" s="360"/>
      <c r="N72" s="360"/>
      <c r="O72" s="360"/>
      <c r="P72" s="442">
        <f>[1]RONET_Input!K43</f>
        <v>2.0500943355599999</v>
      </c>
      <c r="Q72" s="398">
        <f>[1]RONET_Input!Y43</f>
        <v>2</v>
      </c>
      <c r="R72" s="398">
        <f>[1]RONET_Input!X43</f>
        <v>3.5</v>
      </c>
      <c r="S72" s="398"/>
      <c r="T72" s="398"/>
      <c r="U72" s="398">
        <f>[1]RONET_Input!AA43</f>
        <v>8</v>
      </c>
      <c r="V72" s="398">
        <f>[1]RONET_Input!AC43</f>
        <v>1</v>
      </c>
      <c r="W72" s="398">
        <f>[1]RONET_Input!AD43</f>
        <v>1</v>
      </c>
      <c r="X72" s="398">
        <f>[1]RONET_Input!AE43</f>
        <v>4</v>
      </c>
      <c r="Y72" s="398">
        <f>[1]RONET_Input!AB43</f>
        <v>1</v>
      </c>
      <c r="Z72" s="438">
        <f>[1]RONET_Input!Z43</f>
        <v>1</v>
      </c>
      <c r="AA72" s="442"/>
      <c r="AB72" s="398"/>
      <c r="AC72" s="438"/>
      <c r="AD72" s="442">
        <f>[1]RONET_Input!AH43</f>
        <v>4</v>
      </c>
      <c r="AE72" s="398">
        <f>[1]RONET_Input!D43</f>
        <v>10.17</v>
      </c>
      <c r="AF72" s="398"/>
      <c r="AG72" s="398"/>
      <c r="AH72" s="398"/>
      <c r="AI72" s="438"/>
      <c r="AJ72" s="442">
        <v>1</v>
      </c>
      <c r="AK72" s="442">
        <f>[1]RONET_Input!AF43</f>
        <v>4</v>
      </c>
      <c r="AL72" s="507"/>
      <c r="AM72" s="507"/>
      <c r="AN72" s="507"/>
      <c r="AO72" s="507"/>
      <c r="AP72" s="507"/>
      <c r="AQ72" s="507"/>
      <c r="AR72" s="507"/>
      <c r="AS72" s="507"/>
      <c r="AT72" s="507"/>
      <c r="AU72" s="507"/>
      <c r="AV72" s="507"/>
      <c r="AW72" s="507"/>
      <c r="AX72" s="508"/>
      <c r="AY72" s="509">
        <f>[1]RONET_Input!AG43</f>
        <v>3</v>
      </c>
      <c r="AZ72" s="359" t="s">
        <v>321</v>
      </c>
      <c r="BA72" s="360" t="s">
        <v>502</v>
      </c>
      <c r="BB72" s="360" t="s">
        <v>443</v>
      </c>
      <c r="BC72" s="510">
        <v>0.10260722149477801</v>
      </c>
      <c r="BD72" s="510">
        <v>5.0050000000000004E-2</v>
      </c>
      <c r="BE72" s="438">
        <v>5</v>
      </c>
      <c r="BF72" s="511">
        <v>0.96318987266863199</v>
      </c>
      <c r="BG72" s="512">
        <v>0.46982709817864499</v>
      </c>
      <c r="BH72" s="512">
        <v>9.3871548087641337</v>
      </c>
      <c r="BI72" s="513">
        <v>0</v>
      </c>
      <c r="BJ72" s="514">
        <v>375</v>
      </c>
      <c r="BK72" s="515">
        <v>0.22366666666666665</v>
      </c>
      <c r="BL72" s="512">
        <v>0.28060666217977498</v>
      </c>
      <c r="BM72" s="516">
        <v>3.2054071874999999E-2</v>
      </c>
      <c r="BN72" s="517">
        <v>375</v>
      </c>
      <c r="BO72" s="518">
        <v>397.50000000000011</v>
      </c>
      <c r="BP72" s="518">
        <v>421.34999999999991</v>
      </c>
      <c r="BQ72" s="518">
        <v>446.63099999999997</v>
      </c>
      <c r="BR72" s="518">
        <v>473.42885999999999</v>
      </c>
      <c r="BS72" s="518">
        <v>501.83459160000012</v>
      </c>
      <c r="BT72" s="518">
        <v>531.9446670960001</v>
      </c>
      <c r="BU72" s="518">
        <v>563.86134712175999</v>
      </c>
      <c r="BV72" s="518">
        <v>597.69302794906582</v>
      </c>
      <c r="BW72" s="518">
        <v>633.55460962600955</v>
      </c>
      <c r="BX72" s="518">
        <v>671.56788620357008</v>
      </c>
      <c r="BY72" s="518">
        <v>711.86195937578441</v>
      </c>
      <c r="BZ72" s="518">
        <v>754.57367693833146</v>
      </c>
      <c r="CA72" s="518">
        <v>799.84809755463141</v>
      </c>
      <c r="CB72" s="518">
        <v>847.83898340790915</v>
      </c>
      <c r="CC72" s="518">
        <v>898.70932241238381</v>
      </c>
      <c r="CD72" s="518">
        <v>952.63188175712685</v>
      </c>
      <c r="CE72" s="518">
        <v>1009.7897946625544</v>
      </c>
      <c r="CF72" s="518">
        <v>1070.3771823423076</v>
      </c>
      <c r="CG72" s="519">
        <v>1134.5998132828461</v>
      </c>
      <c r="CH72" s="520">
        <v>10.17</v>
      </c>
      <c r="CI72" s="521">
        <v>10.3734</v>
      </c>
      <c r="CJ72" s="521">
        <v>10.580868000000001</v>
      </c>
      <c r="CK72" s="521">
        <v>10.792485360000001</v>
      </c>
      <c r="CL72" s="521">
        <v>2.5</v>
      </c>
      <c r="CM72" s="521">
        <v>2.5499999999999998</v>
      </c>
      <c r="CN72" s="521">
        <v>2.601</v>
      </c>
      <c r="CO72" s="521">
        <v>2.6530200000000002</v>
      </c>
      <c r="CP72" s="521">
        <v>2.7060804000000003</v>
      </c>
      <c r="CQ72" s="521">
        <v>2.7602020080000003</v>
      </c>
      <c r="CR72" s="521">
        <v>2.8154060481600003</v>
      </c>
      <c r="CS72" s="521">
        <v>2.8717141691232002</v>
      </c>
      <c r="CT72" s="521">
        <v>2.5</v>
      </c>
      <c r="CU72" s="521">
        <v>2.5499999999999998</v>
      </c>
      <c r="CV72" s="521">
        <v>2.601</v>
      </c>
      <c r="CW72" s="521">
        <v>2.6530200000000002</v>
      </c>
      <c r="CX72" s="521">
        <v>2.7060804000000003</v>
      </c>
      <c r="CY72" s="521">
        <v>2.7602020080000003</v>
      </c>
      <c r="CZ72" s="521">
        <v>2.8154060481600003</v>
      </c>
      <c r="DA72" s="522">
        <v>2.8717141691232002</v>
      </c>
      <c r="DB72" s="523">
        <v>0</v>
      </c>
      <c r="DC72" s="524">
        <v>0</v>
      </c>
      <c r="DD72" s="524">
        <v>0</v>
      </c>
      <c r="DE72" s="524">
        <v>0</v>
      </c>
      <c r="DF72" s="524">
        <v>-5.1332870610495213E-2</v>
      </c>
      <c r="DG72" s="524">
        <v>4.6403913099167027E-2</v>
      </c>
      <c r="DH72" s="524">
        <v>5.1217418580311674E-2</v>
      </c>
      <c r="DI72" s="524">
        <v>5.6525964462341954E-2</v>
      </c>
      <c r="DJ72" s="524">
        <v>6.2379804001219036E-2</v>
      </c>
      <c r="DK72" s="524">
        <v>1.3990651009541077</v>
      </c>
      <c r="DL72" s="524">
        <v>3.5278430614157918E-4</v>
      </c>
      <c r="DM72" s="524">
        <v>2.5411580850626114E-4</v>
      </c>
      <c r="DN72" s="524">
        <v>-9.2077557241810437E-2</v>
      </c>
      <c r="DO72" s="524">
        <v>1.287531020163879E-3</v>
      </c>
      <c r="DP72" s="524">
        <v>1.2710759181187026E-3</v>
      </c>
      <c r="DQ72" s="524">
        <v>1.2442609628011136E-3</v>
      </c>
      <c r="DR72" s="524">
        <v>1.2055303969167874E-3</v>
      </c>
      <c r="DS72" s="524">
        <v>0.18875332288847635</v>
      </c>
      <c r="DT72" s="524">
        <v>2.0481774089774474E-3</v>
      </c>
      <c r="DU72" s="525">
        <v>2.0830144727358446E-3</v>
      </c>
      <c r="DV72" s="526">
        <v>3.5</v>
      </c>
      <c r="DW72" s="507">
        <v>1</v>
      </c>
      <c r="DX72" s="509">
        <v>10.17</v>
      </c>
      <c r="DY72" s="507">
        <v>2</v>
      </c>
      <c r="DZ72" s="507">
        <v>15</v>
      </c>
      <c r="EA72" s="507">
        <v>0</v>
      </c>
      <c r="EB72" s="507">
        <v>0</v>
      </c>
      <c r="EC72" s="507">
        <v>111.62500000000001</v>
      </c>
      <c r="ED72" s="507">
        <v>102.18750000000001</v>
      </c>
      <c r="EE72" s="507">
        <v>0</v>
      </c>
      <c r="EF72" s="507">
        <v>25.062499999999996</v>
      </c>
      <c r="EG72" s="507">
        <v>29.3125</v>
      </c>
      <c r="EH72" s="507">
        <v>12.8125</v>
      </c>
      <c r="EI72" s="507">
        <v>16.6875</v>
      </c>
      <c r="EJ72" s="507">
        <v>56.4375</v>
      </c>
      <c r="EK72" s="507">
        <v>10.4375</v>
      </c>
      <c r="EL72" s="507">
        <v>10.4375</v>
      </c>
      <c r="EM72" s="508">
        <v>375</v>
      </c>
    </row>
    <row r="73" spans="2:143" x14ac:dyDescent="0.25">
      <c r="B73" s="506" t="str">
        <f>[1]RONET_Input!J44</f>
        <v xml:space="preserve">Input VPROMMS: 214TT00072 (74.22 pct); 214TT00073 (25.78 pct); </v>
      </c>
      <c r="C73" s="359">
        <f>[1]RONET_Input!B44</f>
        <v>42</v>
      </c>
      <c r="D73" s="397"/>
      <c r="E73" s="360"/>
      <c r="F73" s="360"/>
      <c r="G73" s="360"/>
      <c r="H73" s="360"/>
      <c r="I73" s="360"/>
      <c r="J73" s="360"/>
      <c r="K73" s="360"/>
      <c r="L73" s="360"/>
      <c r="M73" s="360"/>
      <c r="N73" s="360"/>
      <c r="O73" s="360"/>
      <c r="P73" s="442">
        <f>[1]RONET_Input!K44</f>
        <v>1.41508339599</v>
      </c>
      <c r="Q73" s="398">
        <f>[1]RONET_Input!Y44</f>
        <v>2</v>
      </c>
      <c r="R73" s="398">
        <f>[1]RONET_Input!X44</f>
        <v>3.5</v>
      </c>
      <c r="S73" s="398"/>
      <c r="T73" s="398"/>
      <c r="U73" s="398">
        <f>[1]RONET_Input!AA44</f>
        <v>8</v>
      </c>
      <c r="V73" s="398">
        <f>[1]RONET_Input!AC44</f>
        <v>1</v>
      </c>
      <c r="W73" s="398">
        <f>[1]RONET_Input!AD44</f>
        <v>1</v>
      </c>
      <c r="X73" s="398">
        <f>[1]RONET_Input!AE44</f>
        <v>4</v>
      </c>
      <c r="Y73" s="398">
        <f>[1]RONET_Input!AB44</f>
        <v>1</v>
      </c>
      <c r="Z73" s="438">
        <f>[1]RONET_Input!Z44</f>
        <v>1</v>
      </c>
      <c r="AA73" s="442"/>
      <c r="AB73" s="398"/>
      <c r="AC73" s="438"/>
      <c r="AD73" s="442">
        <f>[1]RONET_Input!AH44</f>
        <v>4</v>
      </c>
      <c r="AE73" s="398">
        <f>[1]RONET_Input!D44</f>
        <v>9.2799999999999994</v>
      </c>
      <c r="AF73" s="398"/>
      <c r="AG73" s="398"/>
      <c r="AH73" s="398"/>
      <c r="AI73" s="438"/>
      <c r="AJ73" s="442">
        <v>1</v>
      </c>
      <c r="AK73" s="442">
        <f>[1]RONET_Input!AF44</f>
        <v>4</v>
      </c>
      <c r="AL73" s="507"/>
      <c r="AM73" s="507"/>
      <c r="AN73" s="507"/>
      <c r="AO73" s="507"/>
      <c r="AP73" s="507"/>
      <c r="AQ73" s="507"/>
      <c r="AR73" s="507"/>
      <c r="AS73" s="507"/>
      <c r="AT73" s="507"/>
      <c r="AU73" s="507"/>
      <c r="AV73" s="507"/>
      <c r="AW73" s="507"/>
      <c r="AX73" s="508"/>
      <c r="AY73" s="509">
        <f>[1]RONET_Input!AG44</f>
        <v>3</v>
      </c>
      <c r="AZ73" s="359" t="s">
        <v>321</v>
      </c>
      <c r="BA73" s="360" t="s">
        <v>502</v>
      </c>
      <c r="BB73" s="360" t="s">
        <v>443</v>
      </c>
      <c r="BC73" s="510">
        <v>7.08249239692995E-2</v>
      </c>
      <c r="BD73" s="510">
        <v>5.0049999999999997E-2</v>
      </c>
      <c r="BE73" s="438">
        <v>5</v>
      </c>
      <c r="BF73" s="511">
        <v>0.6425736473552629</v>
      </c>
      <c r="BG73" s="512">
        <v>0.45408888916099177</v>
      </c>
      <c r="BH73" s="512">
        <v>9.0727050781416931</v>
      </c>
      <c r="BI73" s="513">
        <v>0</v>
      </c>
      <c r="BJ73" s="514">
        <v>375</v>
      </c>
      <c r="BK73" s="515">
        <v>0.22366666666666665</v>
      </c>
      <c r="BL73" s="512">
        <v>0.1936895398261313</v>
      </c>
      <c r="BM73" s="516">
        <v>3.2054071874999999E-2</v>
      </c>
      <c r="BN73" s="517">
        <v>375</v>
      </c>
      <c r="BO73" s="518">
        <v>397.50000000000011</v>
      </c>
      <c r="BP73" s="518">
        <v>421.34999999999991</v>
      </c>
      <c r="BQ73" s="518">
        <v>446.63099999999997</v>
      </c>
      <c r="BR73" s="518">
        <v>473.42885999999999</v>
      </c>
      <c r="BS73" s="518">
        <v>501.83459160000012</v>
      </c>
      <c r="BT73" s="518">
        <v>531.9446670960001</v>
      </c>
      <c r="BU73" s="518">
        <v>563.86134712175999</v>
      </c>
      <c r="BV73" s="518">
        <v>597.69302794906582</v>
      </c>
      <c r="BW73" s="518">
        <v>633.55460962600955</v>
      </c>
      <c r="BX73" s="518">
        <v>671.56788620357008</v>
      </c>
      <c r="BY73" s="518">
        <v>711.86195937578441</v>
      </c>
      <c r="BZ73" s="518">
        <v>754.57367693833146</v>
      </c>
      <c r="CA73" s="518">
        <v>799.84809755463141</v>
      </c>
      <c r="CB73" s="518">
        <v>847.83898340790915</v>
      </c>
      <c r="CC73" s="518">
        <v>898.70932241238381</v>
      </c>
      <c r="CD73" s="518">
        <v>952.63188175712685</v>
      </c>
      <c r="CE73" s="518">
        <v>1009.7897946625544</v>
      </c>
      <c r="CF73" s="518">
        <v>1070.3771823423076</v>
      </c>
      <c r="CG73" s="519">
        <v>1134.5998132828461</v>
      </c>
      <c r="CH73" s="520">
        <v>9.2799999999999994</v>
      </c>
      <c r="CI73" s="521">
        <v>9.4656000000000002</v>
      </c>
      <c r="CJ73" s="521">
        <v>9.6549119999999995</v>
      </c>
      <c r="CK73" s="521">
        <v>9.8480102399999989</v>
      </c>
      <c r="CL73" s="521">
        <v>2.5</v>
      </c>
      <c r="CM73" s="521">
        <v>2.5499999999999998</v>
      </c>
      <c r="CN73" s="521">
        <v>2.601</v>
      </c>
      <c r="CO73" s="521">
        <v>2.6530200000000002</v>
      </c>
      <c r="CP73" s="521">
        <v>2.7060804000000003</v>
      </c>
      <c r="CQ73" s="521">
        <v>2.7602020080000003</v>
      </c>
      <c r="CR73" s="521">
        <v>2.8154060481600003</v>
      </c>
      <c r="CS73" s="521">
        <v>2.8717141691232002</v>
      </c>
      <c r="CT73" s="521">
        <v>2.5</v>
      </c>
      <c r="CU73" s="521">
        <v>2.5499999999999998</v>
      </c>
      <c r="CV73" s="521">
        <v>2.601</v>
      </c>
      <c r="CW73" s="521">
        <v>2.6530200000000002</v>
      </c>
      <c r="CX73" s="521">
        <v>2.7060804000000003</v>
      </c>
      <c r="CY73" s="521">
        <v>2.7602020080000003</v>
      </c>
      <c r="CZ73" s="521">
        <v>2.8154060481600003</v>
      </c>
      <c r="DA73" s="522">
        <v>2.8717141691232002</v>
      </c>
      <c r="DB73" s="523">
        <v>0</v>
      </c>
      <c r="DC73" s="524">
        <v>0</v>
      </c>
      <c r="DD73" s="524">
        <v>0</v>
      </c>
      <c r="DE73" s="524">
        <v>0</v>
      </c>
      <c r="DF73" s="524">
        <v>-4.0623537378408264E-2</v>
      </c>
      <c r="DG73" s="524">
        <v>2.6307422747327849E-2</v>
      </c>
      <c r="DH73" s="524">
        <v>2.9043739217747777E-2</v>
      </c>
      <c r="DI73" s="524">
        <v>3.206235427677781E-2</v>
      </c>
      <c r="DJ73" s="524">
        <v>3.5392191570199544E-2</v>
      </c>
      <c r="DK73" s="524">
        <v>0.96570863102669569</v>
      </c>
      <c r="DL73" s="524">
        <v>2.4351036209779853E-4</v>
      </c>
      <c r="DM73" s="524">
        <v>1.754041533789108E-4</v>
      </c>
      <c r="DN73" s="524">
        <v>-6.3556793527070971E-2</v>
      </c>
      <c r="DO73" s="524">
        <v>8.8872191725666849E-4</v>
      </c>
      <c r="DP73" s="524">
        <v>8.7736373666982836E-4</v>
      </c>
      <c r="DQ73" s="524">
        <v>8.5885463814883156E-4</v>
      </c>
      <c r="DR73" s="524">
        <v>8.3212075583449785E-4</v>
      </c>
      <c r="DS73" s="524">
        <v>0.13028751337165234</v>
      </c>
      <c r="DT73" s="524">
        <v>1.4137602320109521E-3</v>
      </c>
      <c r="DU73" s="525">
        <v>1.4378066135040668E-3</v>
      </c>
      <c r="DV73" s="526">
        <v>3.5</v>
      </c>
      <c r="DW73" s="507">
        <v>1</v>
      </c>
      <c r="DX73" s="509">
        <v>9.2799999999999994</v>
      </c>
      <c r="DY73" s="507">
        <v>2</v>
      </c>
      <c r="DZ73" s="507">
        <v>15</v>
      </c>
      <c r="EA73" s="507">
        <v>0</v>
      </c>
      <c r="EB73" s="507">
        <v>0</v>
      </c>
      <c r="EC73" s="507">
        <v>111.62500000000001</v>
      </c>
      <c r="ED73" s="507">
        <v>102.18750000000001</v>
      </c>
      <c r="EE73" s="507">
        <v>0</v>
      </c>
      <c r="EF73" s="507">
        <v>25.062499999999996</v>
      </c>
      <c r="EG73" s="507">
        <v>29.3125</v>
      </c>
      <c r="EH73" s="507">
        <v>12.8125</v>
      </c>
      <c r="EI73" s="507">
        <v>16.6875</v>
      </c>
      <c r="EJ73" s="507">
        <v>56.4375</v>
      </c>
      <c r="EK73" s="507">
        <v>10.4375</v>
      </c>
      <c r="EL73" s="507">
        <v>10.4375</v>
      </c>
      <c r="EM73" s="508">
        <v>375</v>
      </c>
    </row>
    <row r="74" spans="2:143" x14ac:dyDescent="0.25">
      <c r="B74" s="506" t="str">
        <f>[1]RONET_Input!J45</f>
        <v>213TT00002</v>
      </c>
      <c r="C74" s="359">
        <f>[1]RONET_Input!B45</f>
        <v>43</v>
      </c>
      <c r="D74" s="397"/>
      <c r="E74" s="360"/>
      <c r="F74" s="360"/>
      <c r="G74" s="360"/>
      <c r="H74" s="360"/>
      <c r="I74" s="360"/>
      <c r="J74" s="360"/>
      <c r="K74" s="360"/>
      <c r="L74" s="360"/>
      <c r="M74" s="360"/>
      <c r="N74" s="360"/>
      <c r="O74" s="360"/>
      <c r="P74" s="442">
        <f>[1]RONET_Input!K45</f>
        <v>0.48027652408900001</v>
      </c>
      <c r="Q74" s="398">
        <f>[1]RONET_Input!Y45</f>
        <v>2</v>
      </c>
      <c r="R74" s="398">
        <f>[1]RONET_Input!X45</f>
        <v>3.8</v>
      </c>
      <c r="S74" s="398"/>
      <c r="T74" s="398"/>
      <c r="U74" s="398">
        <f>[1]RONET_Input!AA45</f>
        <v>6</v>
      </c>
      <c r="V74" s="398">
        <f>[1]RONET_Input!AC45</f>
        <v>1</v>
      </c>
      <c r="W74" s="398">
        <f>[1]RONET_Input!AD45</f>
        <v>1</v>
      </c>
      <c r="X74" s="398">
        <f>[1]RONET_Input!AE45</f>
        <v>4</v>
      </c>
      <c r="Y74" s="398">
        <f>[1]RONET_Input!AB45</f>
        <v>1</v>
      </c>
      <c r="Z74" s="438">
        <f>[1]RONET_Input!Z45</f>
        <v>3</v>
      </c>
      <c r="AA74" s="442"/>
      <c r="AB74" s="398"/>
      <c r="AC74" s="438"/>
      <c r="AD74" s="442">
        <f>[1]RONET_Input!AH45</f>
        <v>4</v>
      </c>
      <c r="AE74" s="398">
        <f>[1]RONET_Input!D45</f>
        <v>9.4499999999999993</v>
      </c>
      <c r="AF74" s="398"/>
      <c r="AG74" s="398"/>
      <c r="AH74" s="398"/>
      <c r="AI74" s="438"/>
      <c r="AJ74" s="442">
        <v>1</v>
      </c>
      <c r="AK74" s="442">
        <f>[1]RONET_Input!AF45</f>
        <v>6</v>
      </c>
      <c r="AL74" s="507"/>
      <c r="AM74" s="507"/>
      <c r="AN74" s="507"/>
      <c r="AO74" s="507"/>
      <c r="AP74" s="507"/>
      <c r="AQ74" s="507"/>
      <c r="AR74" s="507"/>
      <c r="AS74" s="507"/>
      <c r="AT74" s="507"/>
      <c r="AU74" s="507"/>
      <c r="AV74" s="507"/>
      <c r="AW74" s="507"/>
      <c r="AX74" s="508"/>
      <c r="AY74" s="509">
        <f>[1]RONET_Input!AG45</f>
        <v>3</v>
      </c>
      <c r="AZ74" s="359" t="s">
        <v>321</v>
      </c>
      <c r="BA74" s="360" t="s">
        <v>506</v>
      </c>
      <c r="BB74" s="360" t="s">
        <v>447</v>
      </c>
      <c r="BC74" s="510">
        <v>2.6098226318996262E-2</v>
      </c>
      <c r="BD74" s="510">
        <v>5.4340000000000006E-2</v>
      </c>
      <c r="BE74" s="438">
        <v>1</v>
      </c>
      <c r="BF74" s="511">
        <v>0.37777204766255823</v>
      </c>
      <c r="BG74" s="512">
        <v>0.78657196159884202</v>
      </c>
      <c r="BH74" s="512">
        <v>14.475008494641921</v>
      </c>
      <c r="BI74" s="513">
        <v>0</v>
      </c>
      <c r="BJ74" s="514">
        <v>2000.0000000000002</v>
      </c>
      <c r="BK74" s="515">
        <v>0.22366666666666662</v>
      </c>
      <c r="BL74" s="512">
        <v>0.35060186258497</v>
      </c>
      <c r="BM74" s="516">
        <v>0.17095505000000003</v>
      </c>
      <c r="BN74" s="517">
        <v>2000.0000000000002</v>
      </c>
      <c r="BO74" s="518">
        <v>2120.0000000000005</v>
      </c>
      <c r="BP74" s="518">
        <v>2247.1999999999998</v>
      </c>
      <c r="BQ74" s="518">
        <v>2382.0320000000002</v>
      </c>
      <c r="BR74" s="518">
        <v>2524.9539199999995</v>
      </c>
      <c r="BS74" s="518">
        <v>2676.4511551999999</v>
      </c>
      <c r="BT74" s="518">
        <v>2837.0382245120009</v>
      </c>
      <c r="BU74" s="518">
        <v>3007.2605179827201</v>
      </c>
      <c r="BV74" s="518">
        <v>3187.6961490616836</v>
      </c>
      <c r="BW74" s="518">
        <v>3378.9579180053843</v>
      </c>
      <c r="BX74" s="518">
        <v>3581.6953930857071</v>
      </c>
      <c r="BY74" s="518">
        <v>3796.59711667085</v>
      </c>
      <c r="BZ74" s="518">
        <v>4024.3929436711001</v>
      </c>
      <c r="CA74" s="518">
        <v>4265.8565202913678</v>
      </c>
      <c r="CB74" s="518">
        <v>4521.8079115088494</v>
      </c>
      <c r="CC74" s="518">
        <v>4793.11638619938</v>
      </c>
      <c r="CD74" s="518">
        <v>5080.703369371342</v>
      </c>
      <c r="CE74" s="518">
        <v>5385.5455715336238</v>
      </c>
      <c r="CF74" s="518">
        <v>5708.6783058256406</v>
      </c>
      <c r="CG74" s="519">
        <v>6051.1990041751797</v>
      </c>
      <c r="CH74" s="520">
        <v>2</v>
      </c>
      <c r="CI74" s="521">
        <v>2.0499999999999998</v>
      </c>
      <c r="CJ74" s="521">
        <v>2.1012499999999998</v>
      </c>
      <c r="CK74" s="521">
        <v>2.1537812499999998</v>
      </c>
      <c r="CL74" s="521">
        <v>2.20762578125</v>
      </c>
      <c r="CM74" s="521">
        <v>2.2628164257812502</v>
      </c>
      <c r="CN74" s="521">
        <v>2.3193868364257813</v>
      </c>
      <c r="CO74" s="521">
        <v>2.3773715073364259</v>
      </c>
      <c r="CP74" s="521">
        <v>2.5</v>
      </c>
      <c r="CQ74" s="521">
        <v>2.5625</v>
      </c>
      <c r="CR74" s="521">
        <v>2.6265624999999999</v>
      </c>
      <c r="CS74" s="521">
        <v>2.6922265624999997</v>
      </c>
      <c r="CT74" s="521">
        <v>2.7595322265624995</v>
      </c>
      <c r="CU74" s="521">
        <v>2.8285205322265621</v>
      </c>
      <c r="CV74" s="521">
        <v>2.8992335455322262</v>
      </c>
      <c r="CW74" s="521">
        <v>2.9717143841705318</v>
      </c>
      <c r="CX74" s="521">
        <v>2.5</v>
      </c>
      <c r="CY74" s="521">
        <v>2.5625</v>
      </c>
      <c r="CZ74" s="521">
        <v>2.6265624999999999</v>
      </c>
      <c r="DA74" s="522">
        <v>2.6922265624999997</v>
      </c>
      <c r="DB74" s="523">
        <v>6.7837488496741982E-3</v>
      </c>
      <c r="DC74" s="524">
        <v>3.406914806178285E-2</v>
      </c>
      <c r="DD74" s="524">
        <v>3.8009629725680782E-2</v>
      </c>
      <c r="DE74" s="524">
        <v>4.2400494580539266E-2</v>
      </c>
      <c r="DF74" s="524">
        <v>4.7292819455628771E-2</v>
      </c>
      <c r="DG74" s="524">
        <v>5.2743400234575077E-2</v>
      </c>
      <c r="DH74" s="524">
        <v>5.8815356981215455E-2</v>
      </c>
      <c r="DI74" s="524">
        <v>6.5578785562287217E-2</v>
      </c>
      <c r="DJ74" s="524">
        <v>5.7187211875872446E-2</v>
      </c>
      <c r="DK74" s="524">
        <v>8.9825207996832634E-2</v>
      </c>
      <c r="DL74" s="524">
        <v>2.4400592369603347E-3</v>
      </c>
      <c r="DM74" s="524">
        <v>2.5573820612754261E-3</v>
      </c>
      <c r="DN74" s="524">
        <v>2.679585762226766E-3</v>
      </c>
      <c r="DO74" s="524">
        <v>2.8068187461561811E-3</v>
      </c>
      <c r="DP74" s="524">
        <v>2.9392307773914439E-3</v>
      </c>
      <c r="DQ74" s="524">
        <v>3.0769729786902511E-3</v>
      </c>
      <c r="DR74" s="524">
        <v>-1.0162714169099196E-2</v>
      </c>
      <c r="DS74" s="524">
        <v>3.2439880561380086E-2</v>
      </c>
      <c r="DT74" s="524">
        <v>3.5096407258106144E-3</v>
      </c>
      <c r="DU74" s="525">
        <v>3.6450671834483694E-3</v>
      </c>
      <c r="DV74" s="526">
        <v>3.8</v>
      </c>
      <c r="DW74" s="507">
        <v>3</v>
      </c>
      <c r="DX74" s="509">
        <v>9.4499999999999993</v>
      </c>
      <c r="DY74" s="507">
        <v>4</v>
      </c>
      <c r="DZ74" s="507">
        <v>15</v>
      </c>
      <c r="EA74" s="507">
        <v>0</v>
      </c>
      <c r="EB74" s="507">
        <v>0</v>
      </c>
      <c r="EC74" s="507">
        <v>595.33333333333337</v>
      </c>
      <c r="ED74" s="507">
        <v>545</v>
      </c>
      <c r="EE74" s="507">
        <v>0</v>
      </c>
      <c r="EF74" s="507">
        <v>133.66666666666666</v>
      </c>
      <c r="EG74" s="507">
        <v>156.33333333333331</v>
      </c>
      <c r="EH74" s="507">
        <v>68.333333333333329</v>
      </c>
      <c r="EI74" s="507">
        <v>89</v>
      </c>
      <c r="EJ74" s="507">
        <v>301</v>
      </c>
      <c r="EK74" s="507">
        <v>55.666666666666671</v>
      </c>
      <c r="EL74" s="507">
        <v>55.666666666666671</v>
      </c>
      <c r="EM74" s="508">
        <v>2000.0000000000002</v>
      </c>
    </row>
    <row r="75" spans="2:143" x14ac:dyDescent="0.25">
      <c r="B75" s="506" t="str">
        <f>[1]RONET_Input!J46</f>
        <v xml:space="preserve">Input VPROMMS: QL45_1 (49.59 pct); 212th00038 (49.19 pct); 214TT00058 (0.41 pct); 214TT00063 (0.41 pct); ql45_1 (0.41 pct); </v>
      </c>
      <c r="C75" s="359">
        <f>[1]RONET_Input!B46</f>
        <v>44</v>
      </c>
      <c r="D75" s="397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442">
        <f>[1]RONET_Input!K46</f>
        <v>5.2057258858299997</v>
      </c>
      <c r="Q75" s="398">
        <f>[1]RONET_Input!Y46</f>
        <v>2</v>
      </c>
      <c r="R75" s="398">
        <f>[1]RONET_Input!X46</f>
        <v>3.5</v>
      </c>
      <c r="S75" s="398"/>
      <c r="T75" s="398"/>
      <c r="U75" s="398">
        <f>[1]RONET_Input!AA46</f>
        <v>8</v>
      </c>
      <c r="V75" s="398">
        <f>[1]RONET_Input!AC46</f>
        <v>1</v>
      </c>
      <c r="W75" s="398">
        <f>[1]RONET_Input!AD46</f>
        <v>1</v>
      </c>
      <c r="X75" s="398">
        <f>[1]RONET_Input!AE46</f>
        <v>4</v>
      </c>
      <c r="Y75" s="398">
        <f>[1]RONET_Input!AB46</f>
        <v>1</v>
      </c>
      <c r="Z75" s="438">
        <f>[1]RONET_Input!Z46</f>
        <v>1</v>
      </c>
      <c r="AA75" s="442"/>
      <c r="AB75" s="398"/>
      <c r="AC75" s="438"/>
      <c r="AD75" s="442">
        <f>[1]RONET_Input!AH46</f>
        <v>4</v>
      </c>
      <c r="AE75" s="398">
        <f>[1]RONET_Input!D46</f>
        <v>10.074999999999999</v>
      </c>
      <c r="AF75" s="398"/>
      <c r="AG75" s="398"/>
      <c r="AH75" s="398"/>
      <c r="AI75" s="438"/>
      <c r="AJ75" s="442">
        <v>1</v>
      </c>
      <c r="AK75" s="442">
        <f>[1]RONET_Input!AF46</f>
        <v>4</v>
      </c>
      <c r="AL75" s="507"/>
      <c r="AM75" s="507"/>
      <c r="AN75" s="507"/>
      <c r="AO75" s="507"/>
      <c r="AP75" s="507"/>
      <c r="AQ75" s="507"/>
      <c r="AR75" s="507"/>
      <c r="AS75" s="507"/>
      <c r="AT75" s="507"/>
      <c r="AU75" s="507"/>
      <c r="AV75" s="507"/>
      <c r="AW75" s="507"/>
      <c r="AX75" s="508"/>
      <c r="AY75" s="509">
        <f>[1]RONET_Input!AG46</f>
        <v>3</v>
      </c>
      <c r="AZ75" s="359" t="s">
        <v>321</v>
      </c>
      <c r="BA75" s="360" t="s">
        <v>502</v>
      </c>
      <c r="BB75" s="360" t="s">
        <v>443</v>
      </c>
      <c r="BC75" s="510">
        <v>0.2605465805857915</v>
      </c>
      <c r="BD75" s="510">
        <v>5.0050000000000004E-2</v>
      </c>
      <c r="BE75" s="438">
        <v>5</v>
      </c>
      <c r="BF75" s="511">
        <v>2.4366971455157658</v>
      </c>
      <c r="BG75" s="512">
        <v>0.46808018688584085</v>
      </c>
      <c r="BH75" s="512">
        <v>9.3522514862305872</v>
      </c>
      <c r="BI75" s="513">
        <v>0</v>
      </c>
      <c r="BJ75" s="514">
        <v>375</v>
      </c>
      <c r="BK75" s="515">
        <v>0.22366666666666665</v>
      </c>
      <c r="BL75" s="512">
        <v>0.71253373062298131</v>
      </c>
      <c r="BM75" s="516">
        <v>3.2054071874999999E-2</v>
      </c>
      <c r="BN75" s="517">
        <v>375</v>
      </c>
      <c r="BO75" s="518">
        <v>397.50000000000011</v>
      </c>
      <c r="BP75" s="518">
        <v>421.34999999999991</v>
      </c>
      <c r="BQ75" s="518">
        <v>446.63099999999997</v>
      </c>
      <c r="BR75" s="518">
        <v>473.42885999999999</v>
      </c>
      <c r="BS75" s="518">
        <v>501.83459160000012</v>
      </c>
      <c r="BT75" s="518">
        <v>531.9446670960001</v>
      </c>
      <c r="BU75" s="518">
        <v>563.86134712175999</v>
      </c>
      <c r="BV75" s="518">
        <v>597.69302794906582</v>
      </c>
      <c r="BW75" s="518">
        <v>633.55460962600955</v>
      </c>
      <c r="BX75" s="518">
        <v>671.56788620357008</v>
      </c>
      <c r="BY75" s="518">
        <v>711.86195937578441</v>
      </c>
      <c r="BZ75" s="518">
        <v>754.57367693833146</v>
      </c>
      <c r="CA75" s="518">
        <v>799.84809755463141</v>
      </c>
      <c r="CB75" s="518">
        <v>847.83898340790915</v>
      </c>
      <c r="CC75" s="518">
        <v>898.70932241238381</v>
      </c>
      <c r="CD75" s="518">
        <v>952.63188175712685</v>
      </c>
      <c r="CE75" s="518">
        <v>1009.7897946625544</v>
      </c>
      <c r="CF75" s="518">
        <v>1070.3771823423076</v>
      </c>
      <c r="CG75" s="519">
        <v>1134.5998132828461</v>
      </c>
      <c r="CH75" s="520">
        <v>10.074999999999999</v>
      </c>
      <c r="CI75" s="521">
        <v>10.276499999999999</v>
      </c>
      <c r="CJ75" s="521">
        <v>10.482029999999998</v>
      </c>
      <c r="CK75" s="521">
        <v>10.691670599999998</v>
      </c>
      <c r="CL75" s="521">
        <v>2.5</v>
      </c>
      <c r="CM75" s="521">
        <v>2.5499999999999998</v>
      </c>
      <c r="CN75" s="521">
        <v>2.601</v>
      </c>
      <c r="CO75" s="521">
        <v>2.6530200000000002</v>
      </c>
      <c r="CP75" s="521">
        <v>2.7060804000000003</v>
      </c>
      <c r="CQ75" s="521">
        <v>2.7602020080000003</v>
      </c>
      <c r="CR75" s="521">
        <v>2.8154060481600003</v>
      </c>
      <c r="CS75" s="521">
        <v>2.8717141691232002</v>
      </c>
      <c r="CT75" s="521">
        <v>2.5</v>
      </c>
      <c r="CU75" s="521">
        <v>2.5499999999999998</v>
      </c>
      <c r="CV75" s="521">
        <v>2.601</v>
      </c>
      <c r="CW75" s="521">
        <v>2.6530200000000002</v>
      </c>
      <c r="CX75" s="521">
        <v>2.7060804000000003</v>
      </c>
      <c r="CY75" s="521">
        <v>2.7602020080000003</v>
      </c>
      <c r="CZ75" s="521">
        <v>2.8154060481600003</v>
      </c>
      <c r="DA75" s="522">
        <v>2.8717141691232002</v>
      </c>
      <c r="DB75" s="523">
        <v>0</v>
      </c>
      <c r="DC75" s="524">
        <v>0</v>
      </c>
      <c r="DD75" s="524">
        <v>0</v>
      </c>
      <c r="DE75" s="524">
        <v>0</v>
      </c>
      <c r="DF75" s="524">
        <v>-0.13246803673132046</v>
      </c>
      <c r="DG75" s="524">
        <v>0.11549419499407582</v>
      </c>
      <c r="DH75" s="524">
        <v>0.12747798600023363</v>
      </c>
      <c r="DI75" s="524">
        <v>0.1406947886355786</v>
      </c>
      <c r="DJ75" s="524">
        <v>0.15526995332588789</v>
      </c>
      <c r="DK75" s="524">
        <v>3.5525923298591566</v>
      </c>
      <c r="DL75" s="524">
        <v>8.9581165253749262E-4</v>
      </c>
      <c r="DM75" s="524">
        <v>6.4526652232244075E-4</v>
      </c>
      <c r="DN75" s="524">
        <v>-0.23380900816291106</v>
      </c>
      <c r="DO75" s="524">
        <v>3.2693781179806702E-3</v>
      </c>
      <c r="DP75" s="524">
        <v>3.2275943087263226E-3</v>
      </c>
      <c r="DQ75" s="524">
        <v>3.1595041215565223E-3</v>
      </c>
      <c r="DR75" s="524">
        <v>3.0611570816668765E-3</v>
      </c>
      <c r="DS75" s="524">
        <v>0.47929407049874395</v>
      </c>
      <c r="DT75" s="524">
        <v>5.200858307709777E-3</v>
      </c>
      <c r="DU75" s="525">
        <v>5.2893187270416364E-3</v>
      </c>
      <c r="DV75" s="526">
        <v>3.5</v>
      </c>
      <c r="DW75" s="507">
        <v>1</v>
      </c>
      <c r="DX75" s="509">
        <v>10.074999999999999</v>
      </c>
      <c r="DY75" s="507">
        <v>2</v>
      </c>
      <c r="DZ75" s="507">
        <v>15</v>
      </c>
      <c r="EA75" s="507">
        <v>0</v>
      </c>
      <c r="EB75" s="507">
        <v>0</v>
      </c>
      <c r="EC75" s="507">
        <v>111.62500000000001</v>
      </c>
      <c r="ED75" s="507">
        <v>102.18750000000001</v>
      </c>
      <c r="EE75" s="507">
        <v>0</v>
      </c>
      <c r="EF75" s="507">
        <v>25.062499999999996</v>
      </c>
      <c r="EG75" s="507">
        <v>29.3125</v>
      </c>
      <c r="EH75" s="507">
        <v>12.8125</v>
      </c>
      <c r="EI75" s="507">
        <v>16.6875</v>
      </c>
      <c r="EJ75" s="507">
        <v>56.4375</v>
      </c>
      <c r="EK75" s="507">
        <v>10.4375</v>
      </c>
      <c r="EL75" s="507">
        <v>10.4375</v>
      </c>
      <c r="EM75" s="508">
        <v>375</v>
      </c>
    </row>
    <row r="76" spans="2:143" x14ac:dyDescent="0.25">
      <c r="B76" s="506" t="str">
        <f>[1]RONET_Input!J47</f>
        <v>213TT00002</v>
      </c>
      <c r="C76" s="359">
        <f>[1]RONET_Input!B47</f>
        <v>45</v>
      </c>
      <c r="D76" s="397"/>
      <c r="E76" s="360"/>
      <c r="F76" s="360"/>
      <c r="G76" s="360"/>
      <c r="H76" s="360"/>
      <c r="I76" s="360"/>
      <c r="J76" s="360"/>
      <c r="K76" s="360"/>
      <c r="L76" s="360"/>
      <c r="M76" s="360"/>
      <c r="N76" s="360"/>
      <c r="O76" s="360"/>
      <c r="P76" s="442">
        <f>[1]RONET_Input!K47</f>
        <v>2.0226273841600002</v>
      </c>
      <c r="Q76" s="398">
        <f>[1]RONET_Input!Y47</f>
        <v>2</v>
      </c>
      <c r="R76" s="398">
        <f>[1]RONET_Input!X47</f>
        <v>3.8</v>
      </c>
      <c r="S76" s="398"/>
      <c r="T76" s="398"/>
      <c r="U76" s="398">
        <f>[1]RONET_Input!AA47</f>
        <v>6</v>
      </c>
      <c r="V76" s="398">
        <f>[1]RONET_Input!AC47</f>
        <v>1</v>
      </c>
      <c r="W76" s="398">
        <f>[1]RONET_Input!AD47</f>
        <v>1</v>
      </c>
      <c r="X76" s="398">
        <f>[1]RONET_Input!AE47</f>
        <v>4</v>
      </c>
      <c r="Y76" s="398">
        <f>[1]RONET_Input!AB47</f>
        <v>1</v>
      </c>
      <c r="Z76" s="438">
        <f>[1]RONET_Input!Z47</f>
        <v>3</v>
      </c>
      <c r="AA76" s="442"/>
      <c r="AB76" s="398"/>
      <c r="AC76" s="438"/>
      <c r="AD76" s="442">
        <f>[1]RONET_Input!AH47</f>
        <v>4</v>
      </c>
      <c r="AE76" s="398">
        <f>[1]RONET_Input!D47</f>
        <v>9.42</v>
      </c>
      <c r="AF76" s="398"/>
      <c r="AG76" s="398"/>
      <c r="AH76" s="398"/>
      <c r="AI76" s="438"/>
      <c r="AJ76" s="442">
        <v>1</v>
      </c>
      <c r="AK76" s="442">
        <f>[1]RONET_Input!AF47</f>
        <v>6</v>
      </c>
      <c r="AL76" s="507"/>
      <c r="AM76" s="507"/>
      <c r="AN76" s="507"/>
      <c r="AO76" s="507"/>
      <c r="AP76" s="507"/>
      <c r="AQ76" s="507"/>
      <c r="AR76" s="507"/>
      <c r="AS76" s="507"/>
      <c r="AT76" s="507"/>
      <c r="AU76" s="507"/>
      <c r="AV76" s="507"/>
      <c r="AW76" s="507"/>
      <c r="AX76" s="508"/>
      <c r="AY76" s="509">
        <f>[1]RONET_Input!AG47</f>
        <v>3</v>
      </c>
      <c r="AZ76" s="359" t="s">
        <v>321</v>
      </c>
      <c r="BA76" s="360" t="s">
        <v>506</v>
      </c>
      <c r="BB76" s="360" t="s">
        <v>447</v>
      </c>
      <c r="BC76" s="510">
        <v>0.1099095720552544</v>
      </c>
      <c r="BD76" s="510">
        <v>5.4339999999999992E-2</v>
      </c>
      <c r="BE76" s="438">
        <v>1</v>
      </c>
      <c r="BF76" s="511">
        <v>1.5812725279599871</v>
      </c>
      <c r="BG76" s="512">
        <v>0.78179131774026267</v>
      </c>
      <c r="BH76" s="512">
        <v>14.387031979025815</v>
      </c>
      <c r="BI76" s="513">
        <v>0</v>
      </c>
      <c r="BJ76" s="514">
        <v>2000.0000000000002</v>
      </c>
      <c r="BK76" s="515">
        <v>0.22366666666666662</v>
      </c>
      <c r="BL76" s="512">
        <v>1.4765179904368002</v>
      </c>
      <c r="BM76" s="516">
        <v>0.17095505000000003</v>
      </c>
      <c r="BN76" s="517">
        <v>2000.0000000000002</v>
      </c>
      <c r="BO76" s="518">
        <v>2120.0000000000005</v>
      </c>
      <c r="BP76" s="518">
        <v>2247.1999999999998</v>
      </c>
      <c r="BQ76" s="518">
        <v>2382.0320000000002</v>
      </c>
      <c r="BR76" s="518">
        <v>2524.9539199999995</v>
      </c>
      <c r="BS76" s="518">
        <v>2676.4511551999999</v>
      </c>
      <c r="BT76" s="518">
        <v>2837.0382245120009</v>
      </c>
      <c r="BU76" s="518">
        <v>3007.2605179827201</v>
      </c>
      <c r="BV76" s="518">
        <v>3187.6961490616836</v>
      </c>
      <c r="BW76" s="518">
        <v>3378.9579180053843</v>
      </c>
      <c r="BX76" s="518">
        <v>3581.6953930857071</v>
      </c>
      <c r="BY76" s="518">
        <v>3796.59711667085</v>
      </c>
      <c r="BZ76" s="518">
        <v>4024.3929436711001</v>
      </c>
      <c r="CA76" s="518">
        <v>4265.8565202913678</v>
      </c>
      <c r="CB76" s="518">
        <v>4521.8079115088494</v>
      </c>
      <c r="CC76" s="518">
        <v>4793.11638619938</v>
      </c>
      <c r="CD76" s="518">
        <v>5080.703369371342</v>
      </c>
      <c r="CE76" s="518">
        <v>5385.5455715336238</v>
      </c>
      <c r="CF76" s="518">
        <v>5708.6783058256406</v>
      </c>
      <c r="CG76" s="519">
        <v>6051.1990041751797</v>
      </c>
      <c r="CH76" s="520">
        <v>2</v>
      </c>
      <c r="CI76" s="521">
        <v>2.0499999999999998</v>
      </c>
      <c r="CJ76" s="521">
        <v>2.1012499999999998</v>
      </c>
      <c r="CK76" s="521">
        <v>2.1537812499999998</v>
      </c>
      <c r="CL76" s="521">
        <v>2.20762578125</v>
      </c>
      <c r="CM76" s="521">
        <v>2.2628164257812502</v>
      </c>
      <c r="CN76" s="521">
        <v>2.3193868364257813</v>
      </c>
      <c r="CO76" s="521">
        <v>2.3773715073364259</v>
      </c>
      <c r="CP76" s="521">
        <v>2.5</v>
      </c>
      <c r="CQ76" s="521">
        <v>2.5625</v>
      </c>
      <c r="CR76" s="521">
        <v>2.6265624999999999</v>
      </c>
      <c r="CS76" s="521">
        <v>2.6922265624999997</v>
      </c>
      <c r="CT76" s="521">
        <v>2.7595322265624995</v>
      </c>
      <c r="CU76" s="521">
        <v>2.8285205322265621</v>
      </c>
      <c r="CV76" s="521">
        <v>2.8992335455322262</v>
      </c>
      <c r="CW76" s="521">
        <v>2.9717143841705318</v>
      </c>
      <c r="CX76" s="521">
        <v>2.5</v>
      </c>
      <c r="CY76" s="521">
        <v>2.5625</v>
      </c>
      <c r="CZ76" s="521">
        <v>2.6265624999999999</v>
      </c>
      <c r="DA76" s="522">
        <v>2.6922265624999997</v>
      </c>
      <c r="DB76" s="523">
        <v>2.7693421730166423E-2</v>
      </c>
      <c r="DC76" s="524">
        <v>0.1425031958138725</v>
      </c>
      <c r="DD76" s="524">
        <v>0.15898738142864566</v>
      </c>
      <c r="DE76" s="524">
        <v>0.17735579434867843</v>
      </c>
      <c r="DF76" s="524">
        <v>0.19782214663812958</v>
      </c>
      <c r="DG76" s="524">
        <v>0.22062409363873781</v>
      </c>
      <c r="DH76" s="524">
        <v>0.2460257745957688</v>
      </c>
      <c r="DI76" s="524">
        <v>0.27432055201040173</v>
      </c>
      <c r="DJ76" s="524">
        <v>0.23877089494291259</v>
      </c>
      <c r="DK76" s="524">
        <v>0.3782881660245252</v>
      </c>
      <c r="DL76" s="524">
        <v>1.0276018885182703E-2</v>
      </c>
      <c r="DM76" s="524">
        <v>1.0770109987588539E-2</v>
      </c>
      <c r="DN76" s="524">
        <v>1.1284756320674827E-2</v>
      </c>
      <c r="DO76" s="524">
        <v>1.1820582880076369E-2</v>
      </c>
      <c r="DP76" s="524">
        <v>1.2378220380424354E-2</v>
      </c>
      <c r="DQ76" s="524">
        <v>1.295830525721442E-2</v>
      </c>
      <c r="DR76" s="524">
        <v>-4.2799060426284452E-2</v>
      </c>
      <c r="DS76" s="524">
        <v>0.13661669365744022</v>
      </c>
      <c r="DT76" s="524">
        <v>1.4780433946990801E-2</v>
      </c>
      <c r="DU76" s="525">
        <v>1.5350766345138656E-2</v>
      </c>
      <c r="DV76" s="526">
        <v>3.8</v>
      </c>
      <c r="DW76" s="507">
        <v>3</v>
      </c>
      <c r="DX76" s="509">
        <v>9.42</v>
      </c>
      <c r="DY76" s="507">
        <v>4</v>
      </c>
      <c r="DZ76" s="507">
        <v>15</v>
      </c>
      <c r="EA76" s="507">
        <v>0</v>
      </c>
      <c r="EB76" s="507">
        <v>0</v>
      </c>
      <c r="EC76" s="507">
        <v>595.33333333333337</v>
      </c>
      <c r="ED76" s="507">
        <v>545</v>
      </c>
      <c r="EE76" s="507">
        <v>0</v>
      </c>
      <c r="EF76" s="507">
        <v>133.66666666666666</v>
      </c>
      <c r="EG76" s="507">
        <v>156.33333333333331</v>
      </c>
      <c r="EH76" s="507">
        <v>68.333333333333329</v>
      </c>
      <c r="EI76" s="507">
        <v>89</v>
      </c>
      <c r="EJ76" s="507">
        <v>301</v>
      </c>
      <c r="EK76" s="507">
        <v>55.666666666666671</v>
      </c>
      <c r="EL76" s="507">
        <v>55.666666666666671</v>
      </c>
      <c r="EM76" s="508">
        <v>2000.0000000000002</v>
      </c>
    </row>
    <row r="77" spans="2:143" x14ac:dyDescent="0.25">
      <c r="B77" s="506" t="str">
        <f>[1]RONET_Input!J48</f>
        <v>214TT00054</v>
      </c>
      <c r="C77" s="359">
        <f>[1]RONET_Input!B48</f>
        <v>46</v>
      </c>
      <c r="D77" s="397"/>
      <c r="E77" s="360"/>
      <c r="F77" s="360"/>
      <c r="G77" s="360"/>
      <c r="H77" s="360"/>
      <c r="I77" s="360"/>
      <c r="J77" s="360"/>
      <c r="K77" s="360"/>
      <c r="L77" s="360"/>
      <c r="M77" s="360"/>
      <c r="N77" s="360"/>
      <c r="O77" s="360"/>
      <c r="P77" s="442">
        <f>[1]RONET_Input!K48</f>
        <v>2.32077294093</v>
      </c>
      <c r="Q77" s="398">
        <f>[1]RONET_Input!Y48</f>
        <v>1</v>
      </c>
      <c r="R77" s="398">
        <f>[1]RONET_Input!X48</f>
        <v>3.4</v>
      </c>
      <c r="S77" s="398"/>
      <c r="T77" s="398"/>
      <c r="U77" s="398">
        <f>[1]RONET_Input!AA48</f>
        <v>8</v>
      </c>
      <c r="V77" s="398">
        <f>[1]RONET_Input!AC48</f>
        <v>1</v>
      </c>
      <c r="W77" s="398">
        <f>[1]RONET_Input!AD48</f>
        <v>1</v>
      </c>
      <c r="X77" s="398">
        <f>[1]RONET_Input!AE48</f>
        <v>4</v>
      </c>
      <c r="Y77" s="398">
        <f>[1]RONET_Input!AB48</f>
        <v>1</v>
      </c>
      <c r="Z77" s="438">
        <f>[1]RONET_Input!Z48</f>
        <v>1</v>
      </c>
      <c r="AA77" s="442"/>
      <c r="AB77" s="398"/>
      <c r="AC77" s="438"/>
      <c r="AD77" s="442">
        <f>[1]RONET_Input!AH48</f>
        <v>3</v>
      </c>
      <c r="AE77" s="398">
        <f>[1]RONET_Input!D48</f>
        <v>6.83</v>
      </c>
      <c r="AF77" s="398"/>
      <c r="AG77" s="398"/>
      <c r="AH77" s="398"/>
      <c r="AI77" s="438"/>
      <c r="AJ77" s="442">
        <v>1</v>
      </c>
      <c r="AK77" s="442">
        <f>[1]RONET_Input!AF48</f>
        <v>4</v>
      </c>
      <c r="AL77" s="507"/>
      <c r="AM77" s="507"/>
      <c r="AN77" s="507"/>
      <c r="AO77" s="507"/>
      <c r="AP77" s="507"/>
      <c r="AQ77" s="507"/>
      <c r="AR77" s="507"/>
      <c r="AS77" s="507"/>
      <c r="AT77" s="507"/>
      <c r="AU77" s="507"/>
      <c r="AV77" s="507"/>
      <c r="AW77" s="507"/>
      <c r="AX77" s="508"/>
      <c r="AY77" s="509">
        <f>[1]RONET_Input!AG48</f>
        <v>3</v>
      </c>
      <c r="AZ77" s="359" t="s">
        <v>321</v>
      </c>
      <c r="BA77" s="360" t="s">
        <v>502</v>
      </c>
      <c r="BB77" s="360" t="s">
        <v>443</v>
      </c>
      <c r="BC77" s="510">
        <v>0.11283598038801661</v>
      </c>
      <c r="BD77" s="510">
        <v>4.8620000000000003E-2</v>
      </c>
      <c r="BE77" s="438">
        <v>5</v>
      </c>
      <c r="BF77" s="511">
        <v>1.0166352907227703</v>
      </c>
      <c r="BG77" s="512">
        <v>0.43805892114347711</v>
      </c>
      <c r="BH77" s="512">
        <v>9.0098502908983349</v>
      </c>
      <c r="BI77" s="513">
        <v>0</v>
      </c>
      <c r="BJ77" s="514">
        <v>375</v>
      </c>
      <c r="BK77" s="515">
        <v>0.22366666666666665</v>
      </c>
      <c r="BL77" s="512">
        <v>0.31765579628979373</v>
      </c>
      <c r="BM77" s="516">
        <v>6.4108143749999999E-2</v>
      </c>
      <c r="BN77" s="517">
        <v>375</v>
      </c>
      <c r="BO77" s="518">
        <v>397.50000000000011</v>
      </c>
      <c r="BP77" s="518">
        <v>421.34999999999991</v>
      </c>
      <c r="BQ77" s="518">
        <v>446.63099999999997</v>
      </c>
      <c r="BR77" s="518">
        <v>473.42885999999999</v>
      </c>
      <c r="BS77" s="518">
        <v>501.83459160000012</v>
      </c>
      <c r="BT77" s="518">
        <v>531.9446670960001</v>
      </c>
      <c r="BU77" s="518">
        <v>563.86134712175999</v>
      </c>
      <c r="BV77" s="518">
        <v>597.69302794906582</v>
      </c>
      <c r="BW77" s="518">
        <v>633.55460962600955</v>
      </c>
      <c r="BX77" s="518">
        <v>671.56788620357008</v>
      </c>
      <c r="BY77" s="518">
        <v>711.86195937578441</v>
      </c>
      <c r="BZ77" s="518">
        <v>754.57367693833146</v>
      </c>
      <c r="CA77" s="518">
        <v>799.84809755463141</v>
      </c>
      <c r="CB77" s="518">
        <v>847.83898340790915</v>
      </c>
      <c r="CC77" s="518">
        <v>898.70932241238381</v>
      </c>
      <c r="CD77" s="518">
        <v>952.63188175712685</v>
      </c>
      <c r="CE77" s="518">
        <v>1009.7897946625544</v>
      </c>
      <c r="CF77" s="518">
        <v>1070.3771823423076</v>
      </c>
      <c r="CG77" s="519">
        <v>1134.5998132828461</v>
      </c>
      <c r="CH77" s="520">
        <v>6.83</v>
      </c>
      <c r="CI77" s="521">
        <v>6.9665999999999997</v>
      </c>
      <c r="CJ77" s="521">
        <v>7.1059319999999992</v>
      </c>
      <c r="CK77" s="521">
        <v>7.2480506399999989</v>
      </c>
      <c r="CL77" s="521">
        <v>2.5</v>
      </c>
      <c r="CM77" s="521">
        <v>2.5499999999999998</v>
      </c>
      <c r="CN77" s="521">
        <v>2.601</v>
      </c>
      <c r="CO77" s="521">
        <v>2.6530200000000002</v>
      </c>
      <c r="CP77" s="521">
        <v>2.7060804000000003</v>
      </c>
      <c r="CQ77" s="521">
        <v>2.7602020080000003</v>
      </c>
      <c r="CR77" s="521">
        <v>2.8154060481600003</v>
      </c>
      <c r="CS77" s="521">
        <v>2.8717141691232002</v>
      </c>
      <c r="CT77" s="521">
        <v>2.5</v>
      </c>
      <c r="CU77" s="521">
        <v>2.5499999999999998</v>
      </c>
      <c r="CV77" s="521">
        <v>2.601</v>
      </c>
      <c r="CW77" s="521">
        <v>2.6530200000000002</v>
      </c>
      <c r="CX77" s="521">
        <v>2.7060804000000003</v>
      </c>
      <c r="CY77" s="521">
        <v>2.7602020080000003</v>
      </c>
      <c r="CZ77" s="521">
        <v>2.8154060481600003</v>
      </c>
      <c r="DA77" s="522">
        <v>2.8717141691232002</v>
      </c>
      <c r="DB77" s="523">
        <v>0</v>
      </c>
      <c r="DC77" s="524">
        <v>0</v>
      </c>
      <c r="DD77" s="524">
        <v>0</v>
      </c>
      <c r="DE77" s="524">
        <v>0</v>
      </c>
      <c r="DF77" s="524">
        <v>-8.1345115391731504E-2</v>
      </c>
      <c r="DG77" s="524">
        <v>2.3516113770066099E-2</v>
      </c>
      <c r="DH77" s="524">
        <v>2.5917819249347301E-2</v>
      </c>
      <c r="DI77" s="524">
        <v>2.8563082369581133E-2</v>
      </c>
      <c r="DJ77" s="524">
        <v>3.1476494232372476E-2</v>
      </c>
      <c r="DK77" s="524">
        <v>1.5902399733082719</v>
      </c>
      <c r="DL77" s="524">
        <v>6.951914900229117E-3</v>
      </c>
      <c r="DM77" s="524">
        <v>6.9429723956432876E-3</v>
      </c>
      <c r="DN77" s="524">
        <v>-9.4151791943832996E-2</v>
      </c>
      <c r="DO77" s="524">
        <v>8.653075956119749E-3</v>
      </c>
      <c r="DP77" s="524">
        <v>8.7720765705833759E-3</v>
      </c>
      <c r="DQ77" s="524">
        <v>8.884462803723181E-3</v>
      </c>
      <c r="DR77" s="524">
        <v>8.9885447533151752E-3</v>
      </c>
      <c r="DS77" s="524">
        <v>0.22145186725900728</v>
      </c>
      <c r="DT77" s="524">
        <v>1.0254075292522868E-2</v>
      </c>
      <c r="DU77" s="525">
        <v>1.0457285311222364E-2</v>
      </c>
      <c r="DV77" s="526">
        <v>3.4</v>
      </c>
      <c r="DW77" s="507">
        <v>1</v>
      </c>
      <c r="DX77" s="509">
        <v>6.83</v>
      </c>
      <c r="DY77" s="507">
        <v>2</v>
      </c>
      <c r="DZ77" s="507">
        <v>10</v>
      </c>
      <c r="EA77" s="507">
        <v>0</v>
      </c>
      <c r="EB77" s="507">
        <v>0</v>
      </c>
      <c r="EC77" s="507">
        <v>111.62500000000001</v>
      </c>
      <c r="ED77" s="507">
        <v>102.18750000000001</v>
      </c>
      <c r="EE77" s="507">
        <v>0</v>
      </c>
      <c r="EF77" s="507">
        <v>25.062499999999996</v>
      </c>
      <c r="EG77" s="507">
        <v>29.3125</v>
      </c>
      <c r="EH77" s="507">
        <v>12.8125</v>
      </c>
      <c r="EI77" s="507">
        <v>16.6875</v>
      </c>
      <c r="EJ77" s="507">
        <v>56.4375</v>
      </c>
      <c r="EK77" s="507">
        <v>10.4375</v>
      </c>
      <c r="EL77" s="507">
        <v>10.4375</v>
      </c>
      <c r="EM77" s="508">
        <v>375</v>
      </c>
    </row>
    <row r="78" spans="2:143" x14ac:dyDescent="0.25">
      <c r="B78" s="506" t="str">
        <f>[1]RONET_Input!J49</f>
        <v xml:space="preserve">Input VPROMMS: 212th00023 (64.9 pct); 212TH00023 (32.45 pct); 214TT00056 (1.32 pct); 214TT00055 (0.66 pct); 214TT00054 (0.66 pct); </v>
      </c>
      <c r="C78" s="359">
        <f>[1]RONET_Input!B49</f>
        <v>47</v>
      </c>
      <c r="D78" s="397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442">
        <f>[1]RONET_Input!K49</f>
        <v>2.5507044805599999</v>
      </c>
      <c r="Q78" s="398">
        <f>[1]RONET_Input!Y49</f>
        <v>2</v>
      </c>
      <c r="R78" s="398">
        <f>[1]RONET_Input!X49</f>
        <v>3.5</v>
      </c>
      <c r="S78" s="398"/>
      <c r="T78" s="398"/>
      <c r="U78" s="398">
        <f>[1]RONET_Input!AA49</f>
        <v>8</v>
      </c>
      <c r="V78" s="398">
        <f>[1]RONET_Input!AC49</f>
        <v>1</v>
      </c>
      <c r="W78" s="398">
        <f>[1]RONET_Input!AD49</f>
        <v>1</v>
      </c>
      <c r="X78" s="398">
        <f>[1]RONET_Input!AE49</f>
        <v>4</v>
      </c>
      <c r="Y78" s="398">
        <f>[1]RONET_Input!AB49</f>
        <v>1</v>
      </c>
      <c r="Z78" s="438">
        <f>[1]RONET_Input!Z49</f>
        <v>1</v>
      </c>
      <c r="AA78" s="442"/>
      <c r="AB78" s="398"/>
      <c r="AC78" s="438"/>
      <c r="AD78" s="442">
        <f>[1]RONET_Input!AH49</f>
        <v>4</v>
      </c>
      <c r="AE78" s="398">
        <f>[1]RONET_Input!D49</f>
        <v>8.17</v>
      </c>
      <c r="AF78" s="398"/>
      <c r="AG78" s="398"/>
      <c r="AH78" s="398"/>
      <c r="AI78" s="438"/>
      <c r="AJ78" s="442">
        <v>1</v>
      </c>
      <c r="AK78" s="442">
        <f>[1]RONET_Input!AF49</f>
        <v>4</v>
      </c>
      <c r="AL78" s="507"/>
      <c r="AM78" s="507"/>
      <c r="AN78" s="507"/>
      <c r="AO78" s="507"/>
      <c r="AP78" s="507"/>
      <c r="AQ78" s="507"/>
      <c r="AR78" s="507"/>
      <c r="AS78" s="507"/>
      <c r="AT78" s="507"/>
      <c r="AU78" s="507"/>
      <c r="AV78" s="507"/>
      <c r="AW78" s="507"/>
      <c r="AX78" s="508"/>
      <c r="AY78" s="509">
        <f>[1]RONET_Input!AG49</f>
        <v>3</v>
      </c>
      <c r="AZ78" s="359" t="s">
        <v>321</v>
      </c>
      <c r="BA78" s="360" t="s">
        <v>502</v>
      </c>
      <c r="BB78" s="360" t="s">
        <v>443</v>
      </c>
      <c r="BC78" s="510">
        <v>0.127662759252028</v>
      </c>
      <c r="BD78" s="510">
        <v>5.0050000000000004E-2</v>
      </c>
      <c r="BE78" s="438">
        <v>5</v>
      </c>
      <c r="BF78" s="511">
        <v>1.1132701008679098</v>
      </c>
      <c r="BG78" s="512">
        <v>0.43645593182299758</v>
      </c>
      <c r="BH78" s="512">
        <v>8.7203982382217298</v>
      </c>
      <c r="BI78" s="513">
        <v>0</v>
      </c>
      <c r="BJ78" s="514">
        <v>375</v>
      </c>
      <c r="BK78" s="515">
        <v>0.22366666666666665</v>
      </c>
      <c r="BL78" s="512">
        <v>0.3491276757766501</v>
      </c>
      <c r="BM78" s="516">
        <v>3.2054071874999999E-2</v>
      </c>
      <c r="BN78" s="517">
        <v>375</v>
      </c>
      <c r="BO78" s="518">
        <v>397.50000000000011</v>
      </c>
      <c r="BP78" s="518">
        <v>421.34999999999991</v>
      </c>
      <c r="BQ78" s="518">
        <v>446.63099999999997</v>
      </c>
      <c r="BR78" s="518">
        <v>473.42885999999999</v>
      </c>
      <c r="BS78" s="518">
        <v>501.83459160000012</v>
      </c>
      <c r="BT78" s="518">
        <v>531.9446670960001</v>
      </c>
      <c r="BU78" s="518">
        <v>563.86134712175999</v>
      </c>
      <c r="BV78" s="518">
        <v>597.69302794906582</v>
      </c>
      <c r="BW78" s="518">
        <v>633.55460962600955</v>
      </c>
      <c r="BX78" s="518">
        <v>671.56788620357008</v>
      </c>
      <c r="BY78" s="518">
        <v>711.86195937578441</v>
      </c>
      <c r="BZ78" s="518">
        <v>754.57367693833146</v>
      </c>
      <c r="CA78" s="518">
        <v>799.84809755463141</v>
      </c>
      <c r="CB78" s="518">
        <v>847.83898340790915</v>
      </c>
      <c r="CC78" s="518">
        <v>898.70932241238381</v>
      </c>
      <c r="CD78" s="518">
        <v>952.63188175712685</v>
      </c>
      <c r="CE78" s="518">
        <v>1009.7897946625544</v>
      </c>
      <c r="CF78" s="518">
        <v>1070.3771823423076</v>
      </c>
      <c r="CG78" s="519">
        <v>1134.5998132828461</v>
      </c>
      <c r="CH78" s="520">
        <v>8.17</v>
      </c>
      <c r="CI78" s="521">
        <v>8.3333999999999993</v>
      </c>
      <c r="CJ78" s="521">
        <v>8.5000679999999988</v>
      </c>
      <c r="CK78" s="521">
        <v>8.6700693599999994</v>
      </c>
      <c r="CL78" s="521">
        <v>2.5</v>
      </c>
      <c r="CM78" s="521">
        <v>2.5499999999999998</v>
      </c>
      <c r="CN78" s="521">
        <v>2.601</v>
      </c>
      <c r="CO78" s="521">
        <v>2.6530200000000002</v>
      </c>
      <c r="CP78" s="521">
        <v>2.7060804000000003</v>
      </c>
      <c r="CQ78" s="521">
        <v>2.7602020080000003</v>
      </c>
      <c r="CR78" s="521">
        <v>2.8154060481600003</v>
      </c>
      <c r="CS78" s="521">
        <v>2.8717141691232002</v>
      </c>
      <c r="CT78" s="521">
        <v>2.5</v>
      </c>
      <c r="CU78" s="521">
        <v>2.5499999999999998</v>
      </c>
      <c r="CV78" s="521">
        <v>2.601</v>
      </c>
      <c r="CW78" s="521">
        <v>2.6530200000000002</v>
      </c>
      <c r="CX78" s="521">
        <v>2.7060804000000003</v>
      </c>
      <c r="CY78" s="521">
        <v>2.7602020080000003</v>
      </c>
      <c r="CZ78" s="521">
        <v>2.8154060481600003</v>
      </c>
      <c r="DA78" s="522">
        <v>2.8717141691232002</v>
      </c>
      <c r="DB78" s="523">
        <v>0</v>
      </c>
      <c r="DC78" s="524">
        <v>0</v>
      </c>
      <c r="DD78" s="524">
        <v>0</v>
      </c>
      <c r="DE78" s="524">
        <v>0</v>
      </c>
      <c r="DF78" s="524">
        <v>-8.3701611626190775E-2</v>
      </c>
      <c r="DG78" s="524">
        <v>3.5865697888758818E-2</v>
      </c>
      <c r="DH78" s="524">
        <v>3.9611154613520799E-2</v>
      </c>
      <c r="DI78" s="524">
        <v>4.374400055885444E-2</v>
      </c>
      <c r="DJ78" s="524">
        <v>4.8304069222669943E-2</v>
      </c>
      <c r="DK78" s="524">
        <v>1.7407011763797584</v>
      </c>
      <c r="DL78" s="524">
        <v>4.3893029444458387E-4</v>
      </c>
      <c r="DM78" s="524">
        <v>3.1616805143797055E-4</v>
      </c>
      <c r="DN78" s="524">
        <v>-0.11456186856472195</v>
      </c>
      <c r="DO78" s="524">
        <v>1.6019317184712834E-3</v>
      </c>
      <c r="DP78" s="524">
        <v>1.5814584642475649E-3</v>
      </c>
      <c r="DQ78" s="524">
        <v>1.5480955962622889E-3</v>
      </c>
      <c r="DR78" s="524">
        <v>1.4999074586618533E-3</v>
      </c>
      <c r="DS78" s="524">
        <v>0.23484477668229459</v>
      </c>
      <c r="DT78" s="524">
        <v>2.5483194619106975E-3</v>
      </c>
      <c r="DU78" s="525">
        <v>2.5916633476416595E-3</v>
      </c>
      <c r="DV78" s="526">
        <v>3.5</v>
      </c>
      <c r="DW78" s="507">
        <v>1</v>
      </c>
      <c r="DX78" s="509">
        <v>8.17</v>
      </c>
      <c r="DY78" s="507">
        <v>2</v>
      </c>
      <c r="DZ78" s="507">
        <v>15</v>
      </c>
      <c r="EA78" s="507">
        <v>0</v>
      </c>
      <c r="EB78" s="507">
        <v>0</v>
      </c>
      <c r="EC78" s="507">
        <v>111.62500000000001</v>
      </c>
      <c r="ED78" s="507">
        <v>102.18750000000001</v>
      </c>
      <c r="EE78" s="507">
        <v>0</v>
      </c>
      <c r="EF78" s="507">
        <v>25.062499999999996</v>
      </c>
      <c r="EG78" s="507">
        <v>29.3125</v>
      </c>
      <c r="EH78" s="507">
        <v>12.8125</v>
      </c>
      <c r="EI78" s="507">
        <v>16.6875</v>
      </c>
      <c r="EJ78" s="507">
        <v>56.4375</v>
      </c>
      <c r="EK78" s="507">
        <v>10.4375</v>
      </c>
      <c r="EL78" s="507">
        <v>10.4375</v>
      </c>
      <c r="EM78" s="508">
        <v>375</v>
      </c>
    </row>
    <row r="79" spans="2:143" x14ac:dyDescent="0.25">
      <c r="B79" s="506" t="str">
        <f>[1]RONET_Input!J50</f>
        <v>214TT00074</v>
      </c>
      <c r="C79" s="359">
        <f>[1]RONET_Input!B50</f>
        <v>48</v>
      </c>
      <c r="D79" s="397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442">
        <f>[1]RONET_Input!K50</f>
        <v>1.03432944709</v>
      </c>
      <c r="Q79" s="398">
        <f>[1]RONET_Input!Y50</f>
        <v>1</v>
      </c>
      <c r="R79" s="398">
        <f>[1]RONET_Input!X50</f>
        <v>3.4</v>
      </c>
      <c r="S79" s="398"/>
      <c r="T79" s="398"/>
      <c r="U79" s="398">
        <f>[1]RONET_Input!AA50</f>
        <v>8</v>
      </c>
      <c r="V79" s="398">
        <f>[1]RONET_Input!AC50</f>
        <v>1</v>
      </c>
      <c r="W79" s="398">
        <f>[1]RONET_Input!AD50</f>
        <v>1</v>
      </c>
      <c r="X79" s="398">
        <f>[1]RONET_Input!AE50</f>
        <v>4</v>
      </c>
      <c r="Y79" s="398">
        <f>[1]RONET_Input!AB50</f>
        <v>1</v>
      </c>
      <c r="Z79" s="438">
        <f>[1]RONET_Input!Z50</f>
        <v>1</v>
      </c>
      <c r="AA79" s="442"/>
      <c r="AB79" s="398"/>
      <c r="AC79" s="438"/>
      <c r="AD79" s="442">
        <f>[1]RONET_Input!AH50</f>
        <v>5</v>
      </c>
      <c r="AE79" s="398">
        <f>[1]RONET_Input!D50</f>
        <v>12.595000000000001</v>
      </c>
      <c r="AF79" s="398"/>
      <c r="AG79" s="398"/>
      <c r="AH79" s="398"/>
      <c r="AI79" s="438"/>
      <c r="AJ79" s="442">
        <v>1</v>
      </c>
      <c r="AK79" s="442">
        <f>[1]RONET_Input!AF50</f>
        <v>4</v>
      </c>
      <c r="AL79" s="507"/>
      <c r="AM79" s="507"/>
      <c r="AN79" s="507"/>
      <c r="AO79" s="507"/>
      <c r="AP79" s="507"/>
      <c r="AQ79" s="507"/>
      <c r="AR79" s="507"/>
      <c r="AS79" s="507"/>
      <c r="AT79" s="507"/>
      <c r="AU79" s="507"/>
      <c r="AV79" s="507"/>
      <c r="AW79" s="507"/>
      <c r="AX79" s="508"/>
      <c r="AY79" s="509">
        <f>[1]RONET_Input!AG50</f>
        <v>3</v>
      </c>
      <c r="AZ79" s="359" t="s">
        <v>321</v>
      </c>
      <c r="BA79" s="360" t="s">
        <v>502</v>
      </c>
      <c r="BB79" s="360" t="s">
        <v>443</v>
      </c>
      <c r="BC79" s="510">
        <v>5.0289097717515802E-2</v>
      </c>
      <c r="BD79" s="510">
        <v>4.8620000000000003E-2</v>
      </c>
      <c r="BE79" s="438">
        <v>1</v>
      </c>
      <c r="BF79" s="511">
        <v>0.62198223735727631</v>
      </c>
      <c r="BG79" s="512">
        <v>0.60133861518413856</v>
      </c>
      <c r="BH79" s="512">
        <v>12.368132768081828</v>
      </c>
      <c r="BI79" s="513">
        <v>0</v>
      </c>
      <c r="BJ79" s="514">
        <v>375</v>
      </c>
      <c r="BK79" s="515">
        <v>0.22366666666666665</v>
      </c>
      <c r="BL79" s="512">
        <v>0.14157384307044374</v>
      </c>
      <c r="BM79" s="516">
        <v>6.4108143749999999E-2</v>
      </c>
      <c r="BN79" s="517">
        <v>375</v>
      </c>
      <c r="BO79" s="518">
        <v>397.50000000000011</v>
      </c>
      <c r="BP79" s="518">
        <v>421.34999999999991</v>
      </c>
      <c r="BQ79" s="518">
        <v>446.63099999999997</v>
      </c>
      <c r="BR79" s="518">
        <v>473.42885999999999</v>
      </c>
      <c r="BS79" s="518">
        <v>501.83459160000012</v>
      </c>
      <c r="BT79" s="518">
        <v>531.9446670960001</v>
      </c>
      <c r="BU79" s="518">
        <v>563.86134712175999</v>
      </c>
      <c r="BV79" s="518">
        <v>597.69302794906582</v>
      </c>
      <c r="BW79" s="518">
        <v>633.55460962600955</v>
      </c>
      <c r="BX79" s="518">
        <v>671.56788620357008</v>
      </c>
      <c r="BY79" s="518">
        <v>711.86195937578441</v>
      </c>
      <c r="BZ79" s="518">
        <v>754.57367693833146</v>
      </c>
      <c r="CA79" s="518">
        <v>799.84809755463141</v>
      </c>
      <c r="CB79" s="518">
        <v>847.83898340790915</v>
      </c>
      <c r="CC79" s="518">
        <v>898.70932241238381</v>
      </c>
      <c r="CD79" s="518">
        <v>952.63188175712685</v>
      </c>
      <c r="CE79" s="518">
        <v>1009.7897946625544</v>
      </c>
      <c r="CF79" s="518">
        <v>1070.3771823423076</v>
      </c>
      <c r="CG79" s="519">
        <v>1134.5998132828461</v>
      </c>
      <c r="CH79" s="520">
        <v>2.5</v>
      </c>
      <c r="CI79" s="521">
        <v>2.5499999999999998</v>
      </c>
      <c r="CJ79" s="521">
        <v>2.601</v>
      </c>
      <c r="CK79" s="521">
        <v>2.6530200000000002</v>
      </c>
      <c r="CL79" s="521">
        <v>2.7060804000000003</v>
      </c>
      <c r="CM79" s="521">
        <v>2.7602020080000003</v>
      </c>
      <c r="CN79" s="521">
        <v>2.8154060481600003</v>
      </c>
      <c r="CO79" s="521">
        <v>2.8717141691232002</v>
      </c>
      <c r="CP79" s="521">
        <v>2.5</v>
      </c>
      <c r="CQ79" s="521">
        <v>2.5499999999999998</v>
      </c>
      <c r="CR79" s="521">
        <v>2.601</v>
      </c>
      <c r="CS79" s="521">
        <v>2.6530200000000002</v>
      </c>
      <c r="CT79" s="521">
        <v>2.7060804000000003</v>
      </c>
      <c r="CU79" s="521">
        <v>2.7602020080000003</v>
      </c>
      <c r="CV79" s="521">
        <v>2.8154060481600003</v>
      </c>
      <c r="CW79" s="521">
        <v>2.8717141691232002</v>
      </c>
      <c r="CX79" s="521">
        <v>2.5</v>
      </c>
      <c r="CY79" s="521">
        <v>2.5499999999999998</v>
      </c>
      <c r="CZ79" s="521">
        <v>2.601</v>
      </c>
      <c r="DA79" s="522">
        <v>2.6530200000000002</v>
      </c>
      <c r="DB79" s="523">
        <v>-2.2728430206508207E-2</v>
      </c>
      <c r="DC79" s="524">
        <v>2.536383097248901E-2</v>
      </c>
      <c r="DD79" s="524">
        <v>2.7926082966243548E-2</v>
      </c>
      <c r="DE79" s="524">
        <v>3.0743965887325045E-2</v>
      </c>
      <c r="DF79" s="524">
        <v>3.3841955915326127E-2</v>
      </c>
      <c r="DG79" s="524">
        <v>3.7246513760217495E-2</v>
      </c>
      <c r="DH79" s="524">
        <v>4.0986122805881028E-2</v>
      </c>
      <c r="DI79" s="524">
        <v>4.5091282386812065E-2</v>
      </c>
      <c r="DJ79" s="524">
        <v>4.4004772267692005E-3</v>
      </c>
      <c r="DK79" s="524">
        <v>0.70903141954531257</v>
      </c>
      <c r="DL79" s="524">
        <v>3.417040213178596E-3</v>
      </c>
      <c r="DM79" s="524">
        <v>3.4466901337561473E-3</v>
      </c>
      <c r="DN79" s="524">
        <v>3.4721680527195764E-3</v>
      </c>
      <c r="DO79" s="524">
        <v>3.4926552962719348E-3</v>
      </c>
      <c r="DP79" s="524">
        <v>3.5072297429808996E-3</v>
      </c>
      <c r="DQ79" s="524">
        <v>3.5148544223338463E-3</v>
      </c>
      <c r="DR79" s="524">
        <v>-4.1341628423701982E-2</v>
      </c>
      <c r="DS79" s="524">
        <v>9.9156754632559824E-2</v>
      </c>
      <c r="DT79" s="524">
        <v>5.0780102188852927E-3</v>
      </c>
      <c r="DU79" s="525">
        <v>5.2221872929938684E-3</v>
      </c>
      <c r="DV79" s="526">
        <v>3.4</v>
      </c>
      <c r="DW79" s="507">
        <v>1</v>
      </c>
      <c r="DX79" s="509">
        <v>12.595000000000001</v>
      </c>
      <c r="DY79" s="507">
        <v>2</v>
      </c>
      <c r="DZ79" s="507">
        <v>20</v>
      </c>
      <c r="EA79" s="507">
        <v>0</v>
      </c>
      <c r="EB79" s="507">
        <v>0</v>
      </c>
      <c r="EC79" s="507">
        <v>111.62500000000001</v>
      </c>
      <c r="ED79" s="507">
        <v>102.18750000000001</v>
      </c>
      <c r="EE79" s="507">
        <v>0</v>
      </c>
      <c r="EF79" s="507">
        <v>25.062499999999996</v>
      </c>
      <c r="EG79" s="507">
        <v>29.3125</v>
      </c>
      <c r="EH79" s="507">
        <v>12.8125</v>
      </c>
      <c r="EI79" s="507">
        <v>16.6875</v>
      </c>
      <c r="EJ79" s="507">
        <v>56.4375</v>
      </c>
      <c r="EK79" s="507">
        <v>10.4375</v>
      </c>
      <c r="EL79" s="507">
        <v>10.4375</v>
      </c>
      <c r="EM79" s="508">
        <v>375</v>
      </c>
    </row>
    <row r="80" spans="2:143" x14ac:dyDescent="0.25">
      <c r="B80" s="506" t="str">
        <f>[1]RONET_Input!J51</f>
        <v xml:space="preserve">Input VPROMMS: 217B_1 (48.63 pct); 217b_1 (48.63 pct); 214TT00074 (1.37 pct); 214TT00082 (1.37 pct); </v>
      </c>
      <c r="C80" s="359">
        <f>[1]RONET_Input!B51</f>
        <v>49</v>
      </c>
      <c r="D80" s="397"/>
      <c r="E80" s="360"/>
      <c r="F80" s="360"/>
      <c r="G80" s="360"/>
      <c r="H80" s="360"/>
      <c r="I80" s="360"/>
      <c r="J80" s="360"/>
      <c r="K80" s="360"/>
      <c r="L80" s="360"/>
      <c r="M80" s="360"/>
      <c r="N80" s="360"/>
      <c r="O80" s="360"/>
      <c r="P80" s="442">
        <f>[1]RONET_Input!K51</f>
        <v>3.57290652483</v>
      </c>
      <c r="Q80" s="398">
        <f>[1]RONET_Input!Y51</f>
        <v>2</v>
      </c>
      <c r="R80" s="398">
        <f>[1]RONET_Input!X51</f>
        <v>3.5</v>
      </c>
      <c r="S80" s="398"/>
      <c r="T80" s="398"/>
      <c r="U80" s="398">
        <f>[1]RONET_Input!AA51</f>
        <v>8</v>
      </c>
      <c r="V80" s="398">
        <f>[1]RONET_Input!AC51</f>
        <v>1</v>
      </c>
      <c r="W80" s="398">
        <f>[1]RONET_Input!AD51</f>
        <v>1</v>
      </c>
      <c r="X80" s="398">
        <f>[1]RONET_Input!AE51</f>
        <v>4</v>
      </c>
      <c r="Y80" s="398">
        <f>[1]RONET_Input!AB51</f>
        <v>1</v>
      </c>
      <c r="Z80" s="438">
        <f>[1]RONET_Input!Z51</f>
        <v>1</v>
      </c>
      <c r="AA80" s="442"/>
      <c r="AB80" s="398"/>
      <c r="AC80" s="438"/>
      <c r="AD80" s="442">
        <f>[1]RONET_Input!AH51</f>
        <v>4</v>
      </c>
      <c r="AE80" s="398">
        <f>[1]RONET_Input!D51</f>
        <v>8.3149999999999995</v>
      </c>
      <c r="AF80" s="398"/>
      <c r="AG80" s="398"/>
      <c r="AH80" s="398"/>
      <c r="AI80" s="438"/>
      <c r="AJ80" s="442">
        <v>1</v>
      </c>
      <c r="AK80" s="442">
        <f>[1]RONET_Input!AF51</f>
        <v>4</v>
      </c>
      <c r="AL80" s="507"/>
      <c r="AM80" s="507"/>
      <c r="AN80" s="507"/>
      <c r="AO80" s="507"/>
      <c r="AP80" s="507"/>
      <c r="AQ80" s="507"/>
      <c r="AR80" s="507"/>
      <c r="AS80" s="507"/>
      <c r="AT80" s="507"/>
      <c r="AU80" s="507"/>
      <c r="AV80" s="507"/>
      <c r="AW80" s="507"/>
      <c r="AX80" s="508"/>
      <c r="AY80" s="509">
        <f>[1]RONET_Input!AG51</f>
        <v>3</v>
      </c>
      <c r="AZ80" s="359" t="s">
        <v>321</v>
      </c>
      <c r="BA80" s="360" t="s">
        <v>502</v>
      </c>
      <c r="BB80" s="360" t="s">
        <v>443</v>
      </c>
      <c r="BC80" s="510">
        <v>0.17882397156774152</v>
      </c>
      <c r="BD80" s="510">
        <v>5.0050000000000004E-2</v>
      </c>
      <c r="BE80" s="438">
        <v>5</v>
      </c>
      <c r="BF80" s="511">
        <v>1.56719296908155</v>
      </c>
      <c r="BG80" s="512">
        <v>0.4386325133865957</v>
      </c>
      <c r="BH80" s="512">
        <v>8.763886381350563</v>
      </c>
      <c r="BI80" s="513">
        <v>0</v>
      </c>
      <c r="BJ80" s="514">
        <v>375</v>
      </c>
      <c r="BK80" s="515">
        <v>0.22366666666666665</v>
      </c>
      <c r="BL80" s="512">
        <v>0.48904158058610619</v>
      </c>
      <c r="BM80" s="516">
        <v>3.2054071874999999E-2</v>
      </c>
      <c r="BN80" s="517">
        <v>375</v>
      </c>
      <c r="BO80" s="518">
        <v>397.50000000000011</v>
      </c>
      <c r="BP80" s="518">
        <v>421.34999999999991</v>
      </c>
      <c r="BQ80" s="518">
        <v>446.63099999999997</v>
      </c>
      <c r="BR80" s="518">
        <v>473.42885999999999</v>
      </c>
      <c r="BS80" s="518">
        <v>501.83459160000012</v>
      </c>
      <c r="BT80" s="518">
        <v>531.9446670960001</v>
      </c>
      <c r="BU80" s="518">
        <v>563.86134712175999</v>
      </c>
      <c r="BV80" s="518">
        <v>597.69302794906582</v>
      </c>
      <c r="BW80" s="518">
        <v>633.55460962600955</v>
      </c>
      <c r="BX80" s="518">
        <v>671.56788620357008</v>
      </c>
      <c r="BY80" s="518">
        <v>711.86195937578441</v>
      </c>
      <c r="BZ80" s="518">
        <v>754.57367693833146</v>
      </c>
      <c r="CA80" s="518">
        <v>799.84809755463141</v>
      </c>
      <c r="CB80" s="518">
        <v>847.83898340790915</v>
      </c>
      <c r="CC80" s="518">
        <v>898.70932241238381</v>
      </c>
      <c r="CD80" s="518">
        <v>952.63188175712685</v>
      </c>
      <c r="CE80" s="518">
        <v>1009.7897946625544</v>
      </c>
      <c r="CF80" s="518">
        <v>1070.3771823423076</v>
      </c>
      <c r="CG80" s="519">
        <v>1134.5998132828461</v>
      </c>
      <c r="CH80" s="520">
        <v>8.3149999999999995</v>
      </c>
      <c r="CI80" s="521">
        <v>8.4812999999999992</v>
      </c>
      <c r="CJ80" s="521">
        <v>8.6509259999999983</v>
      </c>
      <c r="CK80" s="521">
        <v>8.8239445199999977</v>
      </c>
      <c r="CL80" s="521">
        <v>2.5</v>
      </c>
      <c r="CM80" s="521">
        <v>2.5499999999999998</v>
      </c>
      <c r="CN80" s="521">
        <v>2.601</v>
      </c>
      <c r="CO80" s="521">
        <v>2.6530200000000002</v>
      </c>
      <c r="CP80" s="521">
        <v>2.7060804000000003</v>
      </c>
      <c r="CQ80" s="521">
        <v>2.7602020080000003</v>
      </c>
      <c r="CR80" s="521">
        <v>2.8154060481600003</v>
      </c>
      <c r="CS80" s="521">
        <v>2.8717141691232002</v>
      </c>
      <c r="CT80" s="521">
        <v>2.5</v>
      </c>
      <c r="CU80" s="521">
        <v>2.5499999999999998</v>
      </c>
      <c r="CV80" s="521">
        <v>2.601</v>
      </c>
      <c r="CW80" s="521">
        <v>2.6530200000000002</v>
      </c>
      <c r="CX80" s="521">
        <v>2.7060804000000003</v>
      </c>
      <c r="CY80" s="521">
        <v>2.7602020080000003</v>
      </c>
      <c r="CZ80" s="521">
        <v>2.8154060481600003</v>
      </c>
      <c r="DA80" s="522">
        <v>2.8717141691232002</v>
      </c>
      <c r="DB80" s="523">
        <v>0</v>
      </c>
      <c r="DC80" s="524">
        <v>0</v>
      </c>
      <c r="DD80" s="524">
        <v>0</v>
      </c>
      <c r="DE80" s="524">
        <v>0</v>
      </c>
      <c r="DF80" s="524">
        <v>-0.11543399238031582</v>
      </c>
      <c r="DG80" s="524">
        <v>5.2236511161302568E-2</v>
      </c>
      <c r="DH80" s="524">
        <v>5.7688325037685451E-2</v>
      </c>
      <c r="DI80" s="524">
        <v>6.3703828038201293E-2</v>
      </c>
      <c r="DJ80" s="524">
        <v>7.034096805435569E-2</v>
      </c>
      <c r="DK80" s="524">
        <v>2.4382921025414328</v>
      </c>
      <c r="DL80" s="524">
        <v>6.1483285300945045E-4</v>
      </c>
      <c r="DM80" s="524">
        <v>4.42873293450885E-4</v>
      </c>
      <c r="DN80" s="524">
        <v>-0.16047286183531029</v>
      </c>
      <c r="DO80" s="524">
        <v>2.2439103913761138E-3</v>
      </c>
      <c r="DP80" s="524">
        <v>2.2152324225412912E-3</v>
      </c>
      <c r="DQ80" s="524">
        <v>2.1684992907260447E-3</v>
      </c>
      <c r="DR80" s="524">
        <v>2.1009996205118009E-3</v>
      </c>
      <c r="DS80" s="524">
        <v>0.3289594860264633</v>
      </c>
      <c r="DT80" s="524">
        <v>3.5695657032024375E-3</v>
      </c>
      <c r="DU80" s="525">
        <v>3.6302797738915205E-3</v>
      </c>
      <c r="DV80" s="526">
        <v>3.5</v>
      </c>
      <c r="DW80" s="507">
        <v>1</v>
      </c>
      <c r="DX80" s="509">
        <v>8.3149999999999995</v>
      </c>
      <c r="DY80" s="507">
        <v>2</v>
      </c>
      <c r="DZ80" s="507">
        <v>15</v>
      </c>
      <c r="EA80" s="507">
        <v>0</v>
      </c>
      <c r="EB80" s="507">
        <v>0</v>
      </c>
      <c r="EC80" s="507">
        <v>111.62500000000001</v>
      </c>
      <c r="ED80" s="507">
        <v>102.18750000000001</v>
      </c>
      <c r="EE80" s="507">
        <v>0</v>
      </c>
      <c r="EF80" s="507">
        <v>25.062499999999996</v>
      </c>
      <c r="EG80" s="507">
        <v>29.3125</v>
      </c>
      <c r="EH80" s="507">
        <v>12.8125</v>
      </c>
      <c r="EI80" s="507">
        <v>16.6875</v>
      </c>
      <c r="EJ80" s="507">
        <v>56.4375</v>
      </c>
      <c r="EK80" s="507">
        <v>10.4375</v>
      </c>
      <c r="EL80" s="507">
        <v>10.4375</v>
      </c>
      <c r="EM80" s="508">
        <v>375</v>
      </c>
    </row>
    <row r="81" spans="2:143" x14ac:dyDescent="0.25">
      <c r="B81" s="506" t="str">
        <f>[1]RONET_Input!J52</f>
        <v xml:space="preserve">Input VPROMMS: 214TT00056 (72.34 pct); 214TT00055 (27.66 pct); </v>
      </c>
      <c r="C81" s="359">
        <f>[1]RONET_Input!B52</f>
        <v>50</v>
      </c>
      <c r="D81" s="397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442">
        <f>[1]RONET_Input!K52</f>
        <v>2.3753415681400001</v>
      </c>
      <c r="Q81" s="398">
        <f>[1]RONET_Input!Y52</f>
        <v>2</v>
      </c>
      <c r="R81" s="398">
        <f>[1]RONET_Input!X52</f>
        <v>3.5</v>
      </c>
      <c r="S81" s="398"/>
      <c r="T81" s="398"/>
      <c r="U81" s="398">
        <f>[1]RONET_Input!AA52</f>
        <v>8</v>
      </c>
      <c r="V81" s="398">
        <f>[1]RONET_Input!AC52</f>
        <v>1</v>
      </c>
      <c r="W81" s="398">
        <f>[1]RONET_Input!AD52</f>
        <v>1</v>
      </c>
      <c r="X81" s="398">
        <f>[1]RONET_Input!AE52</f>
        <v>4</v>
      </c>
      <c r="Y81" s="398">
        <f>[1]RONET_Input!AB52</f>
        <v>1</v>
      </c>
      <c r="Z81" s="438">
        <f>[1]RONET_Input!Z52</f>
        <v>1</v>
      </c>
      <c r="AA81" s="442"/>
      <c r="AB81" s="398"/>
      <c r="AC81" s="438"/>
      <c r="AD81" s="442">
        <f>[1]RONET_Input!AH52</f>
        <v>3</v>
      </c>
      <c r="AE81" s="398">
        <f>[1]RONET_Input!D52</f>
        <v>6.96</v>
      </c>
      <c r="AF81" s="398"/>
      <c r="AG81" s="398"/>
      <c r="AH81" s="398"/>
      <c r="AI81" s="438"/>
      <c r="AJ81" s="442">
        <v>1</v>
      </c>
      <c r="AK81" s="442">
        <f>[1]RONET_Input!AF52</f>
        <v>4</v>
      </c>
      <c r="AL81" s="507"/>
      <c r="AM81" s="507"/>
      <c r="AN81" s="507"/>
      <c r="AO81" s="507"/>
      <c r="AP81" s="507"/>
      <c r="AQ81" s="507"/>
      <c r="AR81" s="507"/>
      <c r="AS81" s="507"/>
      <c r="AT81" s="507"/>
      <c r="AU81" s="507"/>
      <c r="AV81" s="507"/>
      <c r="AW81" s="507"/>
      <c r="AX81" s="508"/>
      <c r="AY81" s="509">
        <f>[1]RONET_Input!AG52</f>
        <v>3</v>
      </c>
      <c r="AZ81" s="359" t="s">
        <v>321</v>
      </c>
      <c r="BA81" s="360" t="s">
        <v>502</v>
      </c>
      <c r="BB81" s="360" t="s">
        <v>443</v>
      </c>
      <c r="BC81" s="510">
        <v>0.11888584548540702</v>
      </c>
      <c r="BD81" s="510">
        <v>5.0050000000000011E-2</v>
      </c>
      <c r="BE81" s="438">
        <v>5</v>
      </c>
      <c r="BF81" s="511">
        <v>0.99714167837662038</v>
      </c>
      <c r="BG81" s="512">
        <v>0.41978875448949743</v>
      </c>
      <c r="BH81" s="512">
        <v>8.3873877020878602</v>
      </c>
      <c r="BI81" s="513">
        <v>0</v>
      </c>
      <c r="BJ81" s="514">
        <v>375</v>
      </c>
      <c r="BK81" s="515">
        <v>0.22366666666666665</v>
      </c>
      <c r="BL81" s="512">
        <v>0.3251248771391626</v>
      </c>
      <c r="BM81" s="516">
        <v>3.2054071874999999E-2</v>
      </c>
      <c r="BN81" s="517">
        <v>375</v>
      </c>
      <c r="BO81" s="518">
        <v>397.50000000000011</v>
      </c>
      <c r="BP81" s="518">
        <v>421.34999999999991</v>
      </c>
      <c r="BQ81" s="518">
        <v>446.63099999999997</v>
      </c>
      <c r="BR81" s="518">
        <v>473.42885999999999</v>
      </c>
      <c r="BS81" s="518">
        <v>501.83459160000012</v>
      </c>
      <c r="BT81" s="518">
        <v>531.9446670960001</v>
      </c>
      <c r="BU81" s="518">
        <v>563.86134712175999</v>
      </c>
      <c r="BV81" s="518">
        <v>597.69302794906582</v>
      </c>
      <c r="BW81" s="518">
        <v>633.55460962600955</v>
      </c>
      <c r="BX81" s="518">
        <v>671.56788620357008</v>
      </c>
      <c r="BY81" s="518">
        <v>711.86195937578441</v>
      </c>
      <c r="BZ81" s="518">
        <v>754.57367693833146</v>
      </c>
      <c r="CA81" s="518">
        <v>799.84809755463141</v>
      </c>
      <c r="CB81" s="518">
        <v>847.83898340790915</v>
      </c>
      <c r="CC81" s="518">
        <v>898.70932241238381</v>
      </c>
      <c r="CD81" s="518">
        <v>952.63188175712685</v>
      </c>
      <c r="CE81" s="518">
        <v>1009.7897946625544</v>
      </c>
      <c r="CF81" s="518">
        <v>1070.3771823423076</v>
      </c>
      <c r="CG81" s="519">
        <v>1134.5998132828461</v>
      </c>
      <c r="CH81" s="520">
        <v>6.96</v>
      </c>
      <c r="CI81" s="521">
        <v>7.0991999999999997</v>
      </c>
      <c r="CJ81" s="521">
        <v>7.2411839999999996</v>
      </c>
      <c r="CK81" s="521">
        <v>7.3860076799999996</v>
      </c>
      <c r="CL81" s="521">
        <v>2.5</v>
      </c>
      <c r="CM81" s="521">
        <v>2.5499999999999998</v>
      </c>
      <c r="CN81" s="521">
        <v>2.601</v>
      </c>
      <c r="CO81" s="521">
        <v>2.6530200000000002</v>
      </c>
      <c r="CP81" s="521">
        <v>2.7060804000000003</v>
      </c>
      <c r="CQ81" s="521">
        <v>2.7602020080000003</v>
      </c>
      <c r="CR81" s="521">
        <v>2.8154060481600003</v>
      </c>
      <c r="CS81" s="521">
        <v>2.8717141691232002</v>
      </c>
      <c r="CT81" s="521">
        <v>2.5</v>
      </c>
      <c r="CU81" s="521">
        <v>2.5499999999999998</v>
      </c>
      <c r="CV81" s="521">
        <v>2.601</v>
      </c>
      <c r="CW81" s="521">
        <v>2.6530200000000002</v>
      </c>
      <c r="CX81" s="521">
        <v>2.7060804000000003</v>
      </c>
      <c r="CY81" s="521">
        <v>2.7602020080000003</v>
      </c>
      <c r="CZ81" s="521">
        <v>2.8154060481600003</v>
      </c>
      <c r="DA81" s="522">
        <v>2.8717141691232002</v>
      </c>
      <c r="DB81" s="523">
        <v>0</v>
      </c>
      <c r="DC81" s="524">
        <v>0</v>
      </c>
      <c r="DD81" s="524">
        <v>0</v>
      </c>
      <c r="DE81" s="524">
        <v>0</v>
      </c>
      <c r="DF81" s="524">
        <v>-8.7165628055278055E-2</v>
      </c>
      <c r="DG81" s="524">
        <v>2.3232019193863612E-2</v>
      </c>
      <c r="DH81" s="524">
        <v>2.567327882435444E-2</v>
      </c>
      <c r="DI81" s="524">
        <v>2.8367937173830959E-2</v>
      </c>
      <c r="DJ81" s="524">
        <v>3.1342089106423526E-2</v>
      </c>
      <c r="DK81" s="524">
        <v>1.6210266196957726</v>
      </c>
      <c r="DL81" s="524">
        <v>4.0875349608565648E-4</v>
      </c>
      <c r="DM81" s="524">
        <v>2.9443125255090852E-4</v>
      </c>
      <c r="DN81" s="524">
        <v>-0.10668565119932333</v>
      </c>
      <c r="DO81" s="524">
        <v>1.4917976697054747E-3</v>
      </c>
      <c r="DP81" s="524">
        <v>1.472731967597174E-3</v>
      </c>
      <c r="DQ81" s="524">
        <v>1.4416628226759376E-3</v>
      </c>
      <c r="DR81" s="524">
        <v>1.3967876569302429E-3</v>
      </c>
      <c r="DS81" s="524">
        <v>0.21869901604263398</v>
      </c>
      <c r="DT81" s="524">
        <v>2.3731205213736728E-3</v>
      </c>
      <c r="DU81" s="525">
        <v>2.4134844813251677E-3</v>
      </c>
      <c r="DV81" s="526">
        <v>3.5</v>
      </c>
      <c r="DW81" s="507">
        <v>1</v>
      </c>
      <c r="DX81" s="509">
        <v>6.96</v>
      </c>
      <c r="DY81" s="507">
        <v>2</v>
      </c>
      <c r="DZ81" s="507">
        <v>10</v>
      </c>
      <c r="EA81" s="507">
        <v>0</v>
      </c>
      <c r="EB81" s="507">
        <v>0</v>
      </c>
      <c r="EC81" s="507">
        <v>111.62500000000001</v>
      </c>
      <c r="ED81" s="507">
        <v>102.18750000000001</v>
      </c>
      <c r="EE81" s="507">
        <v>0</v>
      </c>
      <c r="EF81" s="507">
        <v>25.062499999999996</v>
      </c>
      <c r="EG81" s="507">
        <v>29.3125</v>
      </c>
      <c r="EH81" s="507">
        <v>12.8125</v>
      </c>
      <c r="EI81" s="507">
        <v>16.6875</v>
      </c>
      <c r="EJ81" s="507">
        <v>56.4375</v>
      </c>
      <c r="EK81" s="507">
        <v>10.4375</v>
      </c>
      <c r="EL81" s="507">
        <v>10.4375</v>
      </c>
      <c r="EM81" s="508">
        <v>375</v>
      </c>
    </row>
    <row r="82" spans="2:143" x14ac:dyDescent="0.25">
      <c r="B82" s="506" t="str">
        <f>[1]RONET_Input!J53</f>
        <v>214TT00058</v>
      </c>
      <c r="C82" s="359">
        <f>[1]RONET_Input!B53</f>
        <v>51</v>
      </c>
      <c r="D82" s="397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442">
        <f>[1]RONET_Input!K53</f>
        <v>3.3115276648299998</v>
      </c>
      <c r="Q82" s="398">
        <f>[1]RONET_Input!Y53</f>
        <v>1</v>
      </c>
      <c r="R82" s="398">
        <f>[1]RONET_Input!X53</f>
        <v>3.4</v>
      </c>
      <c r="S82" s="398"/>
      <c r="T82" s="398"/>
      <c r="U82" s="398">
        <f>[1]RONET_Input!AA53</f>
        <v>8</v>
      </c>
      <c r="V82" s="398">
        <f>[1]RONET_Input!AC53</f>
        <v>1</v>
      </c>
      <c r="W82" s="398">
        <f>[1]RONET_Input!AD53</f>
        <v>1</v>
      </c>
      <c r="X82" s="398">
        <f>[1]RONET_Input!AE53</f>
        <v>4</v>
      </c>
      <c r="Y82" s="398">
        <f>[1]RONET_Input!AB53</f>
        <v>1</v>
      </c>
      <c r="Z82" s="438">
        <f>[1]RONET_Input!Z53</f>
        <v>1</v>
      </c>
      <c r="AA82" s="442"/>
      <c r="AB82" s="398"/>
      <c r="AC82" s="438"/>
      <c r="AD82" s="442">
        <f>[1]RONET_Input!AH53</f>
        <v>3</v>
      </c>
      <c r="AE82" s="398">
        <f>[1]RONET_Input!D53</f>
        <v>7.89</v>
      </c>
      <c r="AF82" s="398"/>
      <c r="AG82" s="398"/>
      <c r="AH82" s="398"/>
      <c r="AI82" s="438"/>
      <c r="AJ82" s="442">
        <v>1</v>
      </c>
      <c r="AK82" s="442">
        <f>[1]RONET_Input!AF53</f>
        <v>4</v>
      </c>
      <c r="AL82" s="507"/>
      <c r="AM82" s="507"/>
      <c r="AN82" s="507"/>
      <c r="AO82" s="507"/>
      <c r="AP82" s="507"/>
      <c r="AQ82" s="507"/>
      <c r="AR82" s="507"/>
      <c r="AS82" s="507"/>
      <c r="AT82" s="507"/>
      <c r="AU82" s="507"/>
      <c r="AV82" s="507"/>
      <c r="AW82" s="507"/>
      <c r="AX82" s="508"/>
      <c r="AY82" s="509">
        <f>[1]RONET_Input!AG53</f>
        <v>3</v>
      </c>
      <c r="AZ82" s="359" t="s">
        <v>321</v>
      </c>
      <c r="BA82" s="360" t="s">
        <v>502</v>
      </c>
      <c r="BB82" s="360" t="s">
        <v>443</v>
      </c>
      <c r="BC82" s="510">
        <v>0.16100647506403462</v>
      </c>
      <c r="BD82" s="510">
        <v>4.862000000000001E-2</v>
      </c>
      <c r="BE82" s="438">
        <v>5</v>
      </c>
      <c r="BF82" s="511">
        <v>1.4987998543039711</v>
      </c>
      <c r="BG82" s="512">
        <v>0.45260073476720097</v>
      </c>
      <c r="BH82" s="512">
        <v>9.3089414801974684</v>
      </c>
      <c r="BI82" s="513">
        <v>0</v>
      </c>
      <c r="BJ82" s="514">
        <v>375</v>
      </c>
      <c r="BK82" s="515">
        <v>0.22366666666666665</v>
      </c>
      <c r="BL82" s="512">
        <v>0.45326534912360622</v>
      </c>
      <c r="BM82" s="516">
        <v>6.4108143749999999E-2</v>
      </c>
      <c r="BN82" s="517">
        <v>375</v>
      </c>
      <c r="BO82" s="518">
        <v>397.50000000000011</v>
      </c>
      <c r="BP82" s="518">
        <v>421.34999999999991</v>
      </c>
      <c r="BQ82" s="518">
        <v>446.63099999999997</v>
      </c>
      <c r="BR82" s="518">
        <v>473.42885999999999</v>
      </c>
      <c r="BS82" s="518">
        <v>501.83459160000012</v>
      </c>
      <c r="BT82" s="518">
        <v>531.9446670960001</v>
      </c>
      <c r="BU82" s="518">
        <v>563.86134712175999</v>
      </c>
      <c r="BV82" s="518">
        <v>597.69302794906582</v>
      </c>
      <c r="BW82" s="518">
        <v>633.55460962600955</v>
      </c>
      <c r="BX82" s="518">
        <v>671.56788620357008</v>
      </c>
      <c r="BY82" s="518">
        <v>711.86195937578441</v>
      </c>
      <c r="BZ82" s="518">
        <v>754.57367693833146</v>
      </c>
      <c r="CA82" s="518">
        <v>799.84809755463141</v>
      </c>
      <c r="CB82" s="518">
        <v>847.83898340790915</v>
      </c>
      <c r="CC82" s="518">
        <v>898.70932241238381</v>
      </c>
      <c r="CD82" s="518">
        <v>952.63188175712685</v>
      </c>
      <c r="CE82" s="518">
        <v>1009.7897946625544</v>
      </c>
      <c r="CF82" s="518">
        <v>1070.3771823423076</v>
      </c>
      <c r="CG82" s="519">
        <v>1134.5998132828461</v>
      </c>
      <c r="CH82" s="520">
        <v>7.89</v>
      </c>
      <c r="CI82" s="521">
        <v>8.0478000000000005</v>
      </c>
      <c r="CJ82" s="521">
        <v>8.2087560000000011</v>
      </c>
      <c r="CK82" s="521">
        <v>8.3729311200000005</v>
      </c>
      <c r="CL82" s="521">
        <v>2.5</v>
      </c>
      <c r="CM82" s="521">
        <v>2.5499999999999998</v>
      </c>
      <c r="CN82" s="521">
        <v>2.601</v>
      </c>
      <c r="CO82" s="521">
        <v>2.6530200000000002</v>
      </c>
      <c r="CP82" s="521">
        <v>2.7060804000000003</v>
      </c>
      <c r="CQ82" s="521">
        <v>2.7602020080000003</v>
      </c>
      <c r="CR82" s="521">
        <v>2.8154060481600003</v>
      </c>
      <c r="CS82" s="521">
        <v>2.8717141691232002</v>
      </c>
      <c r="CT82" s="521">
        <v>2.5</v>
      </c>
      <c r="CU82" s="521">
        <v>2.5499999999999998</v>
      </c>
      <c r="CV82" s="521">
        <v>2.601</v>
      </c>
      <c r="CW82" s="521">
        <v>2.6530200000000002</v>
      </c>
      <c r="CX82" s="521">
        <v>2.7060804000000003</v>
      </c>
      <c r="CY82" s="521">
        <v>2.7602020080000003</v>
      </c>
      <c r="CZ82" s="521">
        <v>2.8154060481600003</v>
      </c>
      <c r="DA82" s="522">
        <v>2.8717141691232002</v>
      </c>
      <c r="DB82" s="523">
        <v>0</v>
      </c>
      <c r="DC82" s="524">
        <v>0</v>
      </c>
      <c r="DD82" s="524">
        <v>0</v>
      </c>
      <c r="DE82" s="524">
        <v>0</v>
      </c>
      <c r="DF82" s="524">
        <v>-0.10481706448175937</v>
      </c>
      <c r="DG82" s="524">
        <v>4.5946696147444899E-2</v>
      </c>
      <c r="DH82" s="524">
        <v>5.0624799639464257E-2</v>
      </c>
      <c r="DI82" s="524">
        <v>5.5776577578459607E-2</v>
      </c>
      <c r="DJ82" s="524">
        <v>6.1449850455010113E-2</v>
      </c>
      <c r="DK82" s="524">
        <v>2.2691248990599555</v>
      </c>
      <c r="DL82" s="524">
        <v>9.9197375622741002E-3</v>
      </c>
      <c r="DM82" s="524">
        <v>9.9069774379179076E-3</v>
      </c>
      <c r="DN82" s="524">
        <v>-0.13434587167772627</v>
      </c>
      <c r="DO82" s="524">
        <v>1.2347136554894E-2</v>
      </c>
      <c r="DP82" s="524">
        <v>1.2516939390827819E-2</v>
      </c>
      <c r="DQ82" s="524">
        <v>1.2677304118296318E-2</v>
      </c>
      <c r="DR82" s="524">
        <v>1.282581940361549E-2</v>
      </c>
      <c r="DS82" s="524">
        <v>0.31599126822057477</v>
      </c>
      <c r="DT82" s="524">
        <v>1.4631614066834109E-2</v>
      </c>
      <c r="DU82" s="525">
        <v>1.492157590964327E-2</v>
      </c>
      <c r="DV82" s="526">
        <v>3.4</v>
      </c>
      <c r="DW82" s="507">
        <v>1</v>
      </c>
      <c r="DX82" s="509">
        <v>7.89</v>
      </c>
      <c r="DY82" s="507">
        <v>2</v>
      </c>
      <c r="DZ82" s="507">
        <v>10</v>
      </c>
      <c r="EA82" s="507">
        <v>0</v>
      </c>
      <c r="EB82" s="507">
        <v>0</v>
      </c>
      <c r="EC82" s="507">
        <v>111.62500000000001</v>
      </c>
      <c r="ED82" s="507">
        <v>102.18750000000001</v>
      </c>
      <c r="EE82" s="507">
        <v>0</v>
      </c>
      <c r="EF82" s="507">
        <v>25.062499999999996</v>
      </c>
      <c r="EG82" s="507">
        <v>29.3125</v>
      </c>
      <c r="EH82" s="507">
        <v>12.8125</v>
      </c>
      <c r="EI82" s="507">
        <v>16.6875</v>
      </c>
      <c r="EJ82" s="507">
        <v>56.4375</v>
      </c>
      <c r="EK82" s="507">
        <v>10.4375</v>
      </c>
      <c r="EL82" s="507">
        <v>10.4375</v>
      </c>
      <c r="EM82" s="508">
        <v>375</v>
      </c>
    </row>
    <row r="83" spans="2:143" x14ac:dyDescent="0.25">
      <c r="B83" s="506" t="str">
        <f>[1]RONET_Input!J54</f>
        <v xml:space="preserve">Input VPROMMS: 212th00038 (50.0 pct); QL45_1 (50.0 pct); </v>
      </c>
      <c r="C83" s="359">
        <f>[1]RONET_Input!B54</f>
        <v>52</v>
      </c>
      <c r="D83" s="397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442">
        <f>[1]RONET_Input!K54</f>
        <v>1.15133894537</v>
      </c>
      <c r="Q83" s="398">
        <f>[1]RONET_Input!Y54</f>
        <v>2</v>
      </c>
      <c r="R83" s="398">
        <f>[1]RONET_Input!X54</f>
        <v>3.5</v>
      </c>
      <c r="S83" s="398"/>
      <c r="T83" s="398"/>
      <c r="U83" s="398">
        <f>[1]RONET_Input!AA54</f>
        <v>8</v>
      </c>
      <c r="V83" s="398">
        <f>[1]RONET_Input!AC54</f>
        <v>1</v>
      </c>
      <c r="W83" s="398">
        <f>[1]RONET_Input!AD54</f>
        <v>1</v>
      </c>
      <c r="X83" s="398">
        <f>[1]RONET_Input!AE54</f>
        <v>4</v>
      </c>
      <c r="Y83" s="398">
        <f>[1]RONET_Input!AB54</f>
        <v>1</v>
      </c>
      <c r="Z83" s="438">
        <f>[1]RONET_Input!Z54</f>
        <v>1</v>
      </c>
      <c r="AA83" s="442"/>
      <c r="AB83" s="398"/>
      <c r="AC83" s="438"/>
      <c r="AD83" s="442">
        <f>[1]RONET_Input!AH54</f>
        <v>4</v>
      </c>
      <c r="AE83" s="398">
        <f>[1]RONET_Input!D54</f>
        <v>8.74</v>
      </c>
      <c r="AF83" s="398"/>
      <c r="AG83" s="398"/>
      <c r="AH83" s="398"/>
      <c r="AI83" s="438"/>
      <c r="AJ83" s="442">
        <v>1</v>
      </c>
      <c r="AK83" s="442">
        <f>[1]RONET_Input!AF54</f>
        <v>4</v>
      </c>
      <c r="AL83" s="507"/>
      <c r="AM83" s="507"/>
      <c r="AN83" s="507"/>
      <c r="AO83" s="507"/>
      <c r="AP83" s="507"/>
      <c r="AQ83" s="507"/>
      <c r="AR83" s="507"/>
      <c r="AS83" s="507"/>
      <c r="AT83" s="507"/>
      <c r="AU83" s="507"/>
      <c r="AV83" s="507"/>
      <c r="AW83" s="507"/>
      <c r="AX83" s="508"/>
      <c r="AY83" s="509">
        <f>[1]RONET_Input!AG54</f>
        <v>3</v>
      </c>
      <c r="AZ83" s="359" t="s">
        <v>321</v>
      </c>
      <c r="BA83" s="360" t="s">
        <v>502</v>
      </c>
      <c r="BB83" s="360" t="s">
        <v>443</v>
      </c>
      <c r="BC83" s="510">
        <v>5.7624514215768509E-2</v>
      </c>
      <c r="BD83" s="510">
        <v>5.0050000000000004E-2</v>
      </c>
      <c r="BE83" s="438">
        <v>5</v>
      </c>
      <c r="BF83" s="511">
        <v>0.51261303717317241</v>
      </c>
      <c r="BG83" s="512">
        <v>0.44523208324933067</v>
      </c>
      <c r="BH83" s="512">
        <v>8.8957459190675436</v>
      </c>
      <c r="BI83" s="513">
        <v>0</v>
      </c>
      <c r="BJ83" s="514">
        <v>375</v>
      </c>
      <c r="BK83" s="515">
        <v>0.22366666666666665</v>
      </c>
      <c r="BL83" s="512">
        <v>0.15758951814751876</v>
      </c>
      <c r="BM83" s="516">
        <v>3.2054071874999999E-2</v>
      </c>
      <c r="BN83" s="517">
        <v>375</v>
      </c>
      <c r="BO83" s="518">
        <v>397.50000000000011</v>
      </c>
      <c r="BP83" s="518">
        <v>421.34999999999991</v>
      </c>
      <c r="BQ83" s="518">
        <v>446.63099999999997</v>
      </c>
      <c r="BR83" s="518">
        <v>473.42885999999999</v>
      </c>
      <c r="BS83" s="518">
        <v>501.83459160000012</v>
      </c>
      <c r="BT83" s="518">
        <v>531.9446670960001</v>
      </c>
      <c r="BU83" s="518">
        <v>563.86134712175999</v>
      </c>
      <c r="BV83" s="518">
        <v>597.69302794906582</v>
      </c>
      <c r="BW83" s="518">
        <v>633.55460962600955</v>
      </c>
      <c r="BX83" s="518">
        <v>671.56788620357008</v>
      </c>
      <c r="BY83" s="518">
        <v>711.86195937578441</v>
      </c>
      <c r="BZ83" s="518">
        <v>754.57367693833146</v>
      </c>
      <c r="CA83" s="518">
        <v>799.84809755463141</v>
      </c>
      <c r="CB83" s="518">
        <v>847.83898340790915</v>
      </c>
      <c r="CC83" s="518">
        <v>898.70932241238381</v>
      </c>
      <c r="CD83" s="518">
        <v>952.63188175712685</v>
      </c>
      <c r="CE83" s="518">
        <v>1009.7897946625544</v>
      </c>
      <c r="CF83" s="518">
        <v>1070.3771823423076</v>
      </c>
      <c r="CG83" s="519">
        <v>1134.5998132828461</v>
      </c>
      <c r="CH83" s="520">
        <v>8.74</v>
      </c>
      <c r="CI83" s="521">
        <v>8.9147999999999996</v>
      </c>
      <c r="CJ83" s="521">
        <v>9.0930959999999992</v>
      </c>
      <c r="CK83" s="521">
        <v>9.2749579199999985</v>
      </c>
      <c r="CL83" s="521">
        <v>2.5</v>
      </c>
      <c r="CM83" s="521">
        <v>2.5499999999999998</v>
      </c>
      <c r="CN83" s="521">
        <v>2.601</v>
      </c>
      <c r="CO83" s="521">
        <v>2.6530200000000002</v>
      </c>
      <c r="CP83" s="521">
        <v>2.7060804000000003</v>
      </c>
      <c r="CQ83" s="521">
        <v>2.7602020080000003</v>
      </c>
      <c r="CR83" s="521">
        <v>2.8154060481600003</v>
      </c>
      <c r="CS83" s="521">
        <v>2.8717141691232002</v>
      </c>
      <c r="CT83" s="521">
        <v>2.5</v>
      </c>
      <c r="CU83" s="521">
        <v>2.5499999999999998</v>
      </c>
      <c r="CV83" s="521">
        <v>2.601</v>
      </c>
      <c r="CW83" s="521">
        <v>2.6530200000000002</v>
      </c>
      <c r="CX83" s="521">
        <v>2.7060804000000003</v>
      </c>
      <c r="CY83" s="521">
        <v>2.7602020080000003</v>
      </c>
      <c r="CZ83" s="521">
        <v>2.8154060481600003</v>
      </c>
      <c r="DA83" s="522">
        <v>2.8717141691232002</v>
      </c>
      <c r="DB83" s="523">
        <v>0</v>
      </c>
      <c r="DC83" s="524">
        <v>0</v>
      </c>
      <c r="DD83" s="524">
        <v>0</v>
      </c>
      <c r="DE83" s="524">
        <v>0</v>
      </c>
      <c r="DF83" s="524">
        <v>-3.5427739816843939E-2</v>
      </c>
      <c r="DG83" s="524">
        <v>1.8784581430382072E-2</v>
      </c>
      <c r="DH83" s="524">
        <v>2.0741945626173833E-2</v>
      </c>
      <c r="DI83" s="524">
        <v>2.290150164062052E-2</v>
      </c>
      <c r="DJ83" s="524">
        <v>2.5284014427899515E-2</v>
      </c>
      <c r="DK83" s="524">
        <v>0.78571903248367958</v>
      </c>
      <c r="DL83" s="524">
        <v>1.9812469305963143E-4</v>
      </c>
      <c r="DM83" s="524">
        <v>1.4271217762645838E-4</v>
      </c>
      <c r="DN83" s="524">
        <v>-5.1711024126152555E-2</v>
      </c>
      <c r="DO83" s="524">
        <v>7.2308116810718137E-4</v>
      </c>
      <c r="DP83" s="524">
        <v>7.1383993490828357E-4</v>
      </c>
      <c r="DQ83" s="524">
        <v>6.9878057796066151E-4</v>
      </c>
      <c r="DR83" s="524">
        <v>6.7702937944000285E-4</v>
      </c>
      <c r="DS83" s="524">
        <v>0.10600441547492939</v>
      </c>
      <c r="DT83" s="524">
        <v>1.1502623938222656E-3</v>
      </c>
      <c r="DU83" s="525">
        <v>1.169826990217504E-3</v>
      </c>
      <c r="DV83" s="526">
        <v>3.5</v>
      </c>
      <c r="DW83" s="507">
        <v>1</v>
      </c>
      <c r="DX83" s="509">
        <v>8.74</v>
      </c>
      <c r="DY83" s="507">
        <v>2</v>
      </c>
      <c r="DZ83" s="507">
        <v>15</v>
      </c>
      <c r="EA83" s="507">
        <v>0</v>
      </c>
      <c r="EB83" s="507">
        <v>0</v>
      </c>
      <c r="EC83" s="507">
        <v>111.62500000000001</v>
      </c>
      <c r="ED83" s="507">
        <v>102.18750000000001</v>
      </c>
      <c r="EE83" s="507">
        <v>0</v>
      </c>
      <c r="EF83" s="507">
        <v>25.062499999999996</v>
      </c>
      <c r="EG83" s="507">
        <v>29.3125</v>
      </c>
      <c r="EH83" s="507">
        <v>12.8125</v>
      </c>
      <c r="EI83" s="507">
        <v>16.6875</v>
      </c>
      <c r="EJ83" s="507">
        <v>56.4375</v>
      </c>
      <c r="EK83" s="507">
        <v>10.4375</v>
      </c>
      <c r="EL83" s="507">
        <v>10.4375</v>
      </c>
      <c r="EM83" s="508">
        <v>375</v>
      </c>
    </row>
    <row r="84" spans="2:143" x14ac:dyDescent="0.25">
      <c r="B84" s="506" t="str">
        <f>[1]RONET_Input!J55</f>
        <v xml:space="preserve">Input VPROMMS: 214TT00074 (45.45 pct); 214TT00075 (44.32 pct); 213TT00009 (10.23 pct); </v>
      </c>
      <c r="C84" s="359">
        <f>[1]RONET_Input!B55</f>
        <v>53</v>
      </c>
      <c r="D84" s="397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442">
        <f>[1]RONET_Input!K55</f>
        <v>1.18236404286</v>
      </c>
      <c r="Q84" s="398">
        <f>[1]RONET_Input!Y55</f>
        <v>2</v>
      </c>
      <c r="R84" s="398">
        <f>[1]RONET_Input!X55</f>
        <v>3.5</v>
      </c>
      <c r="S84" s="398"/>
      <c r="T84" s="398"/>
      <c r="U84" s="398">
        <f>[1]RONET_Input!AA55</f>
        <v>8</v>
      </c>
      <c r="V84" s="398">
        <f>[1]RONET_Input!AC55</f>
        <v>1</v>
      </c>
      <c r="W84" s="398">
        <f>[1]RONET_Input!AD55</f>
        <v>1</v>
      </c>
      <c r="X84" s="398">
        <f>[1]RONET_Input!AE55</f>
        <v>4</v>
      </c>
      <c r="Y84" s="398">
        <f>[1]RONET_Input!AB55</f>
        <v>1</v>
      </c>
      <c r="Z84" s="438">
        <f>[1]RONET_Input!Z55</f>
        <v>1</v>
      </c>
      <c r="AA84" s="442"/>
      <c r="AB84" s="398"/>
      <c r="AC84" s="438"/>
      <c r="AD84" s="442">
        <f>[1]RONET_Input!AH55</f>
        <v>3</v>
      </c>
      <c r="AE84" s="398">
        <f>[1]RONET_Input!D55</f>
        <v>7.88</v>
      </c>
      <c r="AF84" s="398"/>
      <c r="AG84" s="398"/>
      <c r="AH84" s="398"/>
      <c r="AI84" s="438"/>
      <c r="AJ84" s="442">
        <v>1</v>
      </c>
      <c r="AK84" s="442">
        <f>[1]RONET_Input!AF55</f>
        <v>4</v>
      </c>
      <c r="AL84" s="507"/>
      <c r="AM84" s="507"/>
      <c r="AN84" s="507"/>
      <c r="AO84" s="507"/>
      <c r="AP84" s="507"/>
      <c r="AQ84" s="507"/>
      <c r="AR84" s="507"/>
      <c r="AS84" s="507"/>
      <c r="AT84" s="507"/>
      <c r="AU84" s="507"/>
      <c r="AV84" s="507"/>
      <c r="AW84" s="507"/>
      <c r="AX84" s="508"/>
      <c r="AY84" s="509">
        <f>[1]RONET_Input!AG55</f>
        <v>3</v>
      </c>
      <c r="AZ84" s="359" t="s">
        <v>321</v>
      </c>
      <c r="BA84" s="360" t="s">
        <v>502</v>
      </c>
      <c r="BB84" s="360" t="s">
        <v>443</v>
      </c>
      <c r="BC84" s="510">
        <v>5.9177320345143003E-2</v>
      </c>
      <c r="BD84" s="510">
        <v>5.0050000000000004E-2</v>
      </c>
      <c r="BE84" s="438">
        <v>5</v>
      </c>
      <c r="BF84" s="511">
        <v>0.51103850576630394</v>
      </c>
      <c r="BG84" s="512">
        <v>0.43221756349268009</v>
      </c>
      <c r="BH84" s="512">
        <v>8.6357155542993009</v>
      </c>
      <c r="BI84" s="513">
        <v>0</v>
      </c>
      <c r="BJ84" s="514">
        <v>375</v>
      </c>
      <c r="BK84" s="515">
        <v>0.22366666666666665</v>
      </c>
      <c r="BL84" s="512">
        <v>0.16183607836646249</v>
      </c>
      <c r="BM84" s="516">
        <v>3.2054071874999999E-2</v>
      </c>
      <c r="BN84" s="517">
        <v>375</v>
      </c>
      <c r="BO84" s="518">
        <v>397.50000000000011</v>
      </c>
      <c r="BP84" s="518">
        <v>421.34999999999991</v>
      </c>
      <c r="BQ84" s="518">
        <v>446.63099999999997</v>
      </c>
      <c r="BR84" s="518">
        <v>473.42885999999999</v>
      </c>
      <c r="BS84" s="518">
        <v>501.83459160000012</v>
      </c>
      <c r="BT84" s="518">
        <v>531.9446670960001</v>
      </c>
      <c r="BU84" s="518">
        <v>563.86134712175999</v>
      </c>
      <c r="BV84" s="518">
        <v>597.69302794906582</v>
      </c>
      <c r="BW84" s="518">
        <v>633.55460962600955</v>
      </c>
      <c r="BX84" s="518">
        <v>671.56788620357008</v>
      </c>
      <c r="BY84" s="518">
        <v>711.86195937578441</v>
      </c>
      <c r="BZ84" s="518">
        <v>754.57367693833146</v>
      </c>
      <c r="CA84" s="518">
        <v>799.84809755463141</v>
      </c>
      <c r="CB84" s="518">
        <v>847.83898340790915</v>
      </c>
      <c r="CC84" s="518">
        <v>898.70932241238381</v>
      </c>
      <c r="CD84" s="518">
        <v>952.63188175712685</v>
      </c>
      <c r="CE84" s="518">
        <v>1009.7897946625544</v>
      </c>
      <c r="CF84" s="518">
        <v>1070.3771823423076</v>
      </c>
      <c r="CG84" s="519">
        <v>1134.5998132828461</v>
      </c>
      <c r="CH84" s="520">
        <v>7.88</v>
      </c>
      <c r="CI84" s="521">
        <v>8.0375999999999994</v>
      </c>
      <c r="CJ84" s="521">
        <v>8.1983519999999999</v>
      </c>
      <c r="CK84" s="521">
        <v>8.3623190399999991</v>
      </c>
      <c r="CL84" s="521">
        <v>2.5</v>
      </c>
      <c r="CM84" s="521">
        <v>2.5499999999999998</v>
      </c>
      <c r="CN84" s="521">
        <v>2.601</v>
      </c>
      <c r="CO84" s="521">
        <v>2.6530200000000002</v>
      </c>
      <c r="CP84" s="521">
        <v>2.7060804000000003</v>
      </c>
      <c r="CQ84" s="521">
        <v>2.7602020080000003</v>
      </c>
      <c r="CR84" s="521">
        <v>2.8154060481600003</v>
      </c>
      <c r="CS84" s="521">
        <v>2.8717141691232002</v>
      </c>
      <c r="CT84" s="521">
        <v>2.5</v>
      </c>
      <c r="CU84" s="521">
        <v>2.5499999999999998</v>
      </c>
      <c r="CV84" s="521">
        <v>2.601</v>
      </c>
      <c r="CW84" s="521">
        <v>2.6530200000000002</v>
      </c>
      <c r="CX84" s="521">
        <v>2.7060804000000003</v>
      </c>
      <c r="CY84" s="521">
        <v>2.7602020080000003</v>
      </c>
      <c r="CZ84" s="521">
        <v>2.8154060481600003</v>
      </c>
      <c r="DA84" s="522">
        <v>2.8717141691232002</v>
      </c>
      <c r="DB84" s="523">
        <v>0</v>
      </c>
      <c r="DC84" s="524">
        <v>0</v>
      </c>
      <c r="DD84" s="524">
        <v>0</v>
      </c>
      <c r="DE84" s="524">
        <v>0</v>
      </c>
      <c r="DF84" s="524">
        <v>-3.9966487390762362E-2</v>
      </c>
      <c r="DG84" s="524">
        <v>1.5338174875506427E-2</v>
      </c>
      <c r="DH84" s="524">
        <v>1.6941986264655928E-2</v>
      </c>
      <c r="DI84" s="524">
        <v>1.8711795503522644E-2</v>
      </c>
      <c r="DJ84" s="524">
        <v>2.06646779911666E-2</v>
      </c>
      <c r="DK84" s="524">
        <v>0.80689178068314271</v>
      </c>
      <c r="DL84" s="524">
        <v>2.0346355347261591E-4</v>
      </c>
      <c r="DM84" s="524">
        <v>1.4655783857772664E-4</v>
      </c>
      <c r="DN84" s="524">
        <v>-5.3104479607940347E-2</v>
      </c>
      <c r="DO84" s="524">
        <v>7.4256601557445845E-4</v>
      </c>
      <c r="DP84" s="524">
        <v>7.3307575913006406E-4</v>
      </c>
      <c r="DQ84" s="524">
        <v>7.1761059812328054E-4</v>
      </c>
      <c r="DR84" s="524">
        <v>6.9527327068089062E-4</v>
      </c>
      <c r="DS84" s="524">
        <v>0.10886091341387757</v>
      </c>
      <c r="DT84" s="524">
        <v>1.1812584815086014E-3</v>
      </c>
      <c r="DU84" s="525">
        <v>1.20135028452098E-3</v>
      </c>
      <c r="DV84" s="526">
        <v>3.5</v>
      </c>
      <c r="DW84" s="507">
        <v>1</v>
      </c>
      <c r="DX84" s="509">
        <v>7.88</v>
      </c>
      <c r="DY84" s="507">
        <v>2</v>
      </c>
      <c r="DZ84" s="507">
        <v>10</v>
      </c>
      <c r="EA84" s="507">
        <v>0</v>
      </c>
      <c r="EB84" s="507">
        <v>0</v>
      </c>
      <c r="EC84" s="507">
        <v>111.62500000000001</v>
      </c>
      <c r="ED84" s="507">
        <v>102.18750000000001</v>
      </c>
      <c r="EE84" s="507">
        <v>0</v>
      </c>
      <c r="EF84" s="507">
        <v>25.062499999999996</v>
      </c>
      <c r="EG84" s="507">
        <v>29.3125</v>
      </c>
      <c r="EH84" s="507">
        <v>12.8125</v>
      </c>
      <c r="EI84" s="507">
        <v>16.6875</v>
      </c>
      <c r="EJ84" s="507">
        <v>56.4375</v>
      </c>
      <c r="EK84" s="507">
        <v>10.4375</v>
      </c>
      <c r="EL84" s="507">
        <v>10.4375</v>
      </c>
      <c r="EM84" s="508">
        <v>375</v>
      </c>
    </row>
    <row r="85" spans="2:143" x14ac:dyDescent="0.25">
      <c r="B85" s="506" t="str">
        <f>[1]RONET_Input!J56</f>
        <v xml:space="preserve">Input VPROMMS: 214TT00074 (41.74 pct); 214tt00025 (37.39 pct); 214TT00075 (14.78 pct); 214tt00078 (6.09 pct); </v>
      </c>
      <c r="C85" s="359">
        <f>[1]RONET_Input!B56</f>
        <v>54</v>
      </c>
      <c r="D85" s="397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442">
        <f>[1]RONET_Input!K56</f>
        <v>4.7550839175699986</v>
      </c>
      <c r="Q85" s="398">
        <f>[1]RONET_Input!Y56</f>
        <v>2</v>
      </c>
      <c r="R85" s="398">
        <f>[1]RONET_Input!X56</f>
        <v>3.5</v>
      </c>
      <c r="S85" s="398"/>
      <c r="T85" s="398"/>
      <c r="U85" s="398">
        <f>[1]RONET_Input!AA56</f>
        <v>8</v>
      </c>
      <c r="V85" s="398">
        <f>[1]RONET_Input!AC56</f>
        <v>1</v>
      </c>
      <c r="W85" s="398">
        <f>[1]RONET_Input!AD56</f>
        <v>1</v>
      </c>
      <c r="X85" s="398">
        <f>[1]RONET_Input!AE56</f>
        <v>4</v>
      </c>
      <c r="Y85" s="398">
        <f>[1]RONET_Input!AB56</f>
        <v>1</v>
      </c>
      <c r="Z85" s="438">
        <f>[1]RONET_Input!Z56</f>
        <v>1</v>
      </c>
      <c r="AA85" s="442"/>
      <c r="AB85" s="398"/>
      <c r="AC85" s="438"/>
      <c r="AD85" s="442">
        <f>[1]RONET_Input!AH56</f>
        <v>4</v>
      </c>
      <c r="AE85" s="398">
        <f>[1]RONET_Input!D56</f>
        <v>9.9</v>
      </c>
      <c r="AF85" s="398"/>
      <c r="AG85" s="398"/>
      <c r="AH85" s="398"/>
      <c r="AI85" s="438"/>
      <c r="AJ85" s="442">
        <v>1</v>
      </c>
      <c r="AK85" s="442">
        <f>[1]RONET_Input!AF56</f>
        <v>4</v>
      </c>
      <c r="AL85" s="507"/>
      <c r="AM85" s="507"/>
      <c r="AN85" s="507"/>
      <c r="AO85" s="507"/>
      <c r="AP85" s="507"/>
      <c r="AQ85" s="507"/>
      <c r="AR85" s="507"/>
      <c r="AS85" s="507"/>
      <c r="AT85" s="507"/>
      <c r="AU85" s="507"/>
      <c r="AV85" s="507"/>
      <c r="AW85" s="507"/>
      <c r="AX85" s="508"/>
      <c r="AY85" s="509">
        <f>[1]RONET_Input!AG56</f>
        <v>3</v>
      </c>
      <c r="AZ85" s="359" t="s">
        <v>321</v>
      </c>
      <c r="BA85" s="360" t="s">
        <v>502</v>
      </c>
      <c r="BB85" s="360" t="s">
        <v>443</v>
      </c>
      <c r="BC85" s="510">
        <v>0.23799195007437843</v>
      </c>
      <c r="BD85" s="510">
        <v>5.0049999999999997E-2</v>
      </c>
      <c r="BE85" s="438">
        <v>5</v>
      </c>
      <c r="BF85" s="511">
        <v>2.2106567009086442</v>
      </c>
      <c r="BG85" s="512">
        <v>0.4649038248810467</v>
      </c>
      <c r="BH85" s="512">
        <v>9.2887877099110234</v>
      </c>
      <c r="BI85" s="513">
        <v>0</v>
      </c>
      <c r="BJ85" s="514">
        <v>375</v>
      </c>
      <c r="BK85" s="515">
        <v>0.22366666666666665</v>
      </c>
      <c r="BL85" s="512">
        <v>0.6508521112173935</v>
      </c>
      <c r="BM85" s="516">
        <v>3.2054071874999999E-2</v>
      </c>
      <c r="BN85" s="517">
        <v>375</v>
      </c>
      <c r="BO85" s="518">
        <v>397.50000000000011</v>
      </c>
      <c r="BP85" s="518">
        <v>421.34999999999991</v>
      </c>
      <c r="BQ85" s="518">
        <v>446.63099999999997</v>
      </c>
      <c r="BR85" s="518">
        <v>473.42885999999999</v>
      </c>
      <c r="BS85" s="518">
        <v>501.83459160000012</v>
      </c>
      <c r="BT85" s="518">
        <v>531.9446670960001</v>
      </c>
      <c r="BU85" s="518">
        <v>563.86134712175999</v>
      </c>
      <c r="BV85" s="518">
        <v>597.69302794906582</v>
      </c>
      <c r="BW85" s="518">
        <v>633.55460962600955</v>
      </c>
      <c r="BX85" s="518">
        <v>671.56788620357008</v>
      </c>
      <c r="BY85" s="518">
        <v>711.86195937578441</v>
      </c>
      <c r="BZ85" s="518">
        <v>754.57367693833146</v>
      </c>
      <c r="CA85" s="518">
        <v>799.84809755463141</v>
      </c>
      <c r="CB85" s="518">
        <v>847.83898340790915</v>
      </c>
      <c r="CC85" s="518">
        <v>898.70932241238381</v>
      </c>
      <c r="CD85" s="518">
        <v>952.63188175712685</v>
      </c>
      <c r="CE85" s="518">
        <v>1009.7897946625544</v>
      </c>
      <c r="CF85" s="518">
        <v>1070.3771823423076</v>
      </c>
      <c r="CG85" s="519">
        <v>1134.5998132828461</v>
      </c>
      <c r="CH85" s="520">
        <v>9.9</v>
      </c>
      <c r="CI85" s="521">
        <v>10.098000000000001</v>
      </c>
      <c r="CJ85" s="521">
        <v>10.29996</v>
      </c>
      <c r="CK85" s="521">
        <v>10.505959200000001</v>
      </c>
      <c r="CL85" s="521">
        <v>2.5</v>
      </c>
      <c r="CM85" s="521">
        <v>2.5499999999999998</v>
      </c>
      <c r="CN85" s="521">
        <v>2.601</v>
      </c>
      <c r="CO85" s="521">
        <v>2.6530200000000002</v>
      </c>
      <c r="CP85" s="521">
        <v>2.7060804000000003</v>
      </c>
      <c r="CQ85" s="521">
        <v>2.7602020080000003</v>
      </c>
      <c r="CR85" s="521">
        <v>2.8154060481600003</v>
      </c>
      <c r="CS85" s="521">
        <v>2.8717141691232002</v>
      </c>
      <c r="CT85" s="521">
        <v>2.5</v>
      </c>
      <c r="CU85" s="521">
        <v>2.5499999999999998</v>
      </c>
      <c r="CV85" s="521">
        <v>2.601</v>
      </c>
      <c r="CW85" s="521">
        <v>2.6530200000000002</v>
      </c>
      <c r="CX85" s="521">
        <v>2.7060804000000003</v>
      </c>
      <c r="CY85" s="521">
        <v>2.7602020080000003</v>
      </c>
      <c r="CZ85" s="521">
        <v>2.8154060481600003</v>
      </c>
      <c r="DA85" s="522">
        <v>2.8717141691232002</v>
      </c>
      <c r="DB85" s="523">
        <v>0</v>
      </c>
      <c r="DC85" s="524">
        <v>0</v>
      </c>
      <c r="DD85" s="524">
        <v>0</v>
      </c>
      <c r="DE85" s="524">
        <v>0</v>
      </c>
      <c r="DF85" s="524">
        <v>-0.12452193055086963</v>
      </c>
      <c r="DG85" s="524">
        <v>0.10161441281887196</v>
      </c>
      <c r="DH85" s="524">
        <v>0.11216363619913905</v>
      </c>
      <c r="DI85" s="524">
        <v>0.12379906737235558</v>
      </c>
      <c r="DJ85" s="524">
        <v>0.13663139140633879</v>
      </c>
      <c r="DK85" s="524">
        <v>3.245056505832983</v>
      </c>
      <c r="DL85" s="524">
        <v>8.1826428735864987E-4</v>
      </c>
      <c r="DM85" s="524">
        <v>5.8940799614393136E-4</v>
      </c>
      <c r="DN85" s="524">
        <v>-0.21356895827433475</v>
      </c>
      <c r="DO85" s="524">
        <v>2.9863591841402526E-3</v>
      </c>
      <c r="DP85" s="524">
        <v>2.948192457009946E-3</v>
      </c>
      <c r="DQ85" s="524">
        <v>2.8859966055462261E-3</v>
      </c>
      <c r="DR85" s="524">
        <v>2.7961631341002491E-3</v>
      </c>
      <c r="DS85" s="524">
        <v>0.43780321446023673</v>
      </c>
      <c r="DT85" s="524">
        <v>4.7506377091169893E-3</v>
      </c>
      <c r="DU85" s="525">
        <v>4.8314404110902931E-3</v>
      </c>
      <c r="DV85" s="526">
        <v>3.5</v>
      </c>
      <c r="DW85" s="507">
        <v>1</v>
      </c>
      <c r="DX85" s="509">
        <v>9.9</v>
      </c>
      <c r="DY85" s="507">
        <v>2</v>
      </c>
      <c r="DZ85" s="507">
        <v>15</v>
      </c>
      <c r="EA85" s="507">
        <v>0</v>
      </c>
      <c r="EB85" s="507">
        <v>0</v>
      </c>
      <c r="EC85" s="507">
        <v>111.62500000000001</v>
      </c>
      <c r="ED85" s="507">
        <v>102.18750000000001</v>
      </c>
      <c r="EE85" s="507">
        <v>0</v>
      </c>
      <c r="EF85" s="507">
        <v>25.062499999999996</v>
      </c>
      <c r="EG85" s="507">
        <v>29.3125</v>
      </c>
      <c r="EH85" s="507">
        <v>12.8125</v>
      </c>
      <c r="EI85" s="507">
        <v>16.6875</v>
      </c>
      <c r="EJ85" s="507">
        <v>56.4375</v>
      </c>
      <c r="EK85" s="507">
        <v>10.4375</v>
      </c>
      <c r="EL85" s="507">
        <v>10.4375</v>
      </c>
      <c r="EM85" s="508">
        <v>375</v>
      </c>
    </row>
    <row r="86" spans="2:143" x14ac:dyDescent="0.25">
      <c r="B86" s="506" t="str">
        <f>[1]RONET_Input!J57</f>
        <v xml:space="preserve">Input VPROMMS: 214TT00071 (70.83 pct); 214TT00073 (29.17 pct); </v>
      </c>
      <c r="C86" s="359">
        <f>[1]RONET_Input!B57</f>
        <v>55</v>
      </c>
      <c r="D86" s="397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442">
        <f>[1]RONET_Input!K57</f>
        <v>0.61414606660799997</v>
      </c>
      <c r="Q86" s="398">
        <f>[1]RONET_Input!Y57</f>
        <v>2</v>
      </c>
      <c r="R86" s="398">
        <f>[1]RONET_Input!X57</f>
        <v>3.5</v>
      </c>
      <c r="S86" s="398"/>
      <c r="T86" s="398"/>
      <c r="U86" s="398">
        <f>[1]RONET_Input!AA57</f>
        <v>8</v>
      </c>
      <c r="V86" s="398">
        <f>[1]RONET_Input!AC57</f>
        <v>1</v>
      </c>
      <c r="W86" s="398">
        <f>[1]RONET_Input!AD57</f>
        <v>1</v>
      </c>
      <c r="X86" s="398">
        <f>[1]RONET_Input!AE57</f>
        <v>4</v>
      </c>
      <c r="Y86" s="398">
        <f>[1]RONET_Input!AB57</f>
        <v>1</v>
      </c>
      <c r="Z86" s="438">
        <f>[1]RONET_Input!Z57</f>
        <v>1</v>
      </c>
      <c r="AA86" s="442"/>
      <c r="AB86" s="398"/>
      <c r="AC86" s="438"/>
      <c r="AD86" s="442">
        <f>[1]RONET_Input!AH57</f>
        <v>4</v>
      </c>
      <c r="AE86" s="398">
        <f>[1]RONET_Input!D57</f>
        <v>11.79</v>
      </c>
      <c r="AF86" s="398"/>
      <c r="AG86" s="398"/>
      <c r="AH86" s="398"/>
      <c r="AI86" s="438"/>
      <c r="AJ86" s="442">
        <v>1</v>
      </c>
      <c r="AK86" s="442">
        <f>[1]RONET_Input!AF57</f>
        <v>4</v>
      </c>
      <c r="AL86" s="507"/>
      <c r="AM86" s="507"/>
      <c r="AN86" s="507"/>
      <c r="AO86" s="507"/>
      <c r="AP86" s="507"/>
      <c r="AQ86" s="507"/>
      <c r="AR86" s="507"/>
      <c r="AS86" s="507"/>
      <c r="AT86" s="507"/>
      <c r="AU86" s="507"/>
      <c r="AV86" s="507"/>
      <c r="AW86" s="507"/>
      <c r="AX86" s="508"/>
      <c r="AY86" s="509">
        <f>[1]RONET_Input!AG57</f>
        <v>3</v>
      </c>
      <c r="AZ86" s="359" t="s">
        <v>321</v>
      </c>
      <c r="BA86" s="360" t="s">
        <v>502</v>
      </c>
      <c r="BB86" s="360" t="s">
        <v>443</v>
      </c>
      <c r="BC86" s="510">
        <v>3.0738010633730401E-2</v>
      </c>
      <c r="BD86" s="510">
        <v>5.0050000000000004E-2</v>
      </c>
      <c r="BE86" s="438">
        <v>1</v>
      </c>
      <c r="BF86" s="511">
        <v>0.33688848547406819</v>
      </c>
      <c r="BG86" s="512">
        <v>0.54854781914462536</v>
      </c>
      <c r="BH86" s="512">
        <v>10.959996386505999</v>
      </c>
      <c r="BI86" s="513">
        <v>0</v>
      </c>
      <c r="BJ86" s="514">
        <v>375</v>
      </c>
      <c r="BK86" s="515">
        <v>0.22366666666666665</v>
      </c>
      <c r="BL86" s="512">
        <v>8.4061242866970018E-2</v>
      </c>
      <c r="BM86" s="516">
        <v>3.2054071874999999E-2</v>
      </c>
      <c r="BN86" s="517">
        <v>375</v>
      </c>
      <c r="BO86" s="518">
        <v>397.50000000000011</v>
      </c>
      <c r="BP86" s="518">
        <v>421.34999999999991</v>
      </c>
      <c r="BQ86" s="518">
        <v>446.63099999999997</v>
      </c>
      <c r="BR86" s="518">
        <v>473.42885999999999</v>
      </c>
      <c r="BS86" s="518">
        <v>501.83459160000012</v>
      </c>
      <c r="BT86" s="518">
        <v>531.9446670960001</v>
      </c>
      <c r="BU86" s="518">
        <v>563.86134712175999</v>
      </c>
      <c r="BV86" s="518">
        <v>597.69302794906582</v>
      </c>
      <c r="BW86" s="518">
        <v>633.55460962600955</v>
      </c>
      <c r="BX86" s="518">
        <v>671.56788620357008</v>
      </c>
      <c r="BY86" s="518">
        <v>711.86195937578441</v>
      </c>
      <c r="BZ86" s="518">
        <v>754.57367693833146</v>
      </c>
      <c r="CA86" s="518">
        <v>799.84809755463141</v>
      </c>
      <c r="CB86" s="518">
        <v>847.83898340790915</v>
      </c>
      <c r="CC86" s="518">
        <v>898.70932241238381</v>
      </c>
      <c r="CD86" s="518">
        <v>952.63188175712685</v>
      </c>
      <c r="CE86" s="518">
        <v>1009.7897946625544</v>
      </c>
      <c r="CF86" s="518">
        <v>1070.3771823423076</v>
      </c>
      <c r="CG86" s="519">
        <v>1134.5998132828461</v>
      </c>
      <c r="CH86" s="520">
        <v>2.5</v>
      </c>
      <c r="CI86" s="521">
        <v>2.5499999999999998</v>
      </c>
      <c r="CJ86" s="521">
        <v>2.601</v>
      </c>
      <c r="CK86" s="521">
        <v>2.6530200000000002</v>
      </c>
      <c r="CL86" s="521">
        <v>2.7060804000000003</v>
      </c>
      <c r="CM86" s="521">
        <v>2.7602020080000003</v>
      </c>
      <c r="CN86" s="521">
        <v>2.8154060481600003</v>
      </c>
      <c r="CO86" s="521">
        <v>2.8717141691232002</v>
      </c>
      <c r="CP86" s="521">
        <v>2.5</v>
      </c>
      <c r="CQ86" s="521">
        <v>2.5499999999999998</v>
      </c>
      <c r="CR86" s="521">
        <v>2.601</v>
      </c>
      <c r="CS86" s="521">
        <v>2.6530200000000002</v>
      </c>
      <c r="CT86" s="521">
        <v>2.7060804000000003</v>
      </c>
      <c r="CU86" s="521">
        <v>2.7602020080000003</v>
      </c>
      <c r="CV86" s="521">
        <v>2.8154060481600003</v>
      </c>
      <c r="CW86" s="521">
        <v>2.8717141691232002</v>
      </c>
      <c r="CX86" s="521">
        <v>2.5</v>
      </c>
      <c r="CY86" s="521">
        <v>2.5499999999999998</v>
      </c>
      <c r="CZ86" s="521">
        <v>2.601</v>
      </c>
      <c r="DA86" s="522">
        <v>2.6530200000000002</v>
      </c>
      <c r="DB86" s="523">
        <v>-1.6430712935451584E-2</v>
      </c>
      <c r="DC86" s="524">
        <v>1.2736198506367653E-2</v>
      </c>
      <c r="DD86" s="524">
        <v>1.4054083734640753E-2</v>
      </c>
      <c r="DE86" s="524">
        <v>1.55068436872971E-2</v>
      </c>
      <c r="DF86" s="524">
        <v>1.7107940226309307E-2</v>
      </c>
      <c r="DG86" s="524">
        <v>1.8872062524228704E-2</v>
      </c>
      <c r="DH86" s="524">
        <v>2.0815197682124281E-2</v>
      </c>
      <c r="DI86" s="524">
        <v>2.2954690344065998E-2</v>
      </c>
      <c r="DJ86" s="524">
        <v>-2.3875936330434305E-3</v>
      </c>
      <c r="DK86" s="524">
        <v>0.41925562972717728</v>
      </c>
      <c r="DL86" s="524">
        <v>2.5940401728991036E-4</v>
      </c>
      <c r="DM86" s="524">
        <v>2.4708871095512064E-4</v>
      </c>
      <c r="DN86" s="524">
        <v>2.3120947932087077E-4</v>
      </c>
      <c r="DO86" s="524">
        <v>2.1126790291614572E-4</v>
      </c>
      <c r="DP86" s="524">
        <v>1.8670714021695733E-4</v>
      </c>
      <c r="DQ86" s="524">
        <v>1.5690557796448068E-4</v>
      </c>
      <c r="DR86" s="524">
        <v>-2.7412571833220767E-2</v>
      </c>
      <c r="DS86" s="524">
        <v>5.6764992196314243E-2</v>
      </c>
      <c r="DT86" s="524">
        <v>8.5857900350189142E-4</v>
      </c>
      <c r="DU86" s="525">
        <v>8.9649750599657407E-4</v>
      </c>
      <c r="DV86" s="526">
        <v>3.5</v>
      </c>
      <c r="DW86" s="507">
        <v>1</v>
      </c>
      <c r="DX86" s="509">
        <v>11.79</v>
      </c>
      <c r="DY86" s="507">
        <v>2</v>
      </c>
      <c r="DZ86" s="507">
        <v>15</v>
      </c>
      <c r="EA86" s="507">
        <v>0</v>
      </c>
      <c r="EB86" s="507">
        <v>0</v>
      </c>
      <c r="EC86" s="507">
        <v>111.62500000000001</v>
      </c>
      <c r="ED86" s="507">
        <v>102.18750000000001</v>
      </c>
      <c r="EE86" s="507">
        <v>0</v>
      </c>
      <c r="EF86" s="507">
        <v>25.062499999999996</v>
      </c>
      <c r="EG86" s="507">
        <v>29.3125</v>
      </c>
      <c r="EH86" s="507">
        <v>12.8125</v>
      </c>
      <c r="EI86" s="507">
        <v>16.6875</v>
      </c>
      <c r="EJ86" s="507">
        <v>56.4375</v>
      </c>
      <c r="EK86" s="507">
        <v>10.4375</v>
      </c>
      <c r="EL86" s="507">
        <v>10.4375</v>
      </c>
      <c r="EM86" s="508">
        <v>375</v>
      </c>
    </row>
    <row r="87" spans="2:143" x14ac:dyDescent="0.25">
      <c r="B87" s="506" t="str">
        <f>[1]RONET_Input!J58</f>
        <v>213TT00002</v>
      </c>
      <c r="C87" s="359">
        <f>[1]RONET_Input!B58</f>
        <v>56</v>
      </c>
      <c r="D87" s="397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442">
        <f>[1]RONET_Input!K58</f>
        <v>7.0347565035600006</v>
      </c>
      <c r="Q87" s="398">
        <f>[1]RONET_Input!Y58</f>
        <v>2</v>
      </c>
      <c r="R87" s="398">
        <f>[1]RONET_Input!X58</f>
        <v>3.8</v>
      </c>
      <c r="S87" s="398"/>
      <c r="T87" s="398"/>
      <c r="U87" s="398">
        <f>[1]RONET_Input!AA58</f>
        <v>6</v>
      </c>
      <c r="V87" s="398">
        <f>[1]RONET_Input!AC58</f>
        <v>1</v>
      </c>
      <c r="W87" s="398">
        <f>[1]RONET_Input!AD58</f>
        <v>1</v>
      </c>
      <c r="X87" s="398">
        <f>[1]RONET_Input!AE58</f>
        <v>4</v>
      </c>
      <c r="Y87" s="398">
        <f>[1]RONET_Input!AB58</f>
        <v>1</v>
      </c>
      <c r="Z87" s="438">
        <f>[1]RONET_Input!Z58</f>
        <v>3</v>
      </c>
      <c r="AA87" s="442"/>
      <c r="AB87" s="398"/>
      <c r="AC87" s="438"/>
      <c r="AD87" s="442">
        <f>[1]RONET_Input!AH58</f>
        <v>4</v>
      </c>
      <c r="AE87" s="398">
        <f>[1]RONET_Input!D58</f>
        <v>8.91</v>
      </c>
      <c r="AF87" s="398"/>
      <c r="AG87" s="398"/>
      <c r="AH87" s="398"/>
      <c r="AI87" s="438"/>
      <c r="AJ87" s="442">
        <v>1</v>
      </c>
      <c r="AK87" s="442">
        <f>[1]RONET_Input!AF58</f>
        <v>6</v>
      </c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8"/>
      <c r="AY87" s="509">
        <f>[1]RONET_Input!AG58</f>
        <v>3</v>
      </c>
      <c r="AZ87" s="359" t="s">
        <v>321</v>
      </c>
      <c r="BA87" s="360" t="s">
        <v>506</v>
      </c>
      <c r="BB87" s="360" t="s">
        <v>447</v>
      </c>
      <c r="BC87" s="510">
        <v>0.38226866840345042</v>
      </c>
      <c r="BD87" s="510">
        <v>5.4339999999999999E-2</v>
      </c>
      <c r="BE87" s="438">
        <v>1</v>
      </c>
      <c r="BF87" s="511">
        <v>4.9441592021137764</v>
      </c>
      <c r="BG87" s="512">
        <v>0.70281881108631705</v>
      </c>
      <c r="BH87" s="512">
        <v>12.933728580903885</v>
      </c>
      <c r="BI87" s="513">
        <v>0</v>
      </c>
      <c r="BJ87" s="514">
        <v>2000.0000000000002</v>
      </c>
      <c r="BK87" s="515">
        <v>0.22366666666666662</v>
      </c>
      <c r="BL87" s="512">
        <v>5.1353722475988004</v>
      </c>
      <c r="BM87" s="516">
        <v>0.17095505000000003</v>
      </c>
      <c r="BN87" s="517">
        <v>2000.0000000000002</v>
      </c>
      <c r="BO87" s="518">
        <v>2120.0000000000005</v>
      </c>
      <c r="BP87" s="518">
        <v>2247.1999999999998</v>
      </c>
      <c r="BQ87" s="518">
        <v>2382.0320000000002</v>
      </c>
      <c r="BR87" s="518">
        <v>2524.9539199999995</v>
      </c>
      <c r="BS87" s="518">
        <v>2676.4511551999999</v>
      </c>
      <c r="BT87" s="518">
        <v>2837.0382245120009</v>
      </c>
      <c r="BU87" s="518">
        <v>3007.2605179827201</v>
      </c>
      <c r="BV87" s="518">
        <v>3187.6961490616836</v>
      </c>
      <c r="BW87" s="518">
        <v>3378.9579180053843</v>
      </c>
      <c r="BX87" s="518">
        <v>3581.6953930857071</v>
      </c>
      <c r="BY87" s="518">
        <v>3796.59711667085</v>
      </c>
      <c r="BZ87" s="518">
        <v>4024.3929436711001</v>
      </c>
      <c r="CA87" s="518">
        <v>4265.8565202913678</v>
      </c>
      <c r="CB87" s="518">
        <v>4521.8079115088494</v>
      </c>
      <c r="CC87" s="518">
        <v>4793.11638619938</v>
      </c>
      <c r="CD87" s="518">
        <v>5080.703369371342</v>
      </c>
      <c r="CE87" s="518">
        <v>5385.5455715336238</v>
      </c>
      <c r="CF87" s="518">
        <v>5708.6783058256406</v>
      </c>
      <c r="CG87" s="519">
        <v>6051.1990041751797</v>
      </c>
      <c r="CH87" s="520">
        <v>2</v>
      </c>
      <c r="CI87" s="521">
        <v>2.0499999999999998</v>
      </c>
      <c r="CJ87" s="521">
        <v>2.1012499999999998</v>
      </c>
      <c r="CK87" s="521">
        <v>2.1537812499999998</v>
      </c>
      <c r="CL87" s="521">
        <v>2.20762578125</v>
      </c>
      <c r="CM87" s="521">
        <v>2.2628164257812502</v>
      </c>
      <c r="CN87" s="521">
        <v>2.3193868364257813</v>
      </c>
      <c r="CO87" s="521">
        <v>2.3773715073364259</v>
      </c>
      <c r="CP87" s="521">
        <v>2.5</v>
      </c>
      <c r="CQ87" s="521">
        <v>2.5625</v>
      </c>
      <c r="CR87" s="521">
        <v>2.6265624999999999</v>
      </c>
      <c r="CS87" s="521">
        <v>2.6922265624999997</v>
      </c>
      <c r="CT87" s="521">
        <v>2.7595322265624995</v>
      </c>
      <c r="CU87" s="521">
        <v>2.8285205322265621</v>
      </c>
      <c r="CV87" s="521">
        <v>2.8992335455322262</v>
      </c>
      <c r="CW87" s="521">
        <v>2.9717143841705318</v>
      </c>
      <c r="CX87" s="521">
        <v>2.5</v>
      </c>
      <c r="CY87" s="521">
        <v>2.5625</v>
      </c>
      <c r="CZ87" s="521">
        <v>2.6265624999999999</v>
      </c>
      <c r="DA87" s="522">
        <v>2.6922265624999997</v>
      </c>
      <c r="DB87" s="523">
        <v>4.6031019981252808E-2</v>
      </c>
      <c r="DC87" s="524">
        <v>0.43962900575211972</v>
      </c>
      <c r="DD87" s="524">
        <v>0.49060094723463799</v>
      </c>
      <c r="DE87" s="524">
        <v>0.54740671816028552</v>
      </c>
      <c r="DF87" s="524">
        <v>0.61070900584033705</v>
      </c>
      <c r="DG87" s="524">
        <v>0.6812452700351419</v>
      </c>
      <c r="DH87" s="524">
        <v>0.75983596387630747</v>
      </c>
      <c r="DI87" s="524">
        <v>0.84739354079362972</v>
      </c>
      <c r="DJ87" s="524">
        <v>0.71168508605196257</v>
      </c>
      <c r="DK87" s="524">
        <v>1.3156971753677702</v>
      </c>
      <c r="DL87" s="524">
        <v>3.5740290697817478E-2</v>
      </c>
      <c r="DM87" s="524">
        <v>3.7458753833055525E-2</v>
      </c>
      <c r="DN87" s="524">
        <v>3.9248708654722186E-2</v>
      </c>
      <c r="DO87" s="524">
        <v>4.1112328915700935E-2</v>
      </c>
      <c r="DP87" s="524">
        <v>4.3051808259707336E-2</v>
      </c>
      <c r="DQ87" s="524">
        <v>4.50693602277914E-2</v>
      </c>
      <c r="DR87" s="524">
        <v>-0.14885636921459167</v>
      </c>
      <c r="DS87" s="524">
        <v>0.47515680927096327</v>
      </c>
      <c r="DT87" s="524">
        <v>5.1406776477127103E-2</v>
      </c>
      <c r="DU87" s="525">
        <v>5.3390409042614273E-2</v>
      </c>
      <c r="DV87" s="526">
        <v>3.8</v>
      </c>
      <c r="DW87" s="507">
        <v>3</v>
      </c>
      <c r="DX87" s="509">
        <v>8.91</v>
      </c>
      <c r="DY87" s="507">
        <v>4</v>
      </c>
      <c r="DZ87" s="507">
        <v>15</v>
      </c>
      <c r="EA87" s="507">
        <v>0</v>
      </c>
      <c r="EB87" s="507">
        <v>0</v>
      </c>
      <c r="EC87" s="507">
        <v>595.33333333333337</v>
      </c>
      <c r="ED87" s="507">
        <v>545</v>
      </c>
      <c r="EE87" s="507">
        <v>0</v>
      </c>
      <c r="EF87" s="507">
        <v>133.66666666666666</v>
      </c>
      <c r="EG87" s="507">
        <v>156.33333333333331</v>
      </c>
      <c r="EH87" s="507">
        <v>68.333333333333329</v>
      </c>
      <c r="EI87" s="507">
        <v>89</v>
      </c>
      <c r="EJ87" s="507">
        <v>301</v>
      </c>
      <c r="EK87" s="507">
        <v>55.666666666666671</v>
      </c>
      <c r="EL87" s="507">
        <v>55.666666666666671</v>
      </c>
      <c r="EM87" s="508">
        <v>2000.0000000000002</v>
      </c>
    </row>
    <row r="88" spans="2:143" x14ac:dyDescent="0.25">
      <c r="B88" s="506" t="str">
        <f>[1]RONET_Input!J59</f>
        <v xml:space="preserve">Input VPROMMS: 214TT00064 (53.33 pct); 214TT00014 (46.67 pct); </v>
      </c>
      <c r="C88" s="359">
        <f>[1]RONET_Input!B59</f>
        <v>57</v>
      </c>
      <c r="D88" s="397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442">
        <f>[1]RONET_Input!K59</f>
        <v>0.47201922999000001</v>
      </c>
      <c r="Q88" s="398">
        <f>[1]RONET_Input!Y59</f>
        <v>2</v>
      </c>
      <c r="R88" s="398">
        <f>[1]RONET_Input!X59</f>
        <v>3.5</v>
      </c>
      <c r="S88" s="398"/>
      <c r="T88" s="398"/>
      <c r="U88" s="398">
        <f>[1]RONET_Input!AA59</f>
        <v>8</v>
      </c>
      <c r="V88" s="398">
        <f>[1]RONET_Input!AC59</f>
        <v>1</v>
      </c>
      <c r="W88" s="398">
        <f>[1]RONET_Input!AD59</f>
        <v>1</v>
      </c>
      <c r="X88" s="398">
        <f>[1]RONET_Input!AE59</f>
        <v>4</v>
      </c>
      <c r="Y88" s="398">
        <f>[1]RONET_Input!AB59</f>
        <v>1</v>
      </c>
      <c r="Z88" s="438">
        <f>[1]RONET_Input!Z59</f>
        <v>1</v>
      </c>
      <c r="AA88" s="442"/>
      <c r="AB88" s="398"/>
      <c r="AC88" s="438"/>
      <c r="AD88" s="442">
        <f>[1]RONET_Input!AH59</f>
        <v>4</v>
      </c>
      <c r="AE88" s="398">
        <f>[1]RONET_Input!D59</f>
        <v>8.33</v>
      </c>
      <c r="AF88" s="398"/>
      <c r="AG88" s="398"/>
      <c r="AH88" s="398"/>
      <c r="AI88" s="438"/>
      <c r="AJ88" s="442">
        <v>1</v>
      </c>
      <c r="AK88" s="442">
        <f>[1]RONET_Input!AF59</f>
        <v>4</v>
      </c>
      <c r="AL88" s="507"/>
      <c r="AM88" s="507"/>
      <c r="AN88" s="507"/>
      <c r="AO88" s="507"/>
      <c r="AP88" s="507"/>
      <c r="AQ88" s="507"/>
      <c r="AR88" s="507"/>
      <c r="AS88" s="507"/>
      <c r="AT88" s="507"/>
      <c r="AU88" s="507"/>
      <c r="AV88" s="507"/>
      <c r="AW88" s="507"/>
      <c r="AX88" s="508"/>
      <c r="AY88" s="509">
        <f>[1]RONET_Input!AG59</f>
        <v>3</v>
      </c>
      <c r="AZ88" s="359" t="s">
        <v>321</v>
      </c>
      <c r="BA88" s="360" t="s">
        <v>502</v>
      </c>
      <c r="BB88" s="360" t="s">
        <v>443</v>
      </c>
      <c r="BC88" s="510">
        <v>2.3624562460999504E-2</v>
      </c>
      <c r="BD88" s="510">
        <v>5.0050000000000011E-2</v>
      </c>
      <c r="BE88" s="438">
        <v>5</v>
      </c>
      <c r="BF88" s="511">
        <v>0.20715029241272684</v>
      </c>
      <c r="BG88" s="512">
        <v>0.43885985835177821</v>
      </c>
      <c r="BH88" s="512">
        <v>8.768428738297267</v>
      </c>
      <c r="BI88" s="513">
        <v>0</v>
      </c>
      <c r="BJ88" s="514">
        <v>375</v>
      </c>
      <c r="BK88" s="515">
        <v>0.22366666666666665</v>
      </c>
      <c r="BL88" s="512">
        <v>6.4607632104881255E-2</v>
      </c>
      <c r="BM88" s="516">
        <v>3.2054071874999999E-2</v>
      </c>
      <c r="BN88" s="517">
        <v>375</v>
      </c>
      <c r="BO88" s="518">
        <v>397.50000000000011</v>
      </c>
      <c r="BP88" s="518">
        <v>421.34999999999991</v>
      </c>
      <c r="BQ88" s="518">
        <v>446.63099999999997</v>
      </c>
      <c r="BR88" s="518">
        <v>473.42885999999999</v>
      </c>
      <c r="BS88" s="518">
        <v>501.83459160000012</v>
      </c>
      <c r="BT88" s="518">
        <v>531.9446670960001</v>
      </c>
      <c r="BU88" s="518">
        <v>563.86134712175999</v>
      </c>
      <c r="BV88" s="518">
        <v>597.69302794906582</v>
      </c>
      <c r="BW88" s="518">
        <v>633.55460962600955</v>
      </c>
      <c r="BX88" s="518">
        <v>671.56788620357008</v>
      </c>
      <c r="BY88" s="518">
        <v>711.86195937578441</v>
      </c>
      <c r="BZ88" s="518">
        <v>754.57367693833146</v>
      </c>
      <c r="CA88" s="518">
        <v>799.84809755463141</v>
      </c>
      <c r="CB88" s="518">
        <v>847.83898340790915</v>
      </c>
      <c r="CC88" s="518">
        <v>898.70932241238381</v>
      </c>
      <c r="CD88" s="518">
        <v>952.63188175712685</v>
      </c>
      <c r="CE88" s="518">
        <v>1009.7897946625544</v>
      </c>
      <c r="CF88" s="518">
        <v>1070.3771823423076</v>
      </c>
      <c r="CG88" s="519">
        <v>1134.5998132828461</v>
      </c>
      <c r="CH88" s="520">
        <v>8.33</v>
      </c>
      <c r="CI88" s="521">
        <v>8.4966000000000008</v>
      </c>
      <c r="CJ88" s="521">
        <v>8.6665320000000001</v>
      </c>
      <c r="CK88" s="521">
        <v>8.8398626399999998</v>
      </c>
      <c r="CL88" s="521">
        <v>2.5</v>
      </c>
      <c r="CM88" s="521">
        <v>2.5499999999999998</v>
      </c>
      <c r="CN88" s="521">
        <v>2.601</v>
      </c>
      <c r="CO88" s="521">
        <v>2.6530200000000002</v>
      </c>
      <c r="CP88" s="521">
        <v>2.7060804000000003</v>
      </c>
      <c r="CQ88" s="521">
        <v>2.7602020080000003</v>
      </c>
      <c r="CR88" s="521">
        <v>2.8154060481600003</v>
      </c>
      <c r="CS88" s="521">
        <v>2.8717141691232002</v>
      </c>
      <c r="CT88" s="521">
        <v>2.5</v>
      </c>
      <c r="CU88" s="521">
        <v>2.5499999999999998</v>
      </c>
      <c r="CV88" s="521">
        <v>2.601</v>
      </c>
      <c r="CW88" s="521">
        <v>2.6530200000000002</v>
      </c>
      <c r="CX88" s="521">
        <v>2.7060804000000003</v>
      </c>
      <c r="CY88" s="521">
        <v>2.7602020080000003</v>
      </c>
      <c r="CZ88" s="521">
        <v>2.8154060481600003</v>
      </c>
      <c r="DA88" s="522">
        <v>2.8717141691232002</v>
      </c>
      <c r="DB88" s="523">
        <v>0</v>
      </c>
      <c r="DC88" s="524">
        <v>0</v>
      </c>
      <c r="DD88" s="524">
        <v>0</v>
      </c>
      <c r="DE88" s="524">
        <v>0</v>
      </c>
      <c r="DF88" s="524">
        <v>-1.5225072602053163E-2</v>
      </c>
      <c r="DG88" s="524">
        <v>6.9285671230733051E-3</v>
      </c>
      <c r="DH88" s="524">
        <v>7.6516435173601891E-3</v>
      </c>
      <c r="DI88" s="524">
        <v>8.4494797171709296E-3</v>
      </c>
      <c r="DJ88" s="524">
        <v>9.3297609106352264E-3</v>
      </c>
      <c r="DK88" s="524">
        <v>0.32212450920110941</v>
      </c>
      <c r="DL88" s="524">
        <v>8.1226006847151533E-5</v>
      </c>
      <c r="DM88" s="524">
        <v>5.8508306753919659E-5</v>
      </c>
      <c r="DN88" s="524">
        <v>-2.1200184262139044E-2</v>
      </c>
      <c r="DO88" s="524">
        <v>2.9644460266262107E-4</v>
      </c>
      <c r="DP88" s="524">
        <v>2.9265593574030746E-4</v>
      </c>
      <c r="DQ88" s="524">
        <v>2.8648198835570793E-4</v>
      </c>
      <c r="DR88" s="524">
        <v>2.7756455876784547E-4</v>
      </c>
      <c r="DS88" s="524">
        <v>4.3459072386313108E-2</v>
      </c>
      <c r="DT88" s="524">
        <v>4.7157787166138276E-4</v>
      </c>
      <c r="DU88" s="525">
        <v>4.7959885085492593E-4</v>
      </c>
      <c r="DV88" s="526">
        <v>3.5</v>
      </c>
      <c r="DW88" s="507">
        <v>1</v>
      </c>
      <c r="DX88" s="509">
        <v>8.33</v>
      </c>
      <c r="DY88" s="507">
        <v>2</v>
      </c>
      <c r="DZ88" s="507">
        <v>15</v>
      </c>
      <c r="EA88" s="507">
        <v>0</v>
      </c>
      <c r="EB88" s="507">
        <v>0</v>
      </c>
      <c r="EC88" s="507">
        <v>111.62500000000001</v>
      </c>
      <c r="ED88" s="507">
        <v>102.18750000000001</v>
      </c>
      <c r="EE88" s="507">
        <v>0</v>
      </c>
      <c r="EF88" s="507">
        <v>25.062499999999996</v>
      </c>
      <c r="EG88" s="507">
        <v>29.3125</v>
      </c>
      <c r="EH88" s="507">
        <v>12.8125</v>
      </c>
      <c r="EI88" s="507">
        <v>16.6875</v>
      </c>
      <c r="EJ88" s="507">
        <v>56.4375</v>
      </c>
      <c r="EK88" s="507">
        <v>10.4375</v>
      </c>
      <c r="EL88" s="507">
        <v>10.4375</v>
      </c>
      <c r="EM88" s="508">
        <v>375</v>
      </c>
    </row>
    <row r="89" spans="2:143" x14ac:dyDescent="0.25">
      <c r="B89" s="506" t="str">
        <f>[1]RONET_Input!J60</f>
        <v>214TT00067</v>
      </c>
      <c r="C89" s="359">
        <f>[1]RONET_Input!B60</f>
        <v>58</v>
      </c>
      <c r="D89" s="397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442">
        <f>[1]RONET_Input!K60</f>
        <v>2.3540326248899999</v>
      </c>
      <c r="Q89" s="398">
        <f>[1]RONET_Input!Y60</f>
        <v>1</v>
      </c>
      <c r="R89" s="398">
        <f>[1]RONET_Input!X60</f>
        <v>3.4</v>
      </c>
      <c r="S89" s="398"/>
      <c r="T89" s="398"/>
      <c r="U89" s="398">
        <f>[1]RONET_Input!AA60</f>
        <v>8</v>
      </c>
      <c r="V89" s="398">
        <f>[1]RONET_Input!AC60</f>
        <v>1</v>
      </c>
      <c r="W89" s="398">
        <f>[1]RONET_Input!AD60</f>
        <v>1</v>
      </c>
      <c r="X89" s="398">
        <f>[1]RONET_Input!AE60</f>
        <v>4</v>
      </c>
      <c r="Y89" s="398">
        <f>[1]RONET_Input!AB60</f>
        <v>1</v>
      </c>
      <c r="Z89" s="438">
        <f>[1]RONET_Input!Z60</f>
        <v>1</v>
      </c>
      <c r="AA89" s="442"/>
      <c r="AB89" s="398"/>
      <c r="AC89" s="438"/>
      <c r="AD89" s="442">
        <f>[1]RONET_Input!AH60</f>
        <v>4</v>
      </c>
      <c r="AE89" s="398">
        <f>[1]RONET_Input!D60</f>
        <v>9.26</v>
      </c>
      <c r="AF89" s="398"/>
      <c r="AG89" s="398"/>
      <c r="AH89" s="398"/>
      <c r="AI89" s="438"/>
      <c r="AJ89" s="442">
        <v>1</v>
      </c>
      <c r="AK89" s="442">
        <f>[1]RONET_Input!AF60</f>
        <v>4</v>
      </c>
      <c r="AL89" s="507"/>
      <c r="AM89" s="507"/>
      <c r="AN89" s="507"/>
      <c r="AO89" s="507"/>
      <c r="AP89" s="507"/>
      <c r="AQ89" s="507"/>
      <c r="AR89" s="507"/>
      <c r="AS89" s="507"/>
      <c r="AT89" s="507"/>
      <c r="AU89" s="507"/>
      <c r="AV89" s="507"/>
      <c r="AW89" s="507"/>
      <c r="AX89" s="508"/>
      <c r="AY89" s="509">
        <f>[1]RONET_Input!AG60</f>
        <v>3</v>
      </c>
      <c r="AZ89" s="359" t="s">
        <v>321</v>
      </c>
      <c r="BA89" s="360" t="s">
        <v>502</v>
      </c>
      <c r="BB89" s="360" t="s">
        <v>443</v>
      </c>
      <c r="BC89" s="510">
        <v>0.1144530662221518</v>
      </c>
      <c r="BD89" s="510">
        <v>4.8620000000000003E-2</v>
      </c>
      <c r="BE89" s="438">
        <v>5</v>
      </c>
      <c r="BF89" s="511">
        <v>1.1163008605202454</v>
      </c>
      <c r="BG89" s="512">
        <v>0.47420789700075133</v>
      </c>
      <c r="BH89" s="512">
        <v>9.753350411368805</v>
      </c>
      <c r="BI89" s="513">
        <v>0</v>
      </c>
      <c r="BJ89" s="514">
        <v>375</v>
      </c>
      <c r="BK89" s="515">
        <v>0.22366666666666665</v>
      </c>
      <c r="BL89" s="512">
        <v>0.32220821553181872</v>
      </c>
      <c r="BM89" s="516">
        <v>6.4108143749999999E-2</v>
      </c>
      <c r="BN89" s="517">
        <v>375</v>
      </c>
      <c r="BO89" s="518">
        <v>397.50000000000011</v>
      </c>
      <c r="BP89" s="518">
        <v>421.34999999999991</v>
      </c>
      <c r="BQ89" s="518">
        <v>446.63099999999997</v>
      </c>
      <c r="BR89" s="518">
        <v>473.42885999999999</v>
      </c>
      <c r="BS89" s="518">
        <v>501.83459160000012</v>
      </c>
      <c r="BT89" s="518">
        <v>531.9446670960001</v>
      </c>
      <c r="BU89" s="518">
        <v>563.86134712175999</v>
      </c>
      <c r="BV89" s="518">
        <v>597.69302794906582</v>
      </c>
      <c r="BW89" s="518">
        <v>633.55460962600955</v>
      </c>
      <c r="BX89" s="518">
        <v>671.56788620357008</v>
      </c>
      <c r="BY89" s="518">
        <v>711.86195937578441</v>
      </c>
      <c r="BZ89" s="518">
        <v>754.57367693833146</v>
      </c>
      <c r="CA89" s="518">
        <v>799.84809755463141</v>
      </c>
      <c r="CB89" s="518">
        <v>847.83898340790915</v>
      </c>
      <c r="CC89" s="518">
        <v>898.70932241238381</v>
      </c>
      <c r="CD89" s="518">
        <v>952.63188175712685</v>
      </c>
      <c r="CE89" s="518">
        <v>1009.7897946625544</v>
      </c>
      <c r="CF89" s="518">
        <v>1070.3771823423076</v>
      </c>
      <c r="CG89" s="519">
        <v>1134.5998132828461</v>
      </c>
      <c r="CH89" s="520">
        <v>9.26</v>
      </c>
      <c r="CI89" s="521">
        <v>9.4451999999999998</v>
      </c>
      <c r="CJ89" s="521">
        <v>9.6341040000000007</v>
      </c>
      <c r="CK89" s="521">
        <v>9.8267860800000015</v>
      </c>
      <c r="CL89" s="521">
        <v>2.5</v>
      </c>
      <c r="CM89" s="521">
        <v>2.5499999999999998</v>
      </c>
      <c r="CN89" s="521">
        <v>2.601</v>
      </c>
      <c r="CO89" s="521">
        <v>2.6530200000000002</v>
      </c>
      <c r="CP89" s="521">
        <v>2.7060804000000003</v>
      </c>
      <c r="CQ89" s="521">
        <v>2.7602020080000003</v>
      </c>
      <c r="CR89" s="521">
        <v>2.8154060481600003</v>
      </c>
      <c r="CS89" s="521">
        <v>2.8717141691232002</v>
      </c>
      <c r="CT89" s="521">
        <v>2.5</v>
      </c>
      <c r="CU89" s="521">
        <v>2.5499999999999998</v>
      </c>
      <c r="CV89" s="521">
        <v>2.601</v>
      </c>
      <c r="CW89" s="521">
        <v>2.6530200000000002</v>
      </c>
      <c r="CX89" s="521">
        <v>2.7060804000000003</v>
      </c>
      <c r="CY89" s="521">
        <v>2.7602020080000003</v>
      </c>
      <c r="CZ89" s="521">
        <v>2.8154060481600003</v>
      </c>
      <c r="DA89" s="522">
        <v>2.8717141691232002</v>
      </c>
      <c r="DB89" s="523">
        <v>0</v>
      </c>
      <c r="DC89" s="524">
        <v>0</v>
      </c>
      <c r="DD89" s="524">
        <v>0</v>
      </c>
      <c r="DE89" s="524">
        <v>0</v>
      </c>
      <c r="DF89" s="524">
        <v>-6.2620799681989359E-2</v>
      </c>
      <c r="DG89" s="524">
        <v>4.575083528226459E-2</v>
      </c>
      <c r="DH89" s="524">
        <v>5.0396954846340408E-2</v>
      </c>
      <c r="DI89" s="524">
        <v>5.5512868585417346E-2</v>
      </c>
      <c r="DJ89" s="524">
        <v>6.1145895506616116E-2</v>
      </c>
      <c r="DK89" s="524">
        <v>1.6130301730731815</v>
      </c>
      <c r="DL89" s="524">
        <v>7.0515448504153144E-3</v>
      </c>
      <c r="DM89" s="524">
        <v>7.0424741881494057E-3</v>
      </c>
      <c r="DN89" s="524">
        <v>-9.5501109142897112E-2</v>
      </c>
      <c r="DO89" s="524">
        <v>8.7770857489377074E-3</v>
      </c>
      <c r="DP89" s="524">
        <v>8.8977917964312425E-3</v>
      </c>
      <c r="DQ89" s="524">
        <v>9.0117886699442873E-3</v>
      </c>
      <c r="DR89" s="524">
        <v>9.1173622487639161E-3</v>
      </c>
      <c r="DS89" s="524">
        <v>0.22462555951794705</v>
      </c>
      <c r="DT89" s="524">
        <v>1.0401029480723079E-2</v>
      </c>
      <c r="DU89" s="525">
        <v>1.060715176235022E-2</v>
      </c>
      <c r="DV89" s="526">
        <v>3.4</v>
      </c>
      <c r="DW89" s="507">
        <v>1</v>
      </c>
      <c r="DX89" s="509">
        <v>9.26</v>
      </c>
      <c r="DY89" s="507">
        <v>2</v>
      </c>
      <c r="DZ89" s="507">
        <v>15</v>
      </c>
      <c r="EA89" s="507">
        <v>0</v>
      </c>
      <c r="EB89" s="507">
        <v>0</v>
      </c>
      <c r="EC89" s="507">
        <v>111.62500000000001</v>
      </c>
      <c r="ED89" s="507">
        <v>102.18750000000001</v>
      </c>
      <c r="EE89" s="507">
        <v>0</v>
      </c>
      <c r="EF89" s="507">
        <v>25.062499999999996</v>
      </c>
      <c r="EG89" s="507">
        <v>29.3125</v>
      </c>
      <c r="EH89" s="507">
        <v>12.8125</v>
      </c>
      <c r="EI89" s="507">
        <v>16.6875</v>
      </c>
      <c r="EJ89" s="507">
        <v>56.4375</v>
      </c>
      <c r="EK89" s="507">
        <v>10.4375</v>
      </c>
      <c r="EL89" s="507">
        <v>10.4375</v>
      </c>
      <c r="EM89" s="508">
        <v>375</v>
      </c>
    </row>
    <row r="90" spans="2:143" x14ac:dyDescent="0.25">
      <c r="B90" s="506" t="str">
        <f>[1]RONET_Input!J61</f>
        <v xml:space="preserve">Input VPROMMS: QL45_1 (34.18 pct); 214TT00068 (32.91 pct); 212th00038 (32.91 pct); </v>
      </c>
      <c r="C90" s="359">
        <f>[1]RONET_Input!B61</f>
        <v>59</v>
      </c>
      <c r="D90" s="397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442">
        <f>[1]RONET_Input!K61</f>
        <v>1.3119714791599999</v>
      </c>
      <c r="Q90" s="398">
        <f>[1]RONET_Input!Y61</f>
        <v>2</v>
      </c>
      <c r="R90" s="398">
        <f>[1]RONET_Input!X61</f>
        <v>3.5</v>
      </c>
      <c r="S90" s="398"/>
      <c r="T90" s="398"/>
      <c r="U90" s="398">
        <f>[1]RONET_Input!AA61</f>
        <v>8</v>
      </c>
      <c r="V90" s="398">
        <f>[1]RONET_Input!AC61</f>
        <v>1</v>
      </c>
      <c r="W90" s="398">
        <f>[1]RONET_Input!AD61</f>
        <v>1</v>
      </c>
      <c r="X90" s="398">
        <f>[1]RONET_Input!AE61</f>
        <v>4</v>
      </c>
      <c r="Y90" s="398">
        <f>[1]RONET_Input!AB61</f>
        <v>1</v>
      </c>
      <c r="Z90" s="438">
        <f>[1]RONET_Input!Z61</f>
        <v>1</v>
      </c>
      <c r="AA90" s="442"/>
      <c r="AB90" s="398"/>
      <c r="AC90" s="438"/>
      <c r="AD90" s="442">
        <f>[1]RONET_Input!AH61</f>
        <v>4</v>
      </c>
      <c r="AE90" s="398">
        <f>[1]RONET_Input!D61</f>
        <v>9.0399999999999991</v>
      </c>
      <c r="AF90" s="398"/>
      <c r="AG90" s="398"/>
      <c r="AH90" s="398"/>
      <c r="AI90" s="438"/>
      <c r="AJ90" s="442">
        <v>1</v>
      </c>
      <c r="AK90" s="442">
        <f>[1]RONET_Input!AF61</f>
        <v>4</v>
      </c>
      <c r="AL90" s="507"/>
      <c r="AM90" s="507"/>
      <c r="AN90" s="507"/>
      <c r="AO90" s="507"/>
      <c r="AP90" s="507"/>
      <c r="AQ90" s="507"/>
      <c r="AR90" s="507"/>
      <c r="AS90" s="507"/>
      <c r="AT90" s="507"/>
      <c r="AU90" s="507"/>
      <c r="AV90" s="507"/>
      <c r="AW90" s="507"/>
      <c r="AX90" s="508"/>
      <c r="AY90" s="509">
        <f>[1]RONET_Input!AG61</f>
        <v>3</v>
      </c>
      <c r="AZ90" s="359" t="s">
        <v>321</v>
      </c>
      <c r="BA90" s="360" t="s">
        <v>502</v>
      </c>
      <c r="BB90" s="360" t="s">
        <v>443</v>
      </c>
      <c r="BC90" s="510">
        <v>6.5664172531957998E-2</v>
      </c>
      <c r="BD90" s="510">
        <v>5.0050000000000004E-2</v>
      </c>
      <c r="BE90" s="438">
        <v>5</v>
      </c>
      <c r="BF90" s="511">
        <v>0.59050203981985006</v>
      </c>
      <c r="BG90" s="512">
        <v>0.45008755845662413</v>
      </c>
      <c r="BH90" s="512">
        <v>8.9927584107217609</v>
      </c>
      <c r="BI90" s="513">
        <v>0</v>
      </c>
      <c r="BJ90" s="514">
        <v>375</v>
      </c>
      <c r="BK90" s="515">
        <v>0.22366666666666665</v>
      </c>
      <c r="BL90" s="512">
        <v>0.17957609621002502</v>
      </c>
      <c r="BM90" s="516">
        <v>3.2054071874999999E-2</v>
      </c>
      <c r="BN90" s="517">
        <v>375</v>
      </c>
      <c r="BO90" s="518">
        <v>397.50000000000011</v>
      </c>
      <c r="BP90" s="518">
        <v>421.34999999999991</v>
      </c>
      <c r="BQ90" s="518">
        <v>446.63099999999997</v>
      </c>
      <c r="BR90" s="518">
        <v>473.42885999999999</v>
      </c>
      <c r="BS90" s="518">
        <v>501.83459160000012</v>
      </c>
      <c r="BT90" s="518">
        <v>531.9446670960001</v>
      </c>
      <c r="BU90" s="518">
        <v>563.86134712175999</v>
      </c>
      <c r="BV90" s="518">
        <v>597.69302794906582</v>
      </c>
      <c r="BW90" s="518">
        <v>633.55460962600955</v>
      </c>
      <c r="BX90" s="518">
        <v>671.56788620357008</v>
      </c>
      <c r="BY90" s="518">
        <v>711.86195937578441</v>
      </c>
      <c r="BZ90" s="518">
        <v>754.57367693833146</v>
      </c>
      <c r="CA90" s="518">
        <v>799.84809755463141</v>
      </c>
      <c r="CB90" s="518">
        <v>847.83898340790915</v>
      </c>
      <c r="CC90" s="518">
        <v>898.70932241238381</v>
      </c>
      <c r="CD90" s="518">
        <v>952.63188175712685</v>
      </c>
      <c r="CE90" s="518">
        <v>1009.7897946625544</v>
      </c>
      <c r="CF90" s="518">
        <v>1070.3771823423076</v>
      </c>
      <c r="CG90" s="519">
        <v>1134.5998132828461</v>
      </c>
      <c r="CH90" s="520">
        <v>9.0399999999999991</v>
      </c>
      <c r="CI90" s="521">
        <v>9.2207999999999988</v>
      </c>
      <c r="CJ90" s="521">
        <v>9.4052159999999994</v>
      </c>
      <c r="CK90" s="521">
        <v>9.5933203200000001</v>
      </c>
      <c r="CL90" s="521">
        <v>2.5</v>
      </c>
      <c r="CM90" s="521">
        <v>2.5499999999999998</v>
      </c>
      <c r="CN90" s="521">
        <v>2.601</v>
      </c>
      <c r="CO90" s="521">
        <v>2.6530200000000002</v>
      </c>
      <c r="CP90" s="521">
        <v>2.7060804000000003</v>
      </c>
      <c r="CQ90" s="521">
        <v>2.7602020080000003</v>
      </c>
      <c r="CR90" s="521">
        <v>2.8154060481600003</v>
      </c>
      <c r="CS90" s="521">
        <v>2.8717141691232002</v>
      </c>
      <c r="CT90" s="521">
        <v>2.5</v>
      </c>
      <c r="CU90" s="521">
        <v>2.5499999999999998</v>
      </c>
      <c r="CV90" s="521">
        <v>2.601</v>
      </c>
      <c r="CW90" s="521">
        <v>2.6530200000000002</v>
      </c>
      <c r="CX90" s="521">
        <v>2.7060804000000003</v>
      </c>
      <c r="CY90" s="521">
        <v>2.7602020080000003</v>
      </c>
      <c r="CZ90" s="521">
        <v>2.8154060481600003</v>
      </c>
      <c r="DA90" s="522">
        <v>2.8717141691232002</v>
      </c>
      <c r="DB90" s="523">
        <v>0</v>
      </c>
      <c r="DC90" s="524">
        <v>0</v>
      </c>
      <c r="DD90" s="524">
        <v>0</v>
      </c>
      <c r="DE90" s="524">
        <v>0</v>
      </c>
      <c r="DF90" s="524">
        <v>-3.888653911393819E-2</v>
      </c>
      <c r="DG90" s="524">
        <v>2.3041825101940361E-2</v>
      </c>
      <c r="DH90" s="524">
        <v>2.5440332376845592E-2</v>
      </c>
      <c r="DI90" s="524">
        <v>2.8086433062020549E-2</v>
      </c>
      <c r="DJ90" s="524">
        <v>3.100552663423195E-2</v>
      </c>
      <c r="DK90" s="524">
        <v>0.89534099875384721</v>
      </c>
      <c r="DL90" s="524">
        <v>2.2576665859941336E-4</v>
      </c>
      <c r="DM90" s="524">
        <v>1.6262309854772616E-4</v>
      </c>
      <c r="DN90" s="524">
        <v>-5.8925643994318572E-2</v>
      </c>
      <c r="DO90" s="524">
        <v>8.2396402335668806E-4</v>
      </c>
      <c r="DP90" s="524">
        <v>8.1343347156914714E-4</v>
      </c>
      <c r="DQ90" s="524">
        <v>7.9627306290824817E-4</v>
      </c>
      <c r="DR90" s="524">
        <v>7.7148718016586959E-4</v>
      </c>
      <c r="DS90" s="524">
        <v>0.12079394198156004</v>
      </c>
      <c r="DT90" s="524">
        <v>1.310744729268315E-3</v>
      </c>
      <c r="DU90" s="525">
        <v>1.3330389394790587E-3</v>
      </c>
      <c r="DV90" s="526">
        <v>3.5</v>
      </c>
      <c r="DW90" s="507">
        <v>1</v>
      </c>
      <c r="DX90" s="509">
        <v>9.0399999999999991</v>
      </c>
      <c r="DY90" s="507">
        <v>2</v>
      </c>
      <c r="DZ90" s="507">
        <v>15</v>
      </c>
      <c r="EA90" s="507">
        <v>0</v>
      </c>
      <c r="EB90" s="507">
        <v>0</v>
      </c>
      <c r="EC90" s="507">
        <v>111.62500000000001</v>
      </c>
      <c r="ED90" s="507">
        <v>102.18750000000001</v>
      </c>
      <c r="EE90" s="507">
        <v>0</v>
      </c>
      <c r="EF90" s="507">
        <v>25.062499999999996</v>
      </c>
      <c r="EG90" s="507">
        <v>29.3125</v>
      </c>
      <c r="EH90" s="507">
        <v>12.8125</v>
      </c>
      <c r="EI90" s="507">
        <v>16.6875</v>
      </c>
      <c r="EJ90" s="507">
        <v>56.4375</v>
      </c>
      <c r="EK90" s="507">
        <v>10.4375</v>
      </c>
      <c r="EL90" s="507">
        <v>10.4375</v>
      </c>
      <c r="EM90" s="508">
        <v>375</v>
      </c>
    </row>
    <row r="91" spans="2:143" x14ac:dyDescent="0.25">
      <c r="B91" s="506" t="str">
        <f>[1]RONET_Input!J62</f>
        <v>214TT00068</v>
      </c>
      <c r="C91" s="359">
        <f>[1]RONET_Input!B62</f>
        <v>60</v>
      </c>
      <c r="D91" s="397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442">
        <f>[1]RONET_Input!K62</f>
        <v>1.5967373094699999</v>
      </c>
      <c r="Q91" s="398">
        <f>[1]RONET_Input!Y62</f>
        <v>1</v>
      </c>
      <c r="R91" s="398">
        <f>[1]RONET_Input!X62</f>
        <v>3.4</v>
      </c>
      <c r="S91" s="398"/>
      <c r="T91" s="398"/>
      <c r="U91" s="398">
        <f>[1]RONET_Input!AA62</f>
        <v>8</v>
      </c>
      <c r="V91" s="398">
        <f>[1]RONET_Input!AC62</f>
        <v>1</v>
      </c>
      <c r="W91" s="398">
        <f>[1]RONET_Input!AD62</f>
        <v>1</v>
      </c>
      <c r="X91" s="398">
        <f>[1]RONET_Input!AE62</f>
        <v>4</v>
      </c>
      <c r="Y91" s="398">
        <f>[1]RONET_Input!AB62</f>
        <v>1</v>
      </c>
      <c r="Z91" s="438">
        <f>[1]RONET_Input!Z62</f>
        <v>1</v>
      </c>
      <c r="AA91" s="442"/>
      <c r="AB91" s="398"/>
      <c r="AC91" s="438"/>
      <c r="AD91" s="442">
        <f>[1]RONET_Input!AH62</f>
        <v>4</v>
      </c>
      <c r="AE91" s="398">
        <f>[1]RONET_Input!D62</f>
        <v>10.55</v>
      </c>
      <c r="AF91" s="398"/>
      <c r="AG91" s="398"/>
      <c r="AH91" s="398"/>
      <c r="AI91" s="438"/>
      <c r="AJ91" s="442">
        <v>1</v>
      </c>
      <c r="AK91" s="442">
        <f>[1]RONET_Input!AF62</f>
        <v>4</v>
      </c>
      <c r="AL91" s="507"/>
      <c r="AM91" s="507"/>
      <c r="AN91" s="507"/>
      <c r="AO91" s="507"/>
      <c r="AP91" s="507"/>
      <c r="AQ91" s="507"/>
      <c r="AR91" s="507"/>
      <c r="AS91" s="507"/>
      <c r="AT91" s="507"/>
      <c r="AU91" s="507"/>
      <c r="AV91" s="507"/>
      <c r="AW91" s="507"/>
      <c r="AX91" s="508"/>
      <c r="AY91" s="509">
        <f>[1]RONET_Input!AG62</f>
        <v>3</v>
      </c>
      <c r="AZ91" s="359" t="s">
        <v>321</v>
      </c>
      <c r="BA91" s="360" t="s">
        <v>502</v>
      </c>
      <c r="BB91" s="360" t="s">
        <v>443</v>
      </c>
      <c r="BC91" s="510">
        <v>7.763336798643139E-2</v>
      </c>
      <c r="BD91" s="510">
        <v>4.8619999999999997E-2</v>
      </c>
      <c r="BE91" s="438">
        <v>5</v>
      </c>
      <c r="BF91" s="511">
        <v>0.79420825998494549</v>
      </c>
      <c r="BG91" s="512">
        <v>0.49739444007140071</v>
      </c>
      <c r="BH91" s="512">
        <v>10.230243522653245</v>
      </c>
      <c r="BI91" s="513">
        <v>0</v>
      </c>
      <c r="BJ91" s="514">
        <v>375</v>
      </c>
      <c r="BK91" s="515">
        <v>0.22366666666666665</v>
      </c>
      <c r="BL91" s="512">
        <v>0.21855341923370628</v>
      </c>
      <c r="BM91" s="516">
        <v>6.4108143749999999E-2</v>
      </c>
      <c r="BN91" s="517">
        <v>375</v>
      </c>
      <c r="BO91" s="518">
        <v>397.50000000000011</v>
      </c>
      <c r="BP91" s="518">
        <v>421.34999999999991</v>
      </c>
      <c r="BQ91" s="518">
        <v>446.63099999999997</v>
      </c>
      <c r="BR91" s="518">
        <v>473.42885999999999</v>
      </c>
      <c r="BS91" s="518">
        <v>501.83459160000012</v>
      </c>
      <c r="BT91" s="518">
        <v>531.9446670960001</v>
      </c>
      <c r="BU91" s="518">
        <v>563.86134712175999</v>
      </c>
      <c r="BV91" s="518">
        <v>597.69302794906582</v>
      </c>
      <c r="BW91" s="518">
        <v>633.55460962600955</v>
      </c>
      <c r="BX91" s="518">
        <v>671.56788620357008</v>
      </c>
      <c r="BY91" s="518">
        <v>711.86195937578441</v>
      </c>
      <c r="BZ91" s="518">
        <v>754.57367693833146</v>
      </c>
      <c r="CA91" s="518">
        <v>799.84809755463141</v>
      </c>
      <c r="CB91" s="518">
        <v>847.83898340790915</v>
      </c>
      <c r="CC91" s="518">
        <v>898.70932241238381</v>
      </c>
      <c r="CD91" s="518">
        <v>952.63188175712685</v>
      </c>
      <c r="CE91" s="518">
        <v>1009.7897946625544</v>
      </c>
      <c r="CF91" s="518">
        <v>1070.3771823423076</v>
      </c>
      <c r="CG91" s="519">
        <v>1134.5998132828461</v>
      </c>
      <c r="CH91" s="520">
        <v>10.55</v>
      </c>
      <c r="CI91" s="521">
        <v>10.761000000000001</v>
      </c>
      <c r="CJ91" s="521">
        <v>10.976220000000001</v>
      </c>
      <c r="CK91" s="521">
        <v>11.195744400000001</v>
      </c>
      <c r="CL91" s="521">
        <v>2.5</v>
      </c>
      <c r="CM91" s="521">
        <v>2.5499999999999998</v>
      </c>
      <c r="CN91" s="521">
        <v>2.601</v>
      </c>
      <c r="CO91" s="521">
        <v>2.6530200000000002</v>
      </c>
      <c r="CP91" s="521">
        <v>2.7060804000000003</v>
      </c>
      <c r="CQ91" s="521">
        <v>2.7602020080000003</v>
      </c>
      <c r="CR91" s="521">
        <v>2.8154060481600003</v>
      </c>
      <c r="CS91" s="521">
        <v>2.8717141691232002</v>
      </c>
      <c r="CT91" s="521">
        <v>2.5</v>
      </c>
      <c r="CU91" s="521">
        <v>2.5499999999999998</v>
      </c>
      <c r="CV91" s="521">
        <v>2.601</v>
      </c>
      <c r="CW91" s="521">
        <v>2.6530200000000002</v>
      </c>
      <c r="CX91" s="521">
        <v>2.7060804000000003</v>
      </c>
      <c r="CY91" s="521">
        <v>2.7602020080000003</v>
      </c>
      <c r="CZ91" s="521">
        <v>2.8154060481600003</v>
      </c>
      <c r="DA91" s="522">
        <v>2.8717141691232002</v>
      </c>
      <c r="DB91" s="523">
        <v>0</v>
      </c>
      <c r="DC91" s="524">
        <v>0</v>
      </c>
      <c r="DD91" s="524">
        <v>0</v>
      </c>
      <c r="DE91" s="524">
        <v>0</v>
      </c>
      <c r="DF91" s="524">
        <v>-3.3817110227875563E-2</v>
      </c>
      <c r="DG91" s="524">
        <v>4.0563275877923716E-2</v>
      </c>
      <c r="DH91" s="524">
        <v>4.4673875078747649E-2</v>
      </c>
      <c r="DI91" s="524">
        <v>4.9198600116036745E-2</v>
      </c>
      <c r="DJ91" s="524">
        <v>5.4178586552669106E-2</v>
      </c>
      <c r="DK91" s="524">
        <v>1.0941162970360931</v>
      </c>
      <c r="DL91" s="524">
        <v>4.7830538255965727E-3</v>
      </c>
      <c r="DM91" s="524">
        <v>4.776901207018347E-3</v>
      </c>
      <c r="DN91" s="524">
        <v>-6.4778279813074352E-2</v>
      </c>
      <c r="DO91" s="524">
        <v>5.9534860033646497E-3</v>
      </c>
      <c r="DP91" s="524">
        <v>6.0353607605254656E-3</v>
      </c>
      <c r="DQ91" s="524">
        <v>6.1126846935825319E-3</v>
      </c>
      <c r="DR91" s="524">
        <v>6.1842951166553028E-3</v>
      </c>
      <c r="DS91" s="524">
        <v>0.1523632288484702</v>
      </c>
      <c r="DT91" s="524">
        <v>7.0550049532741577E-3</v>
      </c>
      <c r="DU91" s="525">
        <v>7.1948174324671932E-3</v>
      </c>
      <c r="DV91" s="526">
        <v>3.4</v>
      </c>
      <c r="DW91" s="507">
        <v>1</v>
      </c>
      <c r="DX91" s="509">
        <v>10.55</v>
      </c>
      <c r="DY91" s="507">
        <v>2</v>
      </c>
      <c r="DZ91" s="507">
        <v>15</v>
      </c>
      <c r="EA91" s="507">
        <v>0</v>
      </c>
      <c r="EB91" s="507">
        <v>0</v>
      </c>
      <c r="EC91" s="507">
        <v>111.62500000000001</v>
      </c>
      <c r="ED91" s="507">
        <v>102.18750000000001</v>
      </c>
      <c r="EE91" s="507">
        <v>0</v>
      </c>
      <c r="EF91" s="507">
        <v>25.062499999999996</v>
      </c>
      <c r="EG91" s="507">
        <v>29.3125</v>
      </c>
      <c r="EH91" s="507">
        <v>12.8125</v>
      </c>
      <c r="EI91" s="507">
        <v>16.6875</v>
      </c>
      <c r="EJ91" s="507">
        <v>56.4375</v>
      </c>
      <c r="EK91" s="507">
        <v>10.4375</v>
      </c>
      <c r="EL91" s="507">
        <v>10.4375</v>
      </c>
      <c r="EM91" s="508">
        <v>375</v>
      </c>
    </row>
    <row r="92" spans="2:143" x14ac:dyDescent="0.25">
      <c r="B92" s="506" t="str">
        <f>[1]RONET_Input!J63</f>
        <v>214TT00055</v>
      </c>
      <c r="C92" s="359">
        <f>[1]RONET_Input!B63</f>
        <v>61</v>
      </c>
      <c r="D92" s="397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442">
        <f>[1]RONET_Input!K63</f>
        <v>1.7930517961900001</v>
      </c>
      <c r="Q92" s="398">
        <f>[1]RONET_Input!Y63</f>
        <v>1</v>
      </c>
      <c r="R92" s="398">
        <f>[1]RONET_Input!X63</f>
        <v>3.4</v>
      </c>
      <c r="S92" s="398"/>
      <c r="T92" s="398"/>
      <c r="U92" s="398">
        <f>[1]RONET_Input!AA63</f>
        <v>8</v>
      </c>
      <c r="V92" s="398">
        <f>[1]RONET_Input!AC63</f>
        <v>1</v>
      </c>
      <c r="W92" s="398">
        <f>[1]RONET_Input!AD63</f>
        <v>1</v>
      </c>
      <c r="X92" s="398">
        <f>[1]RONET_Input!AE63</f>
        <v>4</v>
      </c>
      <c r="Y92" s="398">
        <f>[1]RONET_Input!AB63</f>
        <v>1</v>
      </c>
      <c r="Z92" s="438">
        <f>[1]RONET_Input!Z63</f>
        <v>1</v>
      </c>
      <c r="AA92" s="442"/>
      <c r="AB92" s="398"/>
      <c r="AC92" s="438"/>
      <c r="AD92" s="442">
        <f>[1]RONET_Input!AH63</f>
        <v>3</v>
      </c>
      <c r="AE92" s="398">
        <f>[1]RONET_Input!D63</f>
        <v>7.2249999999999996</v>
      </c>
      <c r="AF92" s="398"/>
      <c r="AG92" s="398"/>
      <c r="AH92" s="398"/>
      <c r="AI92" s="438"/>
      <c r="AJ92" s="442">
        <v>1</v>
      </c>
      <c r="AK92" s="442">
        <f>[1]RONET_Input!AF63</f>
        <v>4</v>
      </c>
      <c r="AL92" s="507"/>
      <c r="AM92" s="507"/>
      <c r="AN92" s="507"/>
      <c r="AO92" s="507"/>
      <c r="AP92" s="507"/>
      <c r="AQ92" s="507"/>
      <c r="AR92" s="507"/>
      <c r="AS92" s="507"/>
      <c r="AT92" s="507"/>
      <c r="AU92" s="507"/>
      <c r="AV92" s="507"/>
      <c r="AW92" s="507"/>
      <c r="AX92" s="508"/>
      <c r="AY92" s="509">
        <f>[1]RONET_Input!AG63</f>
        <v>3</v>
      </c>
      <c r="AZ92" s="359" t="s">
        <v>321</v>
      </c>
      <c r="BA92" s="360" t="s">
        <v>502</v>
      </c>
      <c r="BB92" s="360" t="s">
        <v>443</v>
      </c>
      <c r="BC92" s="510">
        <v>8.7178178330757805E-2</v>
      </c>
      <c r="BD92" s="510">
        <v>4.8620000000000003E-2</v>
      </c>
      <c r="BE92" s="438">
        <v>5</v>
      </c>
      <c r="BF92" s="511">
        <v>0.7947769287285209</v>
      </c>
      <c r="BG92" s="512">
        <v>0.44325374783780236</v>
      </c>
      <c r="BH92" s="512">
        <v>9.1166957597244416</v>
      </c>
      <c r="BI92" s="513">
        <v>0</v>
      </c>
      <c r="BJ92" s="514">
        <v>375</v>
      </c>
      <c r="BK92" s="515">
        <v>0.22366666666666665</v>
      </c>
      <c r="BL92" s="512">
        <v>0.24542396460350629</v>
      </c>
      <c r="BM92" s="516">
        <v>6.4108143749999999E-2</v>
      </c>
      <c r="BN92" s="517">
        <v>375</v>
      </c>
      <c r="BO92" s="518">
        <v>397.50000000000011</v>
      </c>
      <c r="BP92" s="518">
        <v>421.34999999999991</v>
      </c>
      <c r="BQ92" s="518">
        <v>446.63099999999997</v>
      </c>
      <c r="BR92" s="518">
        <v>473.42885999999999</v>
      </c>
      <c r="BS92" s="518">
        <v>501.83459160000012</v>
      </c>
      <c r="BT92" s="518">
        <v>531.9446670960001</v>
      </c>
      <c r="BU92" s="518">
        <v>563.86134712175999</v>
      </c>
      <c r="BV92" s="518">
        <v>597.69302794906582</v>
      </c>
      <c r="BW92" s="518">
        <v>633.55460962600955</v>
      </c>
      <c r="BX92" s="518">
        <v>671.56788620357008</v>
      </c>
      <c r="BY92" s="518">
        <v>711.86195937578441</v>
      </c>
      <c r="BZ92" s="518">
        <v>754.57367693833146</v>
      </c>
      <c r="CA92" s="518">
        <v>799.84809755463141</v>
      </c>
      <c r="CB92" s="518">
        <v>847.83898340790915</v>
      </c>
      <c r="CC92" s="518">
        <v>898.70932241238381</v>
      </c>
      <c r="CD92" s="518">
        <v>952.63188175712685</v>
      </c>
      <c r="CE92" s="518">
        <v>1009.7897946625544</v>
      </c>
      <c r="CF92" s="518">
        <v>1070.3771823423076</v>
      </c>
      <c r="CG92" s="519">
        <v>1134.5998132828461</v>
      </c>
      <c r="CH92" s="520">
        <v>7.2249999999999996</v>
      </c>
      <c r="CI92" s="521">
        <v>7.3694999999999995</v>
      </c>
      <c r="CJ92" s="521">
        <v>7.5168899999999992</v>
      </c>
      <c r="CK92" s="521">
        <v>7.6672277999999991</v>
      </c>
      <c r="CL92" s="521">
        <v>2.5</v>
      </c>
      <c r="CM92" s="521">
        <v>2.5499999999999998</v>
      </c>
      <c r="CN92" s="521">
        <v>2.601</v>
      </c>
      <c r="CO92" s="521">
        <v>2.6530200000000002</v>
      </c>
      <c r="CP92" s="521">
        <v>2.7060804000000003</v>
      </c>
      <c r="CQ92" s="521">
        <v>2.7602020080000003</v>
      </c>
      <c r="CR92" s="521">
        <v>2.8154060481600003</v>
      </c>
      <c r="CS92" s="521">
        <v>2.8717141691232002</v>
      </c>
      <c r="CT92" s="521">
        <v>2.5</v>
      </c>
      <c r="CU92" s="521">
        <v>2.5499999999999998</v>
      </c>
      <c r="CV92" s="521">
        <v>2.601</v>
      </c>
      <c r="CW92" s="521">
        <v>2.6530200000000002</v>
      </c>
      <c r="CX92" s="521">
        <v>2.7060804000000003</v>
      </c>
      <c r="CY92" s="521">
        <v>2.7602020080000003</v>
      </c>
      <c r="CZ92" s="521">
        <v>2.8154060481600003</v>
      </c>
      <c r="DA92" s="522">
        <v>2.8717141691232002</v>
      </c>
      <c r="DB92" s="523">
        <v>0</v>
      </c>
      <c r="DC92" s="524">
        <v>0</v>
      </c>
      <c r="DD92" s="524">
        <v>0</v>
      </c>
      <c r="DE92" s="524">
        <v>0</v>
      </c>
      <c r="DF92" s="524">
        <v>-6.0671178404006543E-2</v>
      </c>
      <c r="DG92" s="524">
        <v>2.0565536607338064E-2</v>
      </c>
      <c r="DH92" s="524">
        <v>2.2663189430801811E-2</v>
      </c>
      <c r="DI92" s="524">
        <v>2.4973417764417777E-2</v>
      </c>
      <c r="DJ92" s="524">
        <v>2.7517683112986663E-2</v>
      </c>
      <c r="DK92" s="524">
        <v>1.2286349044430449</v>
      </c>
      <c r="DL92" s="524">
        <v>5.3711172165859244E-3</v>
      </c>
      <c r="DM92" s="524">
        <v>5.3642081503747496E-3</v>
      </c>
      <c r="DN92" s="524">
        <v>-7.2742592212293816E-2</v>
      </c>
      <c r="DO92" s="524">
        <v>6.6854508306493365E-3</v>
      </c>
      <c r="DP92" s="524">
        <v>6.7773918653574738E-3</v>
      </c>
      <c r="DQ92" s="524">
        <v>6.8642225645803023E-3</v>
      </c>
      <c r="DR92" s="524">
        <v>6.9446372933870681E-3</v>
      </c>
      <c r="DS92" s="524">
        <v>0.17109587127436654</v>
      </c>
      <c r="DT92" s="524">
        <v>7.9223985238977557E-3</v>
      </c>
      <c r="DU92" s="525">
        <v>8.0794005651602663E-3</v>
      </c>
      <c r="DV92" s="526">
        <v>3.4</v>
      </c>
      <c r="DW92" s="507">
        <v>1</v>
      </c>
      <c r="DX92" s="509">
        <v>7.2249999999999996</v>
      </c>
      <c r="DY92" s="507">
        <v>2</v>
      </c>
      <c r="DZ92" s="507">
        <v>10</v>
      </c>
      <c r="EA92" s="507">
        <v>0</v>
      </c>
      <c r="EB92" s="507">
        <v>0</v>
      </c>
      <c r="EC92" s="507">
        <v>111.62500000000001</v>
      </c>
      <c r="ED92" s="507">
        <v>102.18750000000001</v>
      </c>
      <c r="EE92" s="507">
        <v>0</v>
      </c>
      <c r="EF92" s="507">
        <v>25.062499999999996</v>
      </c>
      <c r="EG92" s="507">
        <v>29.3125</v>
      </c>
      <c r="EH92" s="507">
        <v>12.8125</v>
      </c>
      <c r="EI92" s="507">
        <v>16.6875</v>
      </c>
      <c r="EJ92" s="507">
        <v>56.4375</v>
      </c>
      <c r="EK92" s="507">
        <v>10.4375</v>
      </c>
      <c r="EL92" s="507">
        <v>10.4375</v>
      </c>
      <c r="EM92" s="508">
        <v>375</v>
      </c>
    </row>
    <row r="93" spans="2:143" x14ac:dyDescent="0.25">
      <c r="B93" s="506" t="str">
        <f>[1]RONET_Input!J64</f>
        <v xml:space="preserve">Input VPROMMS: 212th00023 (65.71 pct); 212TH00023 (32.86 pct); 214TT00056 (1.43 pct); </v>
      </c>
      <c r="C93" s="359">
        <f>[1]RONET_Input!B64</f>
        <v>62</v>
      </c>
      <c r="D93" s="397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442">
        <f>[1]RONET_Input!K64</f>
        <v>1.3066174005</v>
      </c>
      <c r="Q93" s="398">
        <f>[1]RONET_Input!Y64</f>
        <v>2</v>
      </c>
      <c r="R93" s="398">
        <f>[1]RONET_Input!X64</f>
        <v>3.5</v>
      </c>
      <c r="S93" s="398"/>
      <c r="T93" s="398"/>
      <c r="U93" s="398">
        <f>[1]RONET_Input!AA64</f>
        <v>8</v>
      </c>
      <c r="V93" s="398">
        <f>[1]RONET_Input!AC64</f>
        <v>1</v>
      </c>
      <c r="W93" s="398">
        <f>[1]RONET_Input!AD64</f>
        <v>1</v>
      </c>
      <c r="X93" s="398">
        <f>[1]RONET_Input!AE64</f>
        <v>4</v>
      </c>
      <c r="Y93" s="398">
        <f>[1]RONET_Input!AB64</f>
        <v>1</v>
      </c>
      <c r="Z93" s="438">
        <f>[1]RONET_Input!Z64</f>
        <v>1</v>
      </c>
      <c r="AA93" s="442"/>
      <c r="AB93" s="398"/>
      <c r="AC93" s="438"/>
      <c r="AD93" s="442">
        <f>[1]RONET_Input!AH64</f>
        <v>3</v>
      </c>
      <c r="AE93" s="398">
        <f>[1]RONET_Input!D64</f>
        <v>7.0250000000000004</v>
      </c>
      <c r="AF93" s="398"/>
      <c r="AG93" s="398"/>
      <c r="AH93" s="398"/>
      <c r="AI93" s="438"/>
      <c r="AJ93" s="442">
        <v>1</v>
      </c>
      <c r="AK93" s="442">
        <f>[1]RONET_Input!AF64</f>
        <v>4</v>
      </c>
      <c r="AL93" s="507"/>
      <c r="AM93" s="507"/>
      <c r="AN93" s="507"/>
      <c r="AO93" s="507"/>
      <c r="AP93" s="507"/>
      <c r="AQ93" s="507"/>
      <c r="AR93" s="507"/>
      <c r="AS93" s="507"/>
      <c r="AT93" s="507"/>
      <c r="AU93" s="507"/>
      <c r="AV93" s="507"/>
      <c r="AW93" s="507"/>
      <c r="AX93" s="508"/>
      <c r="AY93" s="509">
        <f>[1]RONET_Input!AG64</f>
        <v>3</v>
      </c>
      <c r="AZ93" s="359" t="s">
        <v>321</v>
      </c>
      <c r="BA93" s="360" t="s">
        <v>502</v>
      </c>
      <c r="BB93" s="360" t="s">
        <v>443</v>
      </c>
      <c r="BC93" s="510">
        <v>6.5396200895025E-2</v>
      </c>
      <c r="BD93" s="510">
        <v>5.0050000000000004E-2</v>
      </c>
      <c r="BE93" s="438">
        <v>5</v>
      </c>
      <c r="BF93" s="511">
        <v>0.54958405686737932</v>
      </c>
      <c r="BG93" s="512">
        <v>0.42061590229631979</v>
      </c>
      <c r="BH93" s="512">
        <v>8.4039141317946005</v>
      </c>
      <c r="BI93" s="513">
        <v>0</v>
      </c>
      <c r="BJ93" s="514">
        <v>375</v>
      </c>
      <c r="BK93" s="515">
        <v>0.22366666666666665</v>
      </c>
      <c r="BL93" s="512">
        <v>0.17884325669343754</v>
      </c>
      <c r="BM93" s="516">
        <v>3.2054071874999999E-2</v>
      </c>
      <c r="BN93" s="517">
        <v>375</v>
      </c>
      <c r="BO93" s="518">
        <v>397.50000000000011</v>
      </c>
      <c r="BP93" s="518">
        <v>421.34999999999991</v>
      </c>
      <c r="BQ93" s="518">
        <v>446.63099999999997</v>
      </c>
      <c r="BR93" s="518">
        <v>473.42885999999999</v>
      </c>
      <c r="BS93" s="518">
        <v>501.83459160000012</v>
      </c>
      <c r="BT93" s="518">
        <v>531.9446670960001</v>
      </c>
      <c r="BU93" s="518">
        <v>563.86134712175999</v>
      </c>
      <c r="BV93" s="518">
        <v>597.69302794906582</v>
      </c>
      <c r="BW93" s="518">
        <v>633.55460962600955</v>
      </c>
      <c r="BX93" s="518">
        <v>671.56788620357008</v>
      </c>
      <c r="BY93" s="518">
        <v>711.86195937578441</v>
      </c>
      <c r="BZ93" s="518">
        <v>754.57367693833146</v>
      </c>
      <c r="CA93" s="518">
        <v>799.84809755463141</v>
      </c>
      <c r="CB93" s="518">
        <v>847.83898340790915</v>
      </c>
      <c r="CC93" s="518">
        <v>898.70932241238381</v>
      </c>
      <c r="CD93" s="518">
        <v>952.63188175712685</v>
      </c>
      <c r="CE93" s="518">
        <v>1009.7897946625544</v>
      </c>
      <c r="CF93" s="518">
        <v>1070.3771823423076</v>
      </c>
      <c r="CG93" s="519">
        <v>1134.5998132828461</v>
      </c>
      <c r="CH93" s="520">
        <v>7.0250000000000004</v>
      </c>
      <c r="CI93" s="521">
        <v>7.1655000000000006</v>
      </c>
      <c r="CJ93" s="521">
        <v>7.3088100000000003</v>
      </c>
      <c r="CK93" s="521">
        <v>7.4549862000000005</v>
      </c>
      <c r="CL93" s="521">
        <v>2.5</v>
      </c>
      <c r="CM93" s="521">
        <v>2.5499999999999998</v>
      </c>
      <c r="CN93" s="521">
        <v>2.601</v>
      </c>
      <c r="CO93" s="521">
        <v>2.6530200000000002</v>
      </c>
      <c r="CP93" s="521">
        <v>2.7060804000000003</v>
      </c>
      <c r="CQ93" s="521">
        <v>2.7602020080000003</v>
      </c>
      <c r="CR93" s="521">
        <v>2.8154060481600003</v>
      </c>
      <c r="CS93" s="521">
        <v>2.8717141691232002</v>
      </c>
      <c r="CT93" s="521">
        <v>2.5</v>
      </c>
      <c r="CU93" s="521">
        <v>2.5499999999999998</v>
      </c>
      <c r="CV93" s="521">
        <v>2.601</v>
      </c>
      <c r="CW93" s="521">
        <v>2.6530200000000002</v>
      </c>
      <c r="CX93" s="521">
        <v>2.7060804000000003</v>
      </c>
      <c r="CY93" s="521">
        <v>2.7602020080000003</v>
      </c>
      <c r="CZ93" s="521">
        <v>2.8154060481600003</v>
      </c>
      <c r="DA93" s="522">
        <v>2.8717141691232002</v>
      </c>
      <c r="DB93" s="523">
        <v>0</v>
      </c>
      <c r="DC93" s="524">
        <v>0</v>
      </c>
      <c r="DD93" s="524">
        <v>0</v>
      </c>
      <c r="DE93" s="524">
        <v>0</v>
      </c>
      <c r="DF93" s="524">
        <v>-4.7696104637232797E-2</v>
      </c>
      <c r="DG93" s="524">
        <v>1.3056896952710464E-2</v>
      </c>
      <c r="DH93" s="524">
        <v>1.442838832971409E-2</v>
      </c>
      <c r="DI93" s="524">
        <v>1.5942203820118961E-2</v>
      </c>
      <c r="DJ93" s="524">
        <v>1.7612998494266396E-2</v>
      </c>
      <c r="DK93" s="524">
        <v>0.89168716464922149</v>
      </c>
      <c r="DL93" s="524">
        <v>2.248453181067922E-4</v>
      </c>
      <c r="DM93" s="524">
        <v>1.6195944322028311E-4</v>
      </c>
      <c r="DN93" s="524">
        <v>-5.8685171897136429E-2</v>
      </c>
      <c r="DO93" s="524">
        <v>8.2060147450241372E-4</v>
      </c>
      <c r="DP93" s="524">
        <v>8.1011389727919658E-4</v>
      </c>
      <c r="DQ93" s="524">
        <v>7.9302351923954406E-4</v>
      </c>
      <c r="DR93" s="524">
        <v>7.6833878623100427E-4</v>
      </c>
      <c r="DS93" s="524">
        <v>0.12030098898883584</v>
      </c>
      <c r="DT93" s="524">
        <v>1.3053956569026859E-3</v>
      </c>
      <c r="DU93" s="525">
        <v>1.3275988857491261E-3</v>
      </c>
      <c r="DV93" s="526">
        <v>3.5</v>
      </c>
      <c r="DW93" s="507">
        <v>1</v>
      </c>
      <c r="DX93" s="509">
        <v>7.0250000000000004</v>
      </c>
      <c r="DY93" s="507">
        <v>2</v>
      </c>
      <c r="DZ93" s="507">
        <v>10</v>
      </c>
      <c r="EA93" s="507">
        <v>0</v>
      </c>
      <c r="EB93" s="507">
        <v>0</v>
      </c>
      <c r="EC93" s="507">
        <v>111.62500000000001</v>
      </c>
      <c r="ED93" s="507">
        <v>102.18750000000001</v>
      </c>
      <c r="EE93" s="507">
        <v>0</v>
      </c>
      <c r="EF93" s="507">
        <v>25.062499999999996</v>
      </c>
      <c r="EG93" s="507">
        <v>29.3125</v>
      </c>
      <c r="EH93" s="507">
        <v>12.8125</v>
      </c>
      <c r="EI93" s="507">
        <v>16.6875</v>
      </c>
      <c r="EJ93" s="507">
        <v>56.4375</v>
      </c>
      <c r="EK93" s="507">
        <v>10.4375</v>
      </c>
      <c r="EL93" s="507">
        <v>10.4375</v>
      </c>
      <c r="EM93" s="508">
        <v>375</v>
      </c>
    </row>
    <row r="94" spans="2:143" x14ac:dyDescent="0.25">
      <c r="B94" s="506" t="str">
        <f>[1]RONET_Input!J65</f>
        <v xml:space="preserve">Input VPROMMS: 214TT00064 (50.0 pct); 212th00038 (25.0 pct); QL45_1 (25.0 pct); </v>
      </c>
      <c r="C94" s="359">
        <f>[1]RONET_Input!B65</f>
        <v>63</v>
      </c>
      <c r="D94" s="397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442">
        <f>[1]RONET_Input!K65</f>
        <v>4.1708868188999999E-2</v>
      </c>
      <c r="Q94" s="398">
        <f>[1]RONET_Input!Y65</f>
        <v>2</v>
      </c>
      <c r="R94" s="398">
        <f>[1]RONET_Input!X65</f>
        <v>3.5</v>
      </c>
      <c r="S94" s="398"/>
      <c r="T94" s="398"/>
      <c r="U94" s="398">
        <f>[1]RONET_Input!AA65</f>
        <v>8</v>
      </c>
      <c r="V94" s="398">
        <f>[1]RONET_Input!AC65</f>
        <v>1</v>
      </c>
      <c r="W94" s="398">
        <f>[1]RONET_Input!AD65</f>
        <v>1</v>
      </c>
      <c r="X94" s="398">
        <f>[1]RONET_Input!AE65</f>
        <v>4</v>
      </c>
      <c r="Y94" s="398">
        <f>[1]RONET_Input!AB65</f>
        <v>1</v>
      </c>
      <c r="Z94" s="438">
        <f>[1]RONET_Input!Z65</f>
        <v>1</v>
      </c>
      <c r="AA94" s="442"/>
      <c r="AB94" s="398"/>
      <c r="AC94" s="438"/>
      <c r="AD94" s="442">
        <f>[1]RONET_Input!AH65</f>
        <v>3</v>
      </c>
      <c r="AE94" s="398">
        <f>[1]RONET_Input!D65</f>
        <v>0</v>
      </c>
      <c r="AF94" s="398"/>
      <c r="AG94" s="398"/>
      <c r="AH94" s="398"/>
      <c r="AI94" s="438"/>
      <c r="AJ94" s="442">
        <v>1</v>
      </c>
      <c r="AK94" s="442">
        <f>[1]RONET_Input!AF65</f>
        <v>4</v>
      </c>
      <c r="AL94" s="507"/>
      <c r="AM94" s="507"/>
      <c r="AN94" s="507"/>
      <c r="AO94" s="507"/>
      <c r="AP94" s="507"/>
      <c r="AQ94" s="507"/>
      <c r="AR94" s="507"/>
      <c r="AS94" s="507"/>
      <c r="AT94" s="507"/>
      <c r="AU94" s="507"/>
      <c r="AV94" s="507"/>
      <c r="AW94" s="507"/>
      <c r="AX94" s="508"/>
      <c r="AY94" s="509">
        <f>[1]RONET_Input!AG65</f>
        <v>3</v>
      </c>
      <c r="AZ94" s="359" t="s">
        <v>321</v>
      </c>
      <c r="BA94" s="360" t="s">
        <v>502</v>
      </c>
      <c r="BB94" s="360" t="s">
        <v>443</v>
      </c>
      <c r="BC94" s="510">
        <v>2.0875288528594501E-3</v>
      </c>
      <c r="BD94" s="510">
        <v>5.0050000000000004E-2</v>
      </c>
      <c r="BE94" s="438">
        <v>6</v>
      </c>
      <c r="BF94" s="511">
        <v>1.6497680793515865E-2</v>
      </c>
      <c r="BG94" s="512">
        <v>0.39554371791529086</v>
      </c>
      <c r="BH94" s="512">
        <v>7.9029713869188978</v>
      </c>
      <c r="BI94" s="513">
        <v>0</v>
      </c>
      <c r="BJ94" s="514">
        <v>375</v>
      </c>
      <c r="BK94" s="515">
        <v>0.22366666666666665</v>
      </c>
      <c r="BL94" s="512">
        <v>5.7089013333693744E-3</v>
      </c>
      <c r="BM94" s="516">
        <v>3.2054071874999999E-2</v>
      </c>
      <c r="BN94" s="517">
        <v>375</v>
      </c>
      <c r="BO94" s="518">
        <v>397.50000000000011</v>
      </c>
      <c r="BP94" s="518">
        <v>421.34999999999991</v>
      </c>
      <c r="BQ94" s="518">
        <v>446.63099999999997</v>
      </c>
      <c r="BR94" s="518">
        <v>473.42885999999999</v>
      </c>
      <c r="BS94" s="518">
        <v>501.83459160000012</v>
      </c>
      <c r="BT94" s="518">
        <v>531.9446670960001</v>
      </c>
      <c r="BU94" s="518">
        <v>563.86134712175999</v>
      </c>
      <c r="BV94" s="518">
        <v>597.69302794906582</v>
      </c>
      <c r="BW94" s="518">
        <v>633.55460962600955</v>
      </c>
      <c r="BX94" s="518">
        <v>671.56788620357008</v>
      </c>
      <c r="BY94" s="518">
        <v>711.86195937578441</v>
      </c>
      <c r="BZ94" s="518">
        <v>754.57367693833146</v>
      </c>
      <c r="CA94" s="518">
        <v>799.84809755463141</v>
      </c>
      <c r="CB94" s="518">
        <v>847.83898340790915</v>
      </c>
      <c r="CC94" s="518">
        <v>898.70932241238381</v>
      </c>
      <c r="CD94" s="518">
        <v>952.63188175712685</v>
      </c>
      <c r="CE94" s="518">
        <v>1009.7897946625544</v>
      </c>
      <c r="CF94" s="518">
        <v>1070.3771823423076</v>
      </c>
      <c r="CG94" s="519">
        <v>1134.5998132828461</v>
      </c>
      <c r="CH94" s="520">
        <v>4.5</v>
      </c>
      <c r="CI94" s="521">
        <v>4.59</v>
      </c>
      <c r="CJ94" s="521">
        <v>4.6818</v>
      </c>
      <c r="CK94" s="521">
        <v>4.775436</v>
      </c>
      <c r="CL94" s="521">
        <v>4.8709447199999998</v>
      </c>
      <c r="CM94" s="521">
        <v>2.5</v>
      </c>
      <c r="CN94" s="521">
        <v>2.5499999999999998</v>
      </c>
      <c r="CO94" s="521">
        <v>2.601</v>
      </c>
      <c r="CP94" s="521">
        <v>2.6530200000000002</v>
      </c>
      <c r="CQ94" s="521">
        <v>2.7060804000000003</v>
      </c>
      <c r="CR94" s="521">
        <v>2.7602020080000003</v>
      </c>
      <c r="CS94" s="521">
        <v>2.8154060481600003</v>
      </c>
      <c r="CT94" s="521">
        <v>2.8717141691232002</v>
      </c>
      <c r="CU94" s="521">
        <v>2.5</v>
      </c>
      <c r="CV94" s="521">
        <v>2.5499999999999998</v>
      </c>
      <c r="CW94" s="521">
        <v>2.601</v>
      </c>
      <c r="CX94" s="521">
        <v>2.6530200000000002</v>
      </c>
      <c r="CY94" s="521">
        <v>2.7060804000000003</v>
      </c>
      <c r="CZ94" s="521">
        <v>2.7602020080000003</v>
      </c>
      <c r="DA94" s="522">
        <v>2.8154060481600003</v>
      </c>
      <c r="DB94" s="523">
        <v>0</v>
      </c>
      <c r="DC94" s="524">
        <v>0</v>
      </c>
      <c r="DD94" s="524">
        <v>0</v>
      </c>
      <c r="DE94" s="524">
        <v>0</v>
      </c>
      <c r="DF94" s="524">
        <v>0</v>
      </c>
      <c r="DG94" s="524">
        <v>-1.7629193670425959E-3</v>
      </c>
      <c r="DH94" s="524">
        <v>1.5145400305363078E-4</v>
      </c>
      <c r="DI94" s="524">
        <v>1.6772984889877433E-4</v>
      </c>
      <c r="DJ94" s="524">
        <v>1.857210211342079E-4</v>
      </c>
      <c r="DK94" s="524">
        <v>2.8466293060807418E-2</v>
      </c>
      <c r="DL94" s="524">
        <v>9.9785263111612163E-6</v>
      </c>
      <c r="DM94" s="524">
        <v>8.283885365652742E-6</v>
      </c>
      <c r="DN94" s="524">
        <v>6.253867148433255E-6</v>
      </c>
      <c r="DO94" s="524">
        <v>-1.8708397744594254E-3</v>
      </c>
      <c r="DP94" s="524">
        <v>2.8773846771535869E-5</v>
      </c>
      <c r="DQ94" s="524">
        <v>2.8557988745712276E-5</v>
      </c>
      <c r="DR94" s="524">
        <v>2.8135732900423822E-5</v>
      </c>
      <c r="DS94" s="524">
        <v>3.8441736057616225E-3</v>
      </c>
      <c r="DT94" s="524">
        <v>4.6134526197654652E-5</v>
      </c>
      <c r="DU94" s="525">
        <v>4.7341765335601541E-5</v>
      </c>
      <c r="DV94" s="526">
        <v>3.5</v>
      </c>
      <c r="DW94" s="507">
        <v>1</v>
      </c>
      <c r="DX94" s="509">
        <v>4.5</v>
      </c>
      <c r="DY94" s="507">
        <v>2</v>
      </c>
      <c r="DZ94" s="507">
        <v>10</v>
      </c>
      <c r="EA94" s="507">
        <v>0</v>
      </c>
      <c r="EB94" s="507">
        <v>0</v>
      </c>
      <c r="EC94" s="507">
        <v>111.62500000000001</v>
      </c>
      <c r="ED94" s="507">
        <v>102.18750000000001</v>
      </c>
      <c r="EE94" s="507">
        <v>0</v>
      </c>
      <c r="EF94" s="507">
        <v>25.062499999999996</v>
      </c>
      <c r="EG94" s="507">
        <v>29.3125</v>
      </c>
      <c r="EH94" s="507">
        <v>12.8125</v>
      </c>
      <c r="EI94" s="507">
        <v>16.6875</v>
      </c>
      <c r="EJ94" s="507">
        <v>56.4375</v>
      </c>
      <c r="EK94" s="507">
        <v>10.4375</v>
      </c>
      <c r="EL94" s="507">
        <v>10.4375</v>
      </c>
      <c r="EM94" s="508">
        <v>375</v>
      </c>
    </row>
    <row r="95" spans="2:143" x14ac:dyDescent="0.25">
      <c r="B95" s="506" t="str">
        <f>[1]RONET_Input!J66</f>
        <v>214TT00064</v>
      </c>
      <c r="C95" s="359">
        <f>[1]RONET_Input!B66</f>
        <v>64</v>
      </c>
      <c r="D95" s="397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442">
        <f>[1]RONET_Input!K66</f>
        <v>0.99229256207700001</v>
      </c>
      <c r="Q95" s="398">
        <f>[1]RONET_Input!Y66</f>
        <v>1</v>
      </c>
      <c r="R95" s="398">
        <f>[1]RONET_Input!X66</f>
        <v>3.4</v>
      </c>
      <c r="S95" s="398"/>
      <c r="T95" s="398"/>
      <c r="U95" s="398">
        <f>[1]RONET_Input!AA66</f>
        <v>8</v>
      </c>
      <c r="V95" s="398">
        <f>[1]RONET_Input!AC66</f>
        <v>1</v>
      </c>
      <c r="W95" s="398">
        <f>[1]RONET_Input!AD66</f>
        <v>1</v>
      </c>
      <c r="X95" s="398">
        <f>[1]RONET_Input!AE66</f>
        <v>4</v>
      </c>
      <c r="Y95" s="398">
        <f>[1]RONET_Input!AB66</f>
        <v>1</v>
      </c>
      <c r="Z95" s="438">
        <f>[1]RONET_Input!Z66</f>
        <v>1</v>
      </c>
      <c r="AA95" s="442"/>
      <c r="AB95" s="398"/>
      <c r="AC95" s="438"/>
      <c r="AD95" s="442">
        <f>[1]RONET_Input!AH66</f>
        <v>4</v>
      </c>
      <c r="AE95" s="398">
        <f>[1]RONET_Input!D66</f>
        <v>8.3800000000000008</v>
      </c>
      <c r="AF95" s="398"/>
      <c r="AG95" s="398"/>
      <c r="AH95" s="398"/>
      <c r="AI95" s="438"/>
      <c r="AJ95" s="442">
        <v>1</v>
      </c>
      <c r="AK95" s="442">
        <f>[1]RONET_Input!AF66</f>
        <v>4</v>
      </c>
      <c r="AL95" s="507"/>
      <c r="AM95" s="507"/>
      <c r="AN95" s="507"/>
      <c r="AO95" s="507"/>
      <c r="AP95" s="507"/>
      <c r="AQ95" s="507"/>
      <c r="AR95" s="507"/>
      <c r="AS95" s="507"/>
      <c r="AT95" s="507"/>
      <c r="AU95" s="507"/>
      <c r="AV95" s="507"/>
      <c r="AW95" s="507"/>
      <c r="AX95" s="508"/>
      <c r="AY95" s="509">
        <f>[1]RONET_Input!AG66</f>
        <v>3</v>
      </c>
      <c r="AZ95" s="359" t="s">
        <v>321</v>
      </c>
      <c r="BA95" s="360" t="s">
        <v>502</v>
      </c>
      <c r="BB95" s="360" t="s">
        <v>443</v>
      </c>
      <c r="BC95" s="510">
        <v>4.8245264368183743E-2</v>
      </c>
      <c r="BD95" s="510">
        <v>4.8620000000000003E-2</v>
      </c>
      <c r="BE95" s="438">
        <v>5</v>
      </c>
      <c r="BF95" s="511">
        <v>0.45642189205219968</v>
      </c>
      <c r="BG95" s="512">
        <v>0.45996705961077455</v>
      </c>
      <c r="BH95" s="512">
        <v>9.4604496012088557</v>
      </c>
      <c r="BI95" s="513">
        <v>0</v>
      </c>
      <c r="BJ95" s="514">
        <v>375</v>
      </c>
      <c r="BK95" s="515">
        <v>0.22366666666666665</v>
      </c>
      <c r="BL95" s="512">
        <v>0.13582004443428938</v>
      </c>
      <c r="BM95" s="516">
        <v>6.4108143749999999E-2</v>
      </c>
      <c r="BN95" s="517">
        <v>375</v>
      </c>
      <c r="BO95" s="518">
        <v>397.50000000000011</v>
      </c>
      <c r="BP95" s="518">
        <v>421.34999999999991</v>
      </c>
      <c r="BQ95" s="518">
        <v>446.63099999999997</v>
      </c>
      <c r="BR95" s="518">
        <v>473.42885999999999</v>
      </c>
      <c r="BS95" s="518">
        <v>501.83459160000012</v>
      </c>
      <c r="BT95" s="518">
        <v>531.9446670960001</v>
      </c>
      <c r="BU95" s="518">
        <v>563.86134712175999</v>
      </c>
      <c r="BV95" s="518">
        <v>597.69302794906582</v>
      </c>
      <c r="BW95" s="518">
        <v>633.55460962600955</v>
      </c>
      <c r="BX95" s="518">
        <v>671.56788620357008</v>
      </c>
      <c r="BY95" s="518">
        <v>711.86195937578441</v>
      </c>
      <c r="BZ95" s="518">
        <v>754.57367693833146</v>
      </c>
      <c r="CA95" s="518">
        <v>799.84809755463141</v>
      </c>
      <c r="CB95" s="518">
        <v>847.83898340790915</v>
      </c>
      <c r="CC95" s="518">
        <v>898.70932241238381</v>
      </c>
      <c r="CD95" s="518">
        <v>952.63188175712685</v>
      </c>
      <c r="CE95" s="518">
        <v>1009.7897946625544</v>
      </c>
      <c r="CF95" s="518">
        <v>1070.3771823423076</v>
      </c>
      <c r="CG95" s="519">
        <v>1134.5998132828461</v>
      </c>
      <c r="CH95" s="520">
        <v>8.3800000000000008</v>
      </c>
      <c r="CI95" s="521">
        <v>8.547600000000001</v>
      </c>
      <c r="CJ95" s="521">
        <v>8.7185520000000007</v>
      </c>
      <c r="CK95" s="521">
        <v>8.8929230400000012</v>
      </c>
      <c r="CL95" s="521">
        <v>2.5</v>
      </c>
      <c r="CM95" s="521">
        <v>2.5499999999999998</v>
      </c>
      <c r="CN95" s="521">
        <v>2.601</v>
      </c>
      <c r="CO95" s="521">
        <v>2.6530200000000002</v>
      </c>
      <c r="CP95" s="521">
        <v>2.7060804000000003</v>
      </c>
      <c r="CQ95" s="521">
        <v>2.7602020080000003</v>
      </c>
      <c r="CR95" s="521">
        <v>2.8154060481600003</v>
      </c>
      <c r="CS95" s="521">
        <v>2.8717141691232002</v>
      </c>
      <c r="CT95" s="521">
        <v>2.5</v>
      </c>
      <c r="CU95" s="521">
        <v>2.5499999999999998</v>
      </c>
      <c r="CV95" s="521">
        <v>2.601</v>
      </c>
      <c r="CW95" s="521">
        <v>2.6530200000000002</v>
      </c>
      <c r="CX95" s="521">
        <v>2.7060804000000003</v>
      </c>
      <c r="CY95" s="521">
        <v>2.7602020080000003</v>
      </c>
      <c r="CZ95" s="521">
        <v>2.8154060481600003</v>
      </c>
      <c r="DA95" s="522">
        <v>2.8717141691232002</v>
      </c>
      <c r="DB95" s="523">
        <v>0</v>
      </c>
      <c r="DC95" s="524">
        <v>0</v>
      </c>
      <c r="DD95" s="524">
        <v>0</v>
      </c>
      <c r="DE95" s="524">
        <v>0</v>
      </c>
      <c r="DF95" s="524">
        <v>-2.9699684398781082E-2</v>
      </c>
      <c r="DG95" s="524">
        <v>1.5648800448127609E-2</v>
      </c>
      <c r="DH95" s="524">
        <v>1.7240404895542072E-2</v>
      </c>
      <c r="DI95" s="524">
        <v>1.899308989638486E-2</v>
      </c>
      <c r="DJ95" s="524">
        <v>2.09231138490278E-2</v>
      </c>
      <c r="DK95" s="524">
        <v>0.67993868318672401</v>
      </c>
      <c r="DL95" s="524">
        <v>2.972429282515357E-3</v>
      </c>
      <c r="DM95" s="524">
        <v>2.9686057370791469E-3</v>
      </c>
      <c r="DN95" s="524">
        <v>-4.0256468525804251E-2</v>
      </c>
      <c r="DO95" s="524">
        <v>3.6997944774830593E-3</v>
      </c>
      <c r="DP95" s="524">
        <v>3.7506755535816061E-3</v>
      </c>
      <c r="DQ95" s="524">
        <v>3.7987285195816844E-3</v>
      </c>
      <c r="DR95" s="524">
        <v>3.8432308242256352E-3</v>
      </c>
      <c r="DS95" s="524">
        <v>9.4686143940957007E-2</v>
      </c>
      <c r="DT95" s="524">
        <v>4.3843335400449157E-3</v>
      </c>
      <c r="DU95" s="525">
        <v>4.4712200193461338E-3</v>
      </c>
      <c r="DV95" s="526">
        <v>3.4</v>
      </c>
      <c r="DW95" s="507">
        <v>1</v>
      </c>
      <c r="DX95" s="509">
        <v>8.3800000000000008</v>
      </c>
      <c r="DY95" s="507">
        <v>2</v>
      </c>
      <c r="DZ95" s="507">
        <v>15</v>
      </c>
      <c r="EA95" s="507">
        <v>0</v>
      </c>
      <c r="EB95" s="507">
        <v>0</v>
      </c>
      <c r="EC95" s="507">
        <v>111.62500000000001</v>
      </c>
      <c r="ED95" s="507">
        <v>102.18750000000001</v>
      </c>
      <c r="EE95" s="507">
        <v>0</v>
      </c>
      <c r="EF95" s="507">
        <v>25.062499999999996</v>
      </c>
      <c r="EG95" s="507">
        <v>29.3125</v>
      </c>
      <c r="EH95" s="507">
        <v>12.8125</v>
      </c>
      <c r="EI95" s="507">
        <v>16.6875</v>
      </c>
      <c r="EJ95" s="507">
        <v>56.4375</v>
      </c>
      <c r="EK95" s="507">
        <v>10.4375</v>
      </c>
      <c r="EL95" s="507">
        <v>10.4375</v>
      </c>
      <c r="EM95" s="508">
        <v>375</v>
      </c>
    </row>
    <row r="96" spans="2:143" x14ac:dyDescent="0.25">
      <c r="B96" s="506" t="str">
        <f>[1]RONET_Input!J67</f>
        <v xml:space="preserve">Input VPROMMS: 212th00038 (50.0 pct); QL45_1 (50.0 pct); </v>
      </c>
      <c r="C96" s="359">
        <f>[1]RONET_Input!B67</f>
        <v>65</v>
      </c>
      <c r="D96" s="397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442">
        <f>[1]RONET_Input!K67</f>
        <v>0.69774067649299998</v>
      </c>
      <c r="Q96" s="398">
        <f>[1]RONET_Input!Y67</f>
        <v>2</v>
      </c>
      <c r="R96" s="398">
        <f>[1]RONET_Input!X67</f>
        <v>3.5</v>
      </c>
      <c r="S96" s="398"/>
      <c r="T96" s="398"/>
      <c r="U96" s="398">
        <f>[1]RONET_Input!AA67</f>
        <v>8</v>
      </c>
      <c r="V96" s="398">
        <f>[1]RONET_Input!AC67</f>
        <v>1</v>
      </c>
      <c r="W96" s="398">
        <f>[1]RONET_Input!AD67</f>
        <v>1</v>
      </c>
      <c r="X96" s="398">
        <f>[1]RONET_Input!AE67</f>
        <v>4</v>
      </c>
      <c r="Y96" s="398">
        <f>[1]RONET_Input!AB67</f>
        <v>1</v>
      </c>
      <c r="Z96" s="438">
        <f>[1]RONET_Input!Z67</f>
        <v>1</v>
      </c>
      <c r="AA96" s="442"/>
      <c r="AB96" s="398"/>
      <c r="AC96" s="438"/>
      <c r="AD96" s="442">
        <f>[1]RONET_Input!AH67</f>
        <v>4</v>
      </c>
      <c r="AE96" s="398">
        <f>[1]RONET_Input!D67</f>
        <v>9.4049999999999994</v>
      </c>
      <c r="AF96" s="398"/>
      <c r="AG96" s="398"/>
      <c r="AH96" s="398"/>
      <c r="AI96" s="438"/>
      <c r="AJ96" s="442">
        <v>1</v>
      </c>
      <c r="AK96" s="442">
        <f>[1]RONET_Input!AF67</f>
        <v>4</v>
      </c>
      <c r="AL96" s="507"/>
      <c r="AM96" s="507"/>
      <c r="AN96" s="507"/>
      <c r="AO96" s="507"/>
      <c r="AP96" s="507"/>
      <c r="AQ96" s="507"/>
      <c r="AR96" s="507"/>
      <c r="AS96" s="507"/>
      <c r="AT96" s="507"/>
      <c r="AU96" s="507"/>
      <c r="AV96" s="507"/>
      <c r="AW96" s="507"/>
      <c r="AX96" s="508"/>
      <c r="AY96" s="509">
        <f>[1]RONET_Input!AG67</f>
        <v>3</v>
      </c>
      <c r="AZ96" s="359" t="s">
        <v>321</v>
      </c>
      <c r="BA96" s="360" t="s">
        <v>502</v>
      </c>
      <c r="BB96" s="360" t="s">
        <v>443</v>
      </c>
      <c r="BC96" s="510">
        <v>3.4921920858474648E-2</v>
      </c>
      <c r="BD96" s="510">
        <v>5.0049999999999997E-2</v>
      </c>
      <c r="BE96" s="438">
        <v>5</v>
      </c>
      <c r="BF96" s="511">
        <v>0.31831903763155955</v>
      </c>
      <c r="BG96" s="512">
        <v>0.45621396079629745</v>
      </c>
      <c r="BH96" s="512">
        <v>9.1151640518740749</v>
      </c>
      <c r="BI96" s="513">
        <v>0</v>
      </c>
      <c r="BJ96" s="514">
        <v>375</v>
      </c>
      <c r="BK96" s="515">
        <v>0.22366666666666665</v>
      </c>
      <c r="BL96" s="512">
        <v>9.5503255094979367E-2</v>
      </c>
      <c r="BM96" s="516">
        <v>3.2054071874999999E-2</v>
      </c>
      <c r="BN96" s="517">
        <v>375</v>
      </c>
      <c r="BO96" s="518">
        <v>397.50000000000011</v>
      </c>
      <c r="BP96" s="518">
        <v>421.34999999999991</v>
      </c>
      <c r="BQ96" s="518">
        <v>446.63099999999997</v>
      </c>
      <c r="BR96" s="518">
        <v>473.42885999999999</v>
      </c>
      <c r="BS96" s="518">
        <v>501.83459160000012</v>
      </c>
      <c r="BT96" s="518">
        <v>531.9446670960001</v>
      </c>
      <c r="BU96" s="518">
        <v>563.86134712175999</v>
      </c>
      <c r="BV96" s="518">
        <v>597.69302794906582</v>
      </c>
      <c r="BW96" s="518">
        <v>633.55460962600955</v>
      </c>
      <c r="BX96" s="518">
        <v>671.56788620357008</v>
      </c>
      <c r="BY96" s="518">
        <v>711.86195937578441</v>
      </c>
      <c r="BZ96" s="518">
        <v>754.57367693833146</v>
      </c>
      <c r="CA96" s="518">
        <v>799.84809755463141</v>
      </c>
      <c r="CB96" s="518">
        <v>847.83898340790915</v>
      </c>
      <c r="CC96" s="518">
        <v>898.70932241238381</v>
      </c>
      <c r="CD96" s="518">
        <v>952.63188175712685</v>
      </c>
      <c r="CE96" s="518">
        <v>1009.7897946625544</v>
      </c>
      <c r="CF96" s="518">
        <v>1070.3771823423076</v>
      </c>
      <c r="CG96" s="519">
        <v>1134.5998132828461</v>
      </c>
      <c r="CH96" s="520">
        <v>9.4049999999999994</v>
      </c>
      <c r="CI96" s="521">
        <v>9.5930999999999997</v>
      </c>
      <c r="CJ96" s="521">
        <v>9.7849620000000002</v>
      </c>
      <c r="CK96" s="521">
        <v>9.9806612399999999</v>
      </c>
      <c r="CL96" s="521">
        <v>2.5</v>
      </c>
      <c r="CM96" s="521">
        <v>2.5499999999999998</v>
      </c>
      <c r="CN96" s="521">
        <v>2.601</v>
      </c>
      <c r="CO96" s="521">
        <v>2.6530200000000002</v>
      </c>
      <c r="CP96" s="521">
        <v>2.7060804000000003</v>
      </c>
      <c r="CQ96" s="521">
        <v>2.7602020080000003</v>
      </c>
      <c r="CR96" s="521">
        <v>2.8154060481600003</v>
      </c>
      <c r="CS96" s="521">
        <v>2.8717141691232002</v>
      </c>
      <c r="CT96" s="521">
        <v>2.5</v>
      </c>
      <c r="CU96" s="521">
        <v>2.5499999999999998</v>
      </c>
      <c r="CV96" s="521">
        <v>2.601</v>
      </c>
      <c r="CW96" s="521">
        <v>2.6530200000000002</v>
      </c>
      <c r="CX96" s="521">
        <v>2.7060804000000003</v>
      </c>
      <c r="CY96" s="521">
        <v>2.7602020080000003</v>
      </c>
      <c r="CZ96" s="521">
        <v>2.8154060481600003</v>
      </c>
      <c r="DA96" s="522">
        <v>2.8717141691232002</v>
      </c>
      <c r="DB96" s="523">
        <v>0</v>
      </c>
      <c r="DC96" s="524">
        <v>0</v>
      </c>
      <c r="DD96" s="524">
        <v>0</v>
      </c>
      <c r="DE96" s="524">
        <v>0</v>
      </c>
      <c r="DF96" s="524">
        <v>-1.968491401510182E-2</v>
      </c>
      <c r="DG96" s="524">
        <v>1.3352455441882544E-2</v>
      </c>
      <c r="DH96" s="524">
        <v>1.4740743301735276E-2</v>
      </c>
      <c r="DI96" s="524">
        <v>1.6272209322636066E-2</v>
      </c>
      <c r="DJ96" s="524">
        <v>1.7961511330328694E-2</v>
      </c>
      <c r="DK96" s="524">
        <v>0.47616571250649975</v>
      </c>
      <c r="DL96" s="524">
        <v>1.2006860179733514E-4</v>
      </c>
      <c r="DM96" s="524">
        <v>8.6487208446589525E-5</v>
      </c>
      <c r="DN96" s="524">
        <v>-3.1338195499269236E-2</v>
      </c>
      <c r="DO96" s="524">
        <v>4.3820557397396265E-4</v>
      </c>
      <c r="DP96" s="524">
        <v>4.3260515167457825E-4</v>
      </c>
      <c r="DQ96" s="524">
        <v>4.2347879844345515E-4</v>
      </c>
      <c r="DR96" s="524">
        <v>4.1029701906269977E-4</v>
      </c>
      <c r="DS96" s="524">
        <v>6.4241371198429292E-2</v>
      </c>
      <c r="DT96" s="524">
        <v>6.9708825888112336E-4</v>
      </c>
      <c r="DU96" s="525">
        <v>7.089449017742E-4</v>
      </c>
      <c r="DV96" s="526">
        <v>3.5</v>
      </c>
      <c r="DW96" s="507">
        <v>1</v>
      </c>
      <c r="DX96" s="509">
        <v>9.4049999999999994</v>
      </c>
      <c r="DY96" s="507">
        <v>2</v>
      </c>
      <c r="DZ96" s="507">
        <v>15</v>
      </c>
      <c r="EA96" s="507">
        <v>0</v>
      </c>
      <c r="EB96" s="507">
        <v>0</v>
      </c>
      <c r="EC96" s="507">
        <v>111.62500000000001</v>
      </c>
      <c r="ED96" s="507">
        <v>102.18750000000001</v>
      </c>
      <c r="EE96" s="507">
        <v>0</v>
      </c>
      <c r="EF96" s="507">
        <v>25.062499999999996</v>
      </c>
      <c r="EG96" s="507">
        <v>29.3125</v>
      </c>
      <c r="EH96" s="507">
        <v>12.8125</v>
      </c>
      <c r="EI96" s="507">
        <v>16.6875</v>
      </c>
      <c r="EJ96" s="507">
        <v>56.4375</v>
      </c>
      <c r="EK96" s="507">
        <v>10.4375</v>
      </c>
      <c r="EL96" s="507">
        <v>10.4375</v>
      </c>
      <c r="EM96" s="508">
        <v>375</v>
      </c>
    </row>
    <row r="97" spans="2:143" x14ac:dyDescent="0.25">
      <c r="B97" s="506" t="str">
        <f>[1]RONET_Input!J68</f>
        <v xml:space="preserve">Input VPROMMS: 212th00038 (50.0 pct); QL45_1 (50.0 pct); </v>
      </c>
      <c r="C97" s="359">
        <f>[1]RONET_Input!B68</f>
        <v>66</v>
      </c>
      <c r="D97" s="397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442">
        <f>[1]RONET_Input!K68</f>
        <v>1.3232032030600001</v>
      </c>
      <c r="Q97" s="398">
        <f>[1]RONET_Input!Y68</f>
        <v>2</v>
      </c>
      <c r="R97" s="398">
        <f>[1]RONET_Input!X68</f>
        <v>3.5</v>
      </c>
      <c r="S97" s="398"/>
      <c r="T97" s="398"/>
      <c r="U97" s="398">
        <f>[1]RONET_Input!AA68</f>
        <v>8</v>
      </c>
      <c r="V97" s="398">
        <f>[1]RONET_Input!AC68</f>
        <v>1</v>
      </c>
      <c r="W97" s="398">
        <f>[1]RONET_Input!AD68</f>
        <v>1</v>
      </c>
      <c r="X97" s="398">
        <f>[1]RONET_Input!AE68</f>
        <v>4</v>
      </c>
      <c r="Y97" s="398">
        <f>[1]RONET_Input!AB68</f>
        <v>1</v>
      </c>
      <c r="Z97" s="438">
        <f>[1]RONET_Input!Z68</f>
        <v>1</v>
      </c>
      <c r="AA97" s="442"/>
      <c r="AB97" s="398"/>
      <c r="AC97" s="438"/>
      <c r="AD97" s="442">
        <f>[1]RONET_Input!AH68</f>
        <v>4</v>
      </c>
      <c r="AE97" s="398">
        <f>[1]RONET_Input!D68</f>
        <v>10.199999999999999</v>
      </c>
      <c r="AF97" s="398"/>
      <c r="AG97" s="398"/>
      <c r="AH97" s="398"/>
      <c r="AI97" s="438"/>
      <c r="AJ97" s="442">
        <v>1</v>
      </c>
      <c r="AK97" s="442">
        <f>[1]RONET_Input!AF68</f>
        <v>4</v>
      </c>
      <c r="AL97" s="507"/>
      <c r="AM97" s="507"/>
      <c r="AN97" s="507"/>
      <c r="AO97" s="507"/>
      <c r="AP97" s="507"/>
      <c r="AQ97" s="507"/>
      <c r="AR97" s="507"/>
      <c r="AS97" s="507"/>
      <c r="AT97" s="507"/>
      <c r="AU97" s="507"/>
      <c r="AV97" s="507"/>
      <c r="AW97" s="507"/>
      <c r="AX97" s="508"/>
      <c r="AY97" s="509">
        <f>[1]RONET_Input!AG68</f>
        <v>3</v>
      </c>
      <c r="AZ97" s="359" t="s">
        <v>321</v>
      </c>
      <c r="BA97" s="360" t="s">
        <v>502</v>
      </c>
      <c r="BB97" s="360" t="s">
        <v>443</v>
      </c>
      <c r="BC97" s="510">
        <v>6.6226320313153009E-2</v>
      </c>
      <c r="BD97" s="510">
        <v>5.0050000000000004E-2</v>
      </c>
      <c r="BE97" s="438">
        <v>5</v>
      </c>
      <c r="BF97" s="511">
        <v>0.62241102858669706</v>
      </c>
      <c r="BG97" s="512">
        <v>0.47038204498547764</v>
      </c>
      <c r="BH97" s="512">
        <v>9.3982426570524993</v>
      </c>
      <c r="BI97" s="513">
        <v>0</v>
      </c>
      <c r="BJ97" s="514">
        <v>375</v>
      </c>
      <c r="BK97" s="515">
        <v>0.22366666666666665</v>
      </c>
      <c r="BL97" s="512">
        <v>0.18111343841883754</v>
      </c>
      <c r="BM97" s="516">
        <v>3.2054071874999999E-2</v>
      </c>
      <c r="BN97" s="517">
        <v>375</v>
      </c>
      <c r="BO97" s="518">
        <v>397.50000000000011</v>
      </c>
      <c r="BP97" s="518">
        <v>421.34999999999991</v>
      </c>
      <c r="BQ97" s="518">
        <v>446.63099999999997</v>
      </c>
      <c r="BR97" s="518">
        <v>473.42885999999999</v>
      </c>
      <c r="BS97" s="518">
        <v>501.83459160000012</v>
      </c>
      <c r="BT97" s="518">
        <v>531.9446670960001</v>
      </c>
      <c r="BU97" s="518">
        <v>563.86134712175999</v>
      </c>
      <c r="BV97" s="518">
        <v>597.69302794906582</v>
      </c>
      <c r="BW97" s="518">
        <v>633.55460962600955</v>
      </c>
      <c r="BX97" s="518">
        <v>671.56788620357008</v>
      </c>
      <c r="BY97" s="518">
        <v>711.86195937578441</v>
      </c>
      <c r="BZ97" s="518">
        <v>754.57367693833146</v>
      </c>
      <c r="CA97" s="518">
        <v>799.84809755463141</v>
      </c>
      <c r="CB97" s="518">
        <v>847.83898340790915</v>
      </c>
      <c r="CC97" s="518">
        <v>898.70932241238381</v>
      </c>
      <c r="CD97" s="518">
        <v>952.63188175712685</v>
      </c>
      <c r="CE97" s="518">
        <v>1009.7897946625544</v>
      </c>
      <c r="CF97" s="518">
        <v>1070.3771823423076</v>
      </c>
      <c r="CG97" s="519">
        <v>1134.5998132828461</v>
      </c>
      <c r="CH97" s="520">
        <v>10.199999999999999</v>
      </c>
      <c r="CI97" s="521">
        <v>10.404</v>
      </c>
      <c r="CJ97" s="521">
        <v>10.612080000000001</v>
      </c>
      <c r="CK97" s="521">
        <v>10.824321600000001</v>
      </c>
      <c r="CL97" s="521">
        <v>2.5</v>
      </c>
      <c r="CM97" s="521">
        <v>2.5499999999999998</v>
      </c>
      <c r="CN97" s="521">
        <v>2.601</v>
      </c>
      <c r="CO97" s="521">
        <v>2.6530200000000002</v>
      </c>
      <c r="CP97" s="521">
        <v>2.7060804000000003</v>
      </c>
      <c r="CQ97" s="521">
        <v>2.7602020080000003</v>
      </c>
      <c r="CR97" s="521">
        <v>2.8154060481600003</v>
      </c>
      <c r="CS97" s="521">
        <v>2.8717141691232002</v>
      </c>
      <c r="CT97" s="521">
        <v>2.5</v>
      </c>
      <c r="CU97" s="521">
        <v>2.5499999999999998</v>
      </c>
      <c r="CV97" s="521">
        <v>2.601</v>
      </c>
      <c r="CW97" s="521">
        <v>2.6530200000000002</v>
      </c>
      <c r="CX97" s="521">
        <v>2.7060804000000003</v>
      </c>
      <c r="CY97" s="521">
        <v>2.7602020080000003</v>
      </c>
      <c r="CZ97" s="521">
        <v>2.8154060481600003</v>
      </c>
      <c r="DA97" s="522">
        <v>2.8717141691232002</v>
      </c>
      <c r="DB97" s="523">
        <v>0</v>
      </c>
      <c r="DC97" s="524">
        <v>0</v>
      </c>
      <c r="DD97" s="524">
        <v>0</v>
      </c>
      <c r="DE97" s="524">
        <v>0</v>
      </c>
      <c r="DF97" s="524">
        <v>-3.2960811133772194E-2</v>
      </c>
      <c r="DG97" s="524">
        <v>3.0139477097251982E-2</v>
      </c>
      <c r="DH97" s="524">
        <v>3.3265571188537638E-2</v>
      </c>
      <c r="DI97" s="524">
        <v>3.6713117724596206E-2</v>
      </c>
      <c r="DJ97" s="524">
        <v>4.0514732397311515E-2</v>
      </c>
      <c r="DK97" s="524">
        <v>0.9030059694137218</v>
      </c>
      <c r="DL97" s="524">
        <v>2.2769943596198661E-4</v>
      </c>
      <c r="DM97" s="524">
        <v>1.6401530696968925E-4</v>
      </c>
      <c r="DN97" s="524">
        <v>-5.9430103561075004E-2</v>
      </c>
      <c r="DO97" s="524">
        <v>8.3101793920842271E-4</v>
      </c>
      <c r="DP97" s="524">
        <v>8.203972358802325E-4</v>
      </c>
      <c r="DQ97" s="524">
        <v>8.0308991779698413E-4</v>
      </c>
      <c r="DR97" s="524">
        <v>7.7809184432028888E-4</v>
      </c>
      <c r="DS97" s="524">
        <v>0.12182805303250924</v>
      </c>
      <c r="DT97" s="524">
        <v>1.321965951022297E-3</v>
      </c>
      <c r="DU97" s="525">
        <v>1.3444510208802107E-3</v>
      </c>
      <c r="DV97" s="526">
        <v>3.5</v>
      </c>
      <c r="DW97" s="507">
        <v>1</v>
      </c>
      <c r="DX97" s="509">
        <v>10.199999999999999</v>
      </c>
      <c r="DY97" s="507">
        <v>2</v>
      </c>
      <c r="DZ97" s="507">
        <v>15</v>
      </c>
      <c r="EA97" s="507">
        <v>0</v>
      </c>
      <c r="EB97" s="507">
        <v>0</v>
      </c>
      <c r="EC97" s="507">
        <v>111.62500000000001</v>
      </c>
      <c r="ED97" s="507">
        <v>102.18750000000001</v>
      </c>
      <c r="EE97" s="507">
        <v>0</v>
      </c>
      <c r="EF97" s="507">
        <v>25.062499999999996</v>
      </c>
      <c r="EG97" s="507">
        <v>29.3125</v>
      </c>
      <c r="EH97" s="507">
        <v>12.8125</v>
      </c>
      <c r="EI97" s="507">
        <v>16.6875</v>
      </c>
      <c r="EJ97" s="507">
        <v>56.4375</v>
      </c>
      <c r="EK97" s="507">
        <v>10.4375</v>
      </c>
      <c r="EL97" s="507">
        <v>10.4375</v>
      </c>
      <c r="EM97" s="508">
        <v>375</v>
      </c>
    </row>
    <row r="98" spans="2:143" x14ac:dyDescent="0.25">
      <c r="B98" s="506" t="str">
        <f>[1]RONET_Input!J69</f>
        <v xml:space="preserve">Input VPROMMS: 212th00038 (46.67 pct); QL45_1 (46.67 pct); 214TT00064 (6.67 pct); </v>
      </c>
      <c r="C98" s="359">
        <f>[1]RONET_Input!B69</f>
        <v>67</v>
      </c>
      <c r="D98" s="397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442">
        <f>[1]RONET_Input!K69</f>
        <v>0.26476407457099999</v>
      </c>
      <c r="Q98" s="398">
        <f>[1]RONET_Input!Y69</f>
        <v>2</v>
      </c>
      <c r="R98" s="398">
        <f>[1]RONET_Input!X69</f>
        <v>3.5</v>
      </c>
      <c r="S98" s="398"/>
      <c r="T98" s="398"/>
      <c r="U98" s="398">
        <f>[1]RONET_Input!AA69</f>
        <v>8</v>
      </c>
      <c r="V98" s="398">
        <f>[1]RONET_Input!AC69</f>
        <v>1</v>
      </c>
      <c r="W98" s="398">
        <f>[1]RONET_Input!AD69</f>
        <v>1</v>
      </c>
      <c r="X98" s="398">
        <f>[1]RONET_Input!AE69</f>
        <v>4</v>
      </c>
      <c r="Y98" s="398">
        <f>[1]RONET_Input!AB69</f>
        <v>1</v>
      </c>
      <c r="Z98" s="438">
        <f>[1]RONET_Input!Z69</f>
        <v>1</v>
      </c>
      <c r="AA98" s="442"/>
      <c r="AB98" s="398"/>
      <c r="AC98" s="438"/>
      <c r="AD98" s="442">
        <f>[1]RONET_Input!AH69</f>
        <v>4</v>
      </c>
      <c r="AE98" s="398">
        <f>[1]RONET_Input!D69</f>
        <v>10.23</v>
      </c>
      <c r="AF98" s="398"/>
      <c r="AG98" s="398"/>
      <c r="AH98" s="398"/>
      <c r="AI98" s="438"/>
      <c r="AJ98" s="442">
        <v>1</v>
      </c>
      <c r="AK98" s="442">
        <f>[1]RONET_Input!AF69</f>
        <v>4</v>
      </c>
      <c r="AL98" s="507"/>
      <c r="AM98" s="507"/>
      <c r="AN98" s="507"/>
      <c r="AO98" s="507"/>
      <c r="AP98" s="507"/>
      <c r="AQ98" s="507"/>
      <c r="AR98" s="507"/>
      <c r="AS98" s="507"/>
      <c r="AT98" s="507"/>
      <c r="AU98" s="507"/>
      <c r="AV98" s="507"/>
      <c r="AW98" s="507"/>
      <c r="AX98" s="508"/>
      <c r="AY98" s="509">
        <f>[1]RONET_Input!AG69</f>
        <v>3</v>
      </c>
      <c r="AZ98" s="359" t="s">
        <v>321</v>
      </c>
      <c r="BA98" s="360" t="s">
        <v>502</v>
      </c>
      <c r="BB98" s="360" t="s">
        <v>443</v>
      </c>
      <c r="BC98" s="510">
        <v>1.3251441932278549E-2</v>
      </c>
      <c r="BD98" s="510">
        <v>5.0049999999999997E-2</v>
      </c>
      <c r="BE98" s="438">
        <v>5</v>
      </c>
      <c r="BF98" s="511">
        <v>0.12468761403509993</v>
      </c>
      <c r="BG98" s="512">
        <v>0.47093856761772751</v>
      </c>
      <c r="BH98" s="512">
        <v>9.4093619903641859</v>
      </c>
      <c r="BI98" s="513">
        <v>0</v>
      </c>
      <c r="BJ98" s="514">
        <v>375</v>
      </c>
      <c r="BK98" s="515">
        <v>0.22366666666666665</v>
      </c>
      <c r="BL98" s="512">
        <v>3.6239582706905631E-2</v>
      </c>
      <c r="BM98" s="516">
        <v>3.2054071874999999E-2</v>
      </c>
      <c r="BN98" s="517">
        <v>375</v>
      </c>
      <c r="BO98" s="518">
        <v>397.50000000000011</v>
      </c>
      <c r="BP98" s="518">
        <v>421.34999999999991</v>
      </c>
      <c r="BQ98" s="518">
        <v>446.63099999999997</v>
      </c>
      <c r="BR98" s="518">
        <v>473.42885999999999</v>
      </c>
      <c r="BS98" s="518">
        <v>501.83459160000012</v>
      </c>
      <c r="BT98" s="518">
        <v>531.9446670960001</v>
      </c>
      <c r="BU98" s="518">
        <v>563.86134712175999</v>
      </c>
      <c r="BV98" s="518">
        <v>597.69302794906582</v>
      </c>
      <c r="BW98" s="518">
        <v>633.55460962600955</v>
      </c>
      <c r="BX98" s="518">
        <v>671.56788620357008</v>
      </c>
      <c r="BY98" s="518">
        <v>711.86195937578441</v>
      </c>
      <c r="BZ98" s="518">
        <v>754.57367693833146</v>
      </c>
      <c r="CA98" s="518">
        <v>799.84809755463141</v>
      </c>
      <c r="CB98" s="518">
        <v>847.83898340790915</v>
      </c>
      <c r="CC98" s="518">
        <v>898.70932241238381</v>
      </c>
      <c r="CD98" s="518">
        <v>952.63188175712685</v>
      </c>
      <c r="CE98" s="518">
        <v>1009.7897946625544</v>
      </c>
      <c r="CF98" s="518">
        <v>1070.3771823423076</v>
      </c>
      <c r="CG98" s="519">
        <v>1134.5998132828461</v>
      </c>
      <c r="CH98" s="520">
        <v>10.23</v>
      </c>
      <c r="CI98" s="521">
        <v>10.4346</v>
      </c>
      <c r="CJ98" s="521">
        <v>10.643291999999999</v>
      </c>
      <c r="CK98" s="521">
        <v>10.856157839999998</v>
      </c>
      <c r="CL98" s="521">
        <v>2.5</v>
      </c>
      <c r="CM98" s="521">
        <v>2.5499999999999998</v>
      </c>
      <c r="CN98" s="521">
        <v>2.601</v>
      </c>
      <c r="CO98" s="521">
        <v>2.6530200000000002</v>
      </c>
      <c r="CP98" s="521">
        <v>2.7060804000000003</v>
      </c>
      <c r="CQ98" s="521">
        <v>2.7602020080000003</v>
      </c>
      <c r="CR98" s="521">
        <v>2.8154060481600003</v>
      </c>
      <c r="CS98" s="521">
        <v>2.8717141691232002</v>
      </c>
      <c r="CT98" s="521">
        <v>2.5</v>
      </c>
      <c r="CU98" s="521">
        <v>2.5499999999999998</v>
      </c>
      <c r="CV98" s="521">
        <v>2.601</v>
      </c>
      <c r="CW98" s="521">
        <v>2.6530200000000002</v>
      </c>
      <c r="CX98" s="521">
        <v>2.7060804000000003</v>
      </c>
      <c r="CY98" s="521">
        <v>2.7602020080000003</v>
      </c>
      <c r="CZ98" s="521">
        <v>2.8154060481600003</v>
      </c>
      <c r="DA98" s="522">
        <v>2.8717141691232002</v>
      </c>
      <c r="DB98" s="523">
        <v>0</v>
      </c>
      <c r="DC98" s="524">
        <v>0</v>
      </c>
      <c r="DD98" s="524">
        <v>0</v>
      </c>
      <c r="DE98" s="524">
        <v>0</v>
      </c>
      <c r="DF98" s="524">
        <v>-6.5608753002925173E-3</v>
      </c>
      <c r="DG98" s="524">
        <v>6.0685837939689277E-3</v>
      </c>
      <c r="DH98" s="524">
        <v>6.6979638098218566E-3</v>
      </c>
      <c r="DI98" s="524">
        <v>7.3920523486166595E-3</v>
      </c>
      <c r="DJ98" s="524">
        <v>8.1574116345467795E-3</v>
      </c>
      <c r="DK98" s="524">
        <v>0.18068543007681312</v>
      </c>
      <c r="DL98" s="524">
        <v>4.5561127953282904E-5</v>
      </c>
      <c r="DM98" s="524">
        <v>3.2818361431478926E-5</v>
      </c>
      <c r="DN98" s="524">
        <v>-1.1891564602185455E-2</v>
      </c>
      <c r="DO98" s="524">
        <v>1.6628110868957546E-4</v>
      </c>
      <c r="DP98" s="524">
        <v>1.6415597728006853E-4</v>
      </c>
      <c r="DQ98" s="524">
        <v>1.6069289916400414E-4</v>
      </c>
      <c r="DR98" s="524">
        <v>1.5569095254326648E-4</v>
      </c>
      <c r="DS98" s="524">
        <v>2.4376975239589406E-2</v>
      </c>
      <c r="DT98" s="524">
        <v>2.645165087473908E-4</v>
      </c>
      <c r="DU98" s="525">
        <v>2.6901562022083741E-4</v>
      </c>
      <c r="DV98" s="526">
        <v>3.5</v>
      </c>
      <c r="DW98" s="507">
        <v>1</v>
      </c>
      <c r="DX98" s="509">
        <v>10.23</v>
      </c>
      <c r="DY98" s="507">
        <v>2</v>
      </c>
      <c r="DZ98" s="507">
        <v>15</v>
      </c>
      <c r="EA98" s="507">
        <v>0</v>
      </c>
      <c r="EB98" s="507">
        <v>0</v>
      </c>
      <c r="EC98" s="507">
        <v>111.62500000000001</v>
      </c>
      <c r="ED98" s="507">
        <v>102.18750000000001</v>
      </c>
      <c r="EE98" s="507">
        <v>0</v>
      </c>
      <c r="EF98" s="507">
        <v>25.062499999999996</v>
      </c>
      <c r="EG98" s="507">
        <v>29.3125</v>
      </c>
      <c r="EH98" s="507">
        <v>12.8125</v>
      </c>
      <c r="EI98" s="507">
        <v>16.6875</v>
      </c>
      <c r="EJ98" s="507">
        <v>56.4375</v>
      </c>
      <c r="EK98" s="507">
        <v>10.4375</v>
      </c>
      <c r="EL98" s="507">
        <v>10.4375</v>
      </c>
      <c r="EM98" s="508">
        <v>375</v>
      </c>
    </row>
    <row r="99" spans="2:143" x14ac:dyDescent="0.25">
      <c r="B99" s="506" t="str">
        <f>[1]RONET_Input!J70</f>
        <v>214TT00014</v>
      </c>
      <c r="C99" s="359">
        <f>[1]RONET_Input!B70</f>
        <v>68</v>
      </c>
      <c r="D99" s="397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442">
        <f>[1]RONET_Input!K70</f>
        <v>3.1167622475300001</v>
      </c>
      <c r="Q99" s="398">
        <f>[1]RONET_Input!Y70</f>
        <v>1</v>
      </c>
      <c r="R99" s="398">
        <f>[1]RONET_Input!X70</f>
        <v>3.4</v>
      </c>
      <c r="S99" s="398"/>
      <c r="T99" s="398"/>
      <c r="U99" s="398">
        <f>[1]RONET_Input!AA70</f>
        <v>8</v>
      </c>
      <c r="V99" s="398">
        <f>[1]RONET_Input!AC70</f>
        <v>1</v>
      </c>
      <c r="W99" s="398">
        <f>[1]RONET_Input!AD70</f>
        <v>1</v>
      </c>
      <c r="X99" s="398">
        <f>[1]RONET_Input!AE70</f>
        <v>4</v>
      </c>
      <c r="Y99" s="398">
        <f>[1]RONET_Input!AB70</f>
        <v>1</v>
      </c>
      <c r="Z99" s="438">
        <f>[1]RONET_Input!Z70</f>
        <v>1</v>
      </c>
      <c r="AA99" s="442"/>
      <c r="AB99" s="398"/>
      <c r="AC99" s="438"/>
      <c r="AD99" s="442">
        <f>[1]RONET_Input!AH70</f>
        <v>4</v>
      </c>
      <c r="AE99" s="398">
        <f>[1]RONET_Input!D70</f>
        <v>8.4049999999999994</v>
      </c>
      <c r="AF99" s="398"/>
      <c r="AG99" s="398"/>
      <c r="AH99" s="398"/>
      <c r="AI99" s="438"/>
      <c r="AJ99" s="442">
        <v>1</v>
      </c>
      <c r="AK99" s="442">
        <f>[1]RONET_Input!AF70</f>
        <v>4</v>
      </c>
      <c r="AL99" s="507"/>
      <c r="AM99" s="507"/>
      <c r="AN99" s="507"/>
      <c r="AO99" s="507"/>
      <c r="AP99" s="507"/>
      <c r="AQ99" s="507"/>
      <c r="AR99" s="507"/>
      <c r="AS99" s="507"/>
      <c r="AT99" s="507"/>
      <c r="AU99" s="507"/>
      <c r="AV99" s="507"/>
      <c r="AW99" s="507"/>
      <c r="AX99" s="508"/>
      <c r="AY99" s="509">
        <f>[1]RONET_Input!AG70</f>
        <v>3</v>
      </c>
      <c r="AZ99" s="359" t="s">
        <v>321</v>
      </c>
      <c r="BA99" s="360" t="s">
        <v>502</v>
      </c>
      <c r="BB99" s="360" t="s">
        <v>443</v>
      </c>
      <c r="BC99" s="510">
        <v>0.1515369804749086</v>
      </c>
      <c r="BD99" s="510">
        <v>4.8619999999999997E-2</v>
      </c>
      <c r="BE99" s="438">
        <v>5</v>
      </c>
      <c r="BF99" s="511">
        <v>1.4348131423265451</v>
      </c>
      <c r="BG99" s="512">
        <v>0.46035373518259814</v>
      </c>
      <c r="BH99" s="512">
        <v>9.4684026158494063</v>
      </c>
      <c r="BI99" s="513">
        <v>0</v>
      </c>
      <c r="BJ99" s="514">
        <v>375</v>
      </c>
      <c r="BK99" s="515">
        <v>0.22366666666666665</v>
      </c>
      <c r="BL99" s="512">
        <v>0.42660683263066873</v>
      </c>
      <c r="BM99" s="516">
        <v>6.4108143749999999E-2</v>
      </c>
      <c r="BN99" s="517">
        <v>375</v>
      </c>
      <c r="BO99" s="518">
        <v>397.50000000000011</v>
      </c>
      <c r="BP99" s="518">
        <v>421.34999999999991</v>
      </c>
      <c r="BQ99" s="518">
        <v>446.63099999999997</v>
      </c>
      <c r="BR99" s="518">
        <v>473.42885999999999</v>
      </c>
      <c r="BS99" s="518">
        <v>501.83459160000012</v>
      </c>
      <c r="BT99" s="518">
        <v>531.9446670960001</v>
      </c>
      <c r="BU99" s="518">
        <v>563.86134712175999</v>
      </c>
      <c r="BV99" s="518">
        <v>597.69302794906582</v>
      </c>
      <c r="BW99" s="518">
        <v>633.55460962600955</v>
      </c>
      <c r="BX99" s="518">
        <v>671.56788620357008</v>
      </c>
      <c r="BY99" s="518">
        <v>711.86195937578441</v>
      </c>
      <c r="BZ99" s="518">
        <v>754.57367693833146</v>
      </c>
      <c r="CA99" s="518">
        <v>799.84809755463141</v>
      </c>
      <c r="CB99" s="518">
        <v>847.83898340790915</v>
      </c>
      <c r="CC99" s="518">
        <v>898.70932241238381</v>
      </c>
      <c r="CD99" s="518">
        <v>952.63188175712685</v>
      </c>
      <c r="CE99" s="518">
        <v>1009.7897946625544</v>
      </c>
      <c r="CF99" s="518">
        <v>1070.3771823423076</v>
      </c>
      <c r="CG99" s="519">
        <v>1134.5998132828461</v>
      </c>
      <c r="CH99" s="520">
        <v>8.4049999999999994</v>
      </c>
      <c r="CI99" s="521">
        <v>8.5731000000000002</v>
      </c>
      <c r="CJ99" s="521">
        <v>8.7445620000000002</v>
      </c>
      <c r="CK99" s="521">
        <v>8.9194532400000011</v>
      </c>
      <c r="CL99" s="521">
        <v>2.5</v>
      </c>
      <c r="CM99" s="521">
        <v>2.5499999999999998</v>
      </c>
      <c r="CN99" s="521">
        <v>2.601</v>
      </c>
      <c r="CO99" s="521">
        <v>2.6530200000000002</v>
      </c>
      <c r="CP99" s="521">
        <v>2.7060804000000003</v>
      </c>
      <c r="CQ99" s="521">
        <v>2.7602020080000003</v>
      </c>
      <c r="CR99" s="521">
        <v>2.8154060481600003</v>
      </c>
      <c r="CS99" s="521">
        <v>2.8717141691232002</v>
      </c>
      <c r="CT99" s="521">
        <v>2.5</v>
      </c>
      <c r="CU99" s="521">
        <v>2.5499999999999998</v>
      </c>
      <c r="CV99" s="521">
        <v>2.601</v>
      </c>
      <c r="CW99" s="521">
        <v>2.6530200000000002</v>
      </c>
      <c r="CX99" s="521">
        <v>2.7060804000000003</v>
      </c>
      <c r="CY99" s="521">
        <v>2.7602020080000003</v>
      </c>
      <c r="CZ99" s="521">
        <v>2.8154060481600003</v>
      </c>
      <c r="DA99" s="522">
        <v>2.8717141691232002</v>
      </c>
      <c r="DB99" s="523">
        <v>0</v>
      </c>
      <c r="DC99" s="524">
        <v>0</v>
      </c>
      <c r="DD99" s="524">
        <v>0</v>
      </c>
      <c r="DE99" s="524">
        <v>0</v>
      </c>
      <c r="DF99" s="524">
        <v>-9.300414709149013E-2</v>
      </c>
      <c r="DG99" s="524">
        <v>4.9462560225217722E-2</v>
      </c>
      <c r="DH99" s="524">
        <v>5.4493038491700563E-2</v>
      </c>
      <c r="DI99" s="524">
        <v>6.0032622027018534E-2</v>
      </c>
      <c r="DJ99" s="524">
        <v>6.6132695355331839E-2</v>
      </c>
      <c r="DK99" s="524">
        <v>2.1356677449600761</v>
      </c>
      <c r="DL99" s="524">
        <v>9.3363144351349403E-3</v>
      </c>
      <c r="DM99" s="524">
        <v>9.3243047894692177E-3</v>
      </c>
      <c r="DN99" s="524">
        <v>-0.12644440371243049</v>
      </c>
      <c r="DO99" s="524">
        <v>1.1620947482365918E-2</v>
      </c>
      <c r="DP99" s="524">
        <v>1.1780763471277267E-2</v>
      </c>
      <c r="DQ99" s="524">
        <v>1.1931696448137907E-2</v>
      </c>
      <c r="DR99" s="524">
        <v>1.2071476900338329E-2</v>
      </c>
      <c r="DS99" s="524">
        <v>0.29740644047724496</v>
      </c>
      <c r="DT99" s="524">
        <v>1.3771064885933493E-2</v>
      </c>
      <c r="DU99" s="525">
        <v>1.4043972805287575E-2</v>
      </c>
      <c r="DV99" s="526">
        <v>3.4</v>
      </c>
      <c r="DW99" s="507">
        <v>1</v>
      </c>
      <c r="DX99" s="509">
        <v>8.4049999999999994</v>
      </c>
      <c r="DY99" s="507">
        <v>2</v>
      </c>
      <c r="DZ99" s="507">
        <v>15</v>
      </c>
      <c r="EA99" s="507">
        <v>0</v>
      </c>
      <c r="EB99" s="507">
        <v>0</v>
      </c>
      <c r="EC99" s="507">
        <v>111.62500000000001</v>
      </c>
      <c r="ED99" s="507">
        <v>102.18750000000001</v>
      </c>
      <c r="EE99" s="507">
        <v>0</v>
      </c>
      <c r="EF99" s="507">
        <v>25.062499999999996</v>
      </c>
      <c r="EG99" s="507">
        <v>29.3125</v>
      </c>
      <c r="EH99" s="507">
        <v>12.8125</v>
      </c>
      <c r="EI99" s="507">
        <v>16.6875</v>
      </c>
      <c r="EJ99" s="507">
        <v>56.4375</v>
      </c>
      <c r="EK99" s="507">
        <v>10.4375</v>
      </c>
      <c r="EL99" s="507">
        <v>10.4375</v>
      </c>
      <c r="EM99" s="508">
        <v>375</v>
      </c>
    </row>
    <row r="100" spans="2:143" x14ac:dyDescent="0.25">
      <c r="B100" s="506" t="str">
        <f>[1]RONET_Input!J71</f>
        <v xml:space="preserve">Input VPROMMS: QL45_1 (50.59 pct); 212th00038 (49.41 pct); </v>
      </c>
      <c r="C100" s="359">
        <f>[1]RONET_Input!B71</f>
        <v>69</v>
      </c>
      <c r="D100" s="397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442">
        <f>[1]RONET_Input!K71</f>
        <v>1.5928561945199999</v>
      </c>
      <c r="Q100" s="398">
        <f>[1]RONET_Input!Y71</f>
        <v>2</v>
      </c>
      <c r="R100" s="398">
        <f>[1]RONET_Input!X71</f>
        <v>3.5</v>
      </c>
      <c r="S100" s="398"/>
      <c r="T100" s="398"/>
      <c r="U100" s="398">
        <f>[1]RONET_Input!AA71</f>
        <v>8</v>
      </c>
      <c r="V100" s="398">
        <f>[1]RONET_Input!AC71</f>
        <v>1</v>
      </c>
      <c r="W100" s="398">
        <f>[1]RONET_Input!AD71</f>
        <v>1</v>
      </c>
      <c r="X100" s="398">
        <f>[1]RONET_Input!AE71</f>
        <v>4</v>
      </c>
      <c r="Y100" s="398">
        <f>[1]RONET_Input!AB71</f>
        <v>1</v>
      </c>
      <c r="Z100" s="438">
        <f>[1]RONET_Input!Z71</f>
        <v>1</v>
      </c>
      <c r="AA100" s="442"/>
      <c r="AB100" s="398"/>
      <c r="AC100" s="438"/>
      <c r="AD100" s="442">
        <f>[1]RONET_Input!AH71</f>
        <v>4</v>
      </c>
      <c r="AE100" s="398">
        <f>[1]RONET_Input!D71</f>
        <v>9.8949999999999996</v>
      </c>
      <c r="AF100" s="398"/>
      <c r="AG100" s="398"/>
      <c r="AH100" s="398"/>
      <c r="AI100" s="438"/>
      <c r="AJ100" s="442">
        <v>1</v>
      </c>
      <c r="AK100" s="442">
        <f>[1]RONET_Input!AF71</f>
        <v>4</v>
      </c>
      <c r="AL100" s="507"/>
      <c r="AM100" s="507"/>
      <c r="AN100" s="507"/>
      <c r="AO100" s="507"/>
      <c r="AP100" s="507"/>
      <c r="AQ100" s="507"/>
      <c r="AR100" s="507"/>
      <c r="AS100" s="507"/>
      <c r="AT100" s="507"/>
      <c r="AU100" s="507"/>
      <c r="AV100" s="507"/>
      <c r="AW100" s="507"/>
      <c r="AX100" s="508"/>
      <c r="AY100" s="509">
        <f>[1]RONET_Input!AG71</f>
        <v>3</v>
      </c>
      <c r="AZ100" s="359" t="s">
        <v>321</v>
      </c>
      <c r="BA100" s="360" t="s">
        <v>502</v>
      </c>
      <c r="BB100" s="360" t="s">
        <v>443</v>
      </c>
      <c r="BC100" s="510">
        <v>7.9722452535725991E-2</v>
      </c>
      <c r="BD100" s="510">
        <v>5.0049999999999997E-2</v>
      </c>
      <c r="BE100" s="438">
        <v>5</v>
      </c>
      <c r="BF100" s="511">
        <v>0.74038164803099571</v>
      </c>
      <c r="BG100" s="512">
        <v>0.46481386742769104</v>
      </c>
      <c r="BH100" s="512">
        <v>9.2869903581956255</v>
      </c>
      <c r="BI100" s="513">
        <v>0</v>
      </c>
      <c r="BJ100" s="514">
        <v>375</v>
      </c>
      <c r="BK100" s="515">
        <v>0.22366666666666665</v>
      </c>
      <c r="BL100" s="512">
        <v>0.21802219162492498</v>
      </c>
      <c r="BM100" s="516">
        <v>3.2054071874999999E-2</v>
      </c>
      <c r="BN100" s="517">
        <v>375</v>
      </c>
      <c r="BO100" s="518">
        <v>397.50000000000011</v>
      </c>
      <c r="BP100" s="518">
        <v>421.34999999999991</v>
      </c>
      <c r="BQ100" s="518">
        <v>446.63099999999997</v>
      </c>
      <c r="BR100" s="518">
        <v>473.42885999999999</v>
      </c>
      <c r="BS100" s="518">
        <v>501.83459160000012</v>
      </c>
      <c r="BT100" s="518">
        <v>531.9446670960001</v>
      </c>
      <c r="BU100" s="518">
        <v>563.86134712175999</v>
      </c>
      <c r="BV100" s="518">
        <v>597.69302794906582</v>
      </c>
      <c r="BW100" s="518">
        <v>633.55460962600955</v>
      </c>
      <c r="BX100" s="518">
        <v>671.56788620357008</v>
      </c>
      <c r="BY100" s="518">
        <v>711.86195937578441</v>
      </c>
      <c r="BZ100" s="518">
        <v>754.57367693833146</v>
      </c>
      <c r="CA100" s="518">
        <v>799.84809755463141</v>
      </c>
      <c r="CB100" s="518">
        <v>847.83898340790915</v>
      </c>
      <c r="CC100" s="518">
        <v>898.70932241238381</v>
      </c>
      <c r="CD100" s="518">
        <v>952.63188175712685</v>
      </c>
      <c r="CE100" s="518">
        <v>1009.7897946625544</v>
      </c>
      <c r="CF100" s="518">
        <v>1070.3771823423076</v>
      </c>
      <c r="CG100" s="519">
        <v>1134.5998132828461</v>
      </c>
      <c r="CH100" s="520">
        <v>9.8949999999999996</v>
      </c>
      <c r="CI100" s="521">
        <v>10.0929</v>
      </c>
      <c r="CJ100" s="521">
        <v>10.294758</v>
      </c>
      <c r="CK100" s="521">
        <v>10.500653160000001</v>
      </c>
      <c r="CL100" s="521">
        <v>2.5</v>
      </c>
      <c r="CM100" s="521">
        <v>2.5499999999999998</v>
      </c>
      <c r="CN100" s="521">
        <v>2.601</v>
      </c>
      <c r="CO100" s="521">
        <v>2.6530200000000002</v>
      </c>
      <c r="CP100" s="521">
        <v>2.7060804000000003</v>
      </c>
      <c r="CQ100" s="521">
        <v>2.7602020080000003</v>
      </c>
      <c r="CR100" s="521">
        <v>2.8154060481600003</v>
      </c>
      <c r="CS100" s="521">
        <v>2.8717141691232002</v>
      </c>
      <c r="CT100" s="521">
        <v>2.5</v>
      </c>
      <c r="CU100" s="521">
        <v>2.5499999999999998</v>
      </c>
      <c r="CV100" s="521">
        <v>2.601</v>
      </c>
      <c r="CW100" s="521">
        <v>2.6530200000000002</v>
      </c>
      <c r="CX100" s="521">
        <v>2.7060804000000003</v>
      </c>
      <c r="CY100" s="521">
        <v>2.7602020080000003</v>
      </c>
      <c r="CZ100" s="521">
        <v>2.8154060481600003</v>
      </c>
      <c r="DA100" s="522">
        <v>2.8717141691232002</v>
      </c>
      <c r="DB100" s="523">
        <v>0</v>
      </c>
      <c r="DC100" s="524">
        <v>0</v>
      </c>
      <c r="DD100" s="524">
        <v>0</v>
      </c>
      <c r="DE100" s="524">
        <v>0</v>
      </c>
      <c r="DF100" s="524">
        <v>-4.1745710720217155E-2</v>
      </c>
      <c r="DG100" s="524">
        <v>3.4001932804240576E-2</v>
      </c>
      <c r="DH100" s="524">
        <v>3.7531938012322547E-2</v>
      </c>
      <c r="DI100" s="524">
        <v>4.1425419649961076E-2</v>
      </c>
      <c r="DJ100" s="524">
        <v>4.5719418381082261E-2</v>
      </c>
      <c r="DK100" s="524">
        <v>1.0870277888859998</v>
      </c>
      <c r="DL100" s="524">
        <v>2.7410185844622958E-4</v>
      </c>
      <c r="DM100" s="524">
        <v>1.9743966542598579E-4</v>
      </c>
      <c r="DN100" s="524">
        <v>-7.1541248070823293E-2</v>
      </c>
      <c r="DO100" s="524">
        <v>1.000369458873912E-3</v>
      </c>
      <c r="DP100" s="524">
        <v>9.8758438319745956E-4</v>
      </c>
      <c r="DQ100" s="524">
        <v>9.6675004062962699E-4</v>
      </c>
      <c r="DR100" s="524">
        <v>9.3665765867623207E-4</v>
      </c>
      <c r="DS100" s="524">
        <v>0.14665515356249031</v>
      </c>
      <c r="DT100" s="524">
        <v>1.59136680531069E-3</v>
      </c>
      <c r="DU100" s="525">
        <v>1.6184340635552741E-3</v>
      </c>
      <c r="DV100" s="526">
        <v>3.5</v>
      </c>
      <c r="DW100" s="507">
        <v>1</v>
      </c>
      <c r="DX100" s="509">
        <v>9.8949999999999996</v>
      </c>
      <c r="DY100" s="507">
        <v>2</v>
      </c>
      <c r="DZ100" s="507">
        <v>15</v>
      </c>
      <c r="EA100" s="507">
        <v>0</v>
      </c>
      <c r="EB100" s="507">
        <v>0</v>
      </c>
      <c r="EC100" s="507">
        <v>111.62500000000001</v>
      </c>
      <c r="ED100" s="507">
        <v>102.18750000000001</v>
      </c>
      <c r="EE100" s="507">
        <v>0</v>
      </c>
      <c r="EF100" s="507">
        <v>25.062499999999996</v>
      </c>
      <c r="EG100" s="507">
        <v>29.3125</v>
      </c>
      <c r="EH100" s="507">
        <v>12.8125</v>
      </c>
      <c r="EI100" s="507">
        <v>16.6875</v>
      </c>
      <c r="EJ100" s="507">
        <v>56.4375</v>
      </c>
      <c r="EK100" s="507">
        <v>10.4375</v>
      </c>
      <c r="EL100" s="507">
        <v>10.4375</v>
      </c>
      <c r="EM100" s="508">
        <v>375</v>
      </c>
    </row>
    <row r="101" spans="2:143" x14ac:dyDescent="0.25">
      <c r="B101" s="506" t="str">
        <f>[1]RONET_Input!J72</f>
        <v xml:space="preserve">Input VPROMMS: QL45_1 (39.13 pct); 212th00038 (36.96 pct); 214TT00068 (15.22 pct); 214TT00069 (4.35 pct); 214TT00067 (4.35 pct); </v>
      </c>
      <c r="C101" s="359">
        <f>[1]RONET_Input!B72</f>
        <v>70</v>
      </c>
      <c r="D101" s="397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442">
        <f>[1]RONET_Input!K72</f>
        <v>0.54453934367200008</v>
      </c>
      <c r="Q101" s="398">
        <f>[1]RONET_Input!Y72</f>
        <v>2</v>
      </c>
      <c r="R101" s="398">
        <f>[1]RONET_Input!X72</f>
        <v>3.5</v>
      </c>
      <c r="S101" s="398"/>
      <c r="T101" s="398"/>
      <c r="U101" s="398">
        <f>[1]RONET_Input!AA72</f>
        <v>8</v>
      </c>
      <c r="V101" s="398">
        <f>[1]RONET_Input!AC72</f>
        <v>1</v>
      </c>
      <c r="W101" s="398">
        <f>[1]RONET_Input!AD72</f>
        <v>1</v>
      </c>
      <c r="X101" s="398">
        <f>[1]RONET_Input!AE72</f>
        <v>4</v>
      </c>
      <c r="Y101" s="398">
        <f>[1]RONET_Input!AB72</f>
        <v>1</v>
      </c>
      <c r="Z101" s="438">
        <f>[1]RONET_Input!Z72</f>
        <v>1</v>
      </c>
      <c r="AA101" s="442"/>
      <c r="AB101" s="398"/>
      <c r="AC101" s="438"/>
      <c r="AD101" s="442">
        <f>[1]RONET_Input!AH72</f>
        <v>4</v>
      </c>
      <c r="AE101" s="398">
        <f>[1]RONET_Input!D72</f>
        <v>8.3000000000000007</v>
      </c>
      <c r="AF101" s="398"/>
      <c r="AG101" s="398"/>
      <c r="AH101" s="398"/>
      <c r="AI101" s="438"/>
      <c r="AJ101" s="442">
        <v>1</v>
      </c>
      <c r="AK101" s="442">
        <f>[1]RONET_Input!AF72</f>
        <v>4</v>
      </c>
      <c r="AL101" s="507"/>
      <c r="AM101" s="507"/>
      <c r="AN101" s="507"/>
      <c r="AO101" s="507"/>
      <c r="AP101" s="507"/>
      <c r="AQ101" s="507"/>
      <c r="AR101" s="507"/>
      <c r="AS101" s="507"/>
      <c r="AT101" s="507"/>
      <c r="AU101" s="507"/>
      <c r="AV101" s="507"/>
      <c r="AW101" s="507"/>
      <c r="AX101" s="508"/>
      <c r="AY101" s="509">
        <f>[1]RONET_Input!AG72</f>
        <v>3</v>
      </c>
      <c r="AZ101" s="359" t="s">
        <v>321</v>
      </c>
      <c r="BA101" s="360" t="s">
        <v>502</v>
      </c>
      <c r="BB101" s="360" t="s">
        <v>443</v>
      </c>
      <c r="BC101" s="510">
        <v>2.7254194150783603E-2</v>
      </c>
      <c r="BD101" s="510">
        <v>5.0049999999999997E-2</v>
      </c>
      <c r="BE101" s="438">
        <v>5</v>
      </c>
      <c r="BF101" s="511">
        <v>0.23872908531646195</v>
      </c>
      <c r="BG101" s="512">
        <v>0.43840557728416213</v>
      </c>
      <c r="BH101" s="512">
        <v>8.759352193489752</v>
      </c>
      <c r="BI101" s="513">
        <v>0</v>
      </c>
      <c r="BJ101" s="514">
        <v>375</v>
      </c>
      <c r="BK101" s="515">
        <v>0.22366666666666665</v>
      </c>
      <c r="BL101" s="512">
        <v>7.4533822665105012E-2</v>
      </c>
      <c r="BM101" s="516">
        <v>3.2054071874999999E-2</v>
      </c>
      <c r="BN101" s="517">
        <v>375</v>
      </c>
      <c r="BO101" s="518">
        <v>397.50000000000011</v>
      </c>
      <c r="BP101" s="518">
        <v>421.34999999999991</v>
      </c>
      <c r="BQ101" s="518">
        <v>446.63099999999997</v>
      </c>
      <c r="BR101" s="518">
        <v>473.42885999999999</v>
      </c>
      <c r="BS101" s="518">
        <v>501.83459160000012</v>
      </c>
      <c r="BT101" s="518">
        <v>531.9446670960001</v>
      </c>
      <c r="BU101" s="518">
        <v>563.86134712175999</v>
      </c>
      <c r="BV101" s="518">
        <v>597.69302794906582</v>
      </c>
      <c r="BW101" s="518">
        <v>633.55460962600955</v>
      </c>
      <c r="BX101" s="518">
        <v>671.56788620357008</v>
      </c>
      <c r="BY101" s="518">
        <v>711.86195937578441</v>
      </c>
      <c r="BZ101" s="518">
        <v>754.57367693833146</v>
      </c>
      <c r="CA101" s="518">
        <v>799.84809755463141</v>
      </c>
      <c r="CB101" s="518">
        <v>847.83898340790915</v>
      </c>
      <c r="CC101" s="518">
        <v>898.70932241238381</v>
      </c>
      <c r="CD101" s="518">
        <v>952.63188175712685</v>
      </c>
      <c r="CE101" s="518">
        <v>1009.7897946625544</v>
      </c>
      <c r="CF101" s="518">
        <v>1070.3771823423076</v>
      </c>
      <c r="CG101" s="519">
        <v>1134.5998132828461</v>
      </c>
      <c r="CH101" s="520">
        <v>8.3000000000000007</v>
      </c>
      <c r="CI101" s="521">
        <v>8.4660000000000011</v>
      </c>
      <c r="CJ101" s="521">
        <v>8.6353200000000019</v>
      </c>
      <c r="CK101" s="521">
        <v>8.8080264000000028</v>
      </c>
      <c r="CL101" s="521">
        <v>2.5</v>
      </c>
      <c r="CM101" s="521">
        <v>2.5499999999999998</v>
      </c>
      <c r="CN101" s="521">
        <v>2.601</v>
      </c>
      <c r="CO101" s="521">
        <v>2.6530200000000002</v>
      </c>
      <c r="CP101" s="521">
        <v>2.7060804000000003</v>
      </c>
      <c r="CQ101" s="521">
        <v>2.7602020080000003</v>
      </c>
      <c r="CR101" s="521">
        <v>2.8154060481600003</v>
      </c>
      <c r="CS101" s="521">
        <v>2.8717141691232002</v>
      </c>
      <c r="CT101" s="521">
        <v>2.5</v>
      </c>
      <c r="CU101" s="521">
        <v>2.5499999999999998</v>
      </c>
      <c r="CV101" s="521">
        <v>2.601</v>
      </c>
      <c r="CW101" s="521">
        <v>2.6530200000000002</v>
      </c>
      <c r="CX101" s="521">
        <v>2.7060804000000003</v>
      </c>
      <c r="CY101" s="521">
        <v>2.7602020080000003</v>
      </c>
      <c r="CZ101" s="521">
        <v>2.8154060481600003</v>
      </c>
      <c r="DA101" s="522">
        <v>2.8717141691232002</v>
      </c>
      <c r="DB101" s="523">
        <v>0</v>
      </c>
      <c r="DC101" s="524">
        <v>0</v>
      </c>
      <c r="DD101" s="524">
        <v>0</v>
      </c>
      <c r="DE101" s="524">
        <v>0</v>
      </c>
      <c r="DF101" s="524">
        <v>-1.7621840241568765E-2</v>
      </c>
      <c r="DG101" s="524">
        <v>7.9295173201868879E-3</v>
      </c>
      <c r="DH101" s="524">
        <v>8.757154195314823E-3</v>
      </c>
      <c r="DI101" s="524">
        <v>9.6703673033475823E-3</v>
      </c>
      <c r="DJ101" s="524">
        <v>1.0677954211386932E-2</v>
      </c>
      <c r="DK101" s="524">
        <v>0.37161509039526514</v>
      </c>
      <c r="DL101" s="524">
        <v>9.3705412083706918E-5</v>
      </c>
      <c r="DM101" s="524">
        <v>6.7497408865760389E-5</v>
      </c>
      <c r="DN101" s="524">
        <v>-2.4457339214919757E-2</v>
      </c>
      <c r="DO101" s="524">
        <v>3.4198977311249157E-4</v>
      </c>
      <c r="DP101" s="524">
        <v>3.3761902279516587E-4</v>
      </c>
      <c r="DQ101" s="524">
        <v>3.3049652217848058E-4</v>
      </c>
      <c r="DR101" s="524">
        <v>3.2020903610487095E-4</v>
      </c>
      <c r="DS101" s="524">
        <v>5.0136039487921363E-2</v>
      </c>
      <c r="DT101" s="524">
        <v>5.4403017591075908E-4</v>
      </c>
      <c r="DU101" s="525">
        <v>5.5328348270032579E-4</v>
      </c>
      <c r="DV101" s="526">
        <v>3.5</v>
      </c>
      <c r="DW101" s="507">
        <v>1</v>
      </c>
      <c r="DX101" s="509">
        <v>8.3000000000000007</v>
      </c>
      <c r="DY101" s="507">
        <v>2</v>
      </c>
      <c r="DZ101" s="507">
        <v>15</v>
      </c>
      <c r="EA101" s="507">
        <v>0</v>
      </c>
      <c r="EB101" s="507">
        <v>0</v>
      </c>
      <c r="EC101" s="507">
        <v>111.62500000000001</v>
      </c>
      <c r="ED101" s="507">
        <v>102.18750000000001</v>
      </c>
      <c r="EE101" s="507">
        <v>0</v>
      </c>
      <c r="EF101" s="507">
        <v>25.062499999999996</v>
      </c>
      <c r="EG101" s="507">
        <v>29.3125</v>
      </c>
      <c r="EH101" s="507">
        <v>12.8125</v>
      </c>
      <c r="EI101" s="507">
        <v>16.6875</v>
      </c>
      <c r="EJ101" s="507">
        <v>56.4375</v>
      </c>
      <c r="EK101" s="507">
        <v>10.4375</v>
      </c>
      <c r="EL101" s="507">
        <v>10.4375</v>
      </c>
      <c r="EM101" s="508">
        <v>375</v>
      </c>
    </row>
    <row r="102" spans="2:143" x14ac:dyDescent="0.25">
      <c r="B102" s="506" t="str">
        <f>[1]RONET_Input!J73</f>
        <v xml:space="preserve">Input VPROMMS: 217B_1 (50.0 pct); 217b_1 (49.06 pct); 214tt00078 (0.94 pct); </v>
      </c>
      <c r="C102" s="359">
        <f>[1]RONET_Input!B73</f>
        <v>71</v>
      </c>
      <c r="D102" s="397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442">
        <f>[1]RONET_Input!K73</f>
        <v>2.8477270166999999</v>
      </c>
      <c r="Q102" s="398">
        <f>[1]RONET_Input!Y73</f>
        <v>2</v>
      </c>
      <c r="R102" s="398">
        <f>[1]RONET_Input!X73</f>
        <v>3.5</v>
      </c>
      <c r="S102" s="398"/>
      <c r="T102" s="398"/>
      <c r="U102" s="398">
        <f>[1]RONET_Input!AA73</f>
        <v>8</v>
      </c>
      <c r="V102" s="398">
        <f>[1]RONET_Input!AC73</f>
        <v>1</v>
      </c>
      <c r="W102" s="398">
        <f>[1]RONET_Input!AD73</f>
        <v>1</v>
      </c>
      <c r="X102" s="398">
        <f>[1]RONET_Input!AE73</f>
        <v>4</v>
      </c>
      <c r="Y102" s="398">
        <f>[1]RONET_Input!AB73</f>
        <v>1</v>
      </c>
      <c r="Z102" s="438">
        <f>[1]RONET_Input!Z73</f>
        <v>1</v>
      </c>
      <c r="AA102" s="442"/>
      <c r="AB102" s="398"/>
      <c r="AC102" s="438"/>
      <c r="AD102" s="442">
        <f>[1]RONET_Input!AH73</f>
        <v>3</v>
      </c>
      <c r="AE102" s="398">
        <f>[1]RONET_Input!D73</f>
        <v>7.28</v>
      </c>
      <c r="AF102" s="398"/>
      <c r="AG102" s="398"/>
      <c r="AH102" s="398"/>
      <c r="AI102" s="438"/>
      <c r="AJ102" s="442">
        <v>1</v>
      </c>
      <c r="AK102" s="442">
        <f>[1]RONET_Input!AF73</f>
        <v>4</v>
      </c>
      <c r="AL102" s="507"/>
      <c r="AM102" s="507"/>
      <c r="AN102" s="507"/>
      <c r="AO102" s="507"/>
      <c r="AP102" s="507"/>
      <c r="AQ102" s="507"/>
      <c r="AR102" s="507"/>
      <c r="AS102" s="507"/>
      <c r="AT102" s="507"/>
      <c r="AU102" s="507"/>
      <c r="AV102" s="507"/>
      <c r="AW102" s="507"/>
      <c r="AX102" s="508"/>
      <c r="AY102" s="509">
        <f>[1]RONET_Input!AG73</f>
        <v>3</v>
      </c>
      <c r="AZ102" s="359" t="s">
        <v>321</v>
      </c>
      <c r="BA102" s="360" t="s">
        <v>502</v>
      </c>
      <c r="BB102" s="360" t="s">
        <v>443</v>
      </c>
      <c r="BC102" s="510">
        <v>0.142528737185835</v>
      </c>
      <c r="BD102" s="510">
        <v>5.0050000000000004E-2</v>
      </c>
      <c r="BE102" s="438">
        <v>5</v>
      </c>
      <c r="BF102" s="511">
        <v>1.2072536750499643</v>
      </c>
      <c r="BG102" s="512">
        <v>0.4239358856976933</v>
      </c>
      <c r="BH102" s="512">
        <v>8.4702474664873773</v>
      </c>
      <c r="BI102" s="513">
        <v>0</v>
      </c>
      <c r="BJ102" s="514">
        <v>375</v>
      </c>
      <c r="BK102" s="515">
        <v>0.22366666666666665</v>
      </c>
      <c r="BL102" s="512">
        <v>0.38978263541081248</v>
      </c>
      <c r="BM102" s="516">
        <v>3.2054071874999999E-2</v>
      </c>
      <c r="BN102" s="517">
        <v>375</v>
      </c>
      <c r="BO102" s="518">
        <v>397.50000000000011</v>
      </c>
      <c r="BP102" s="518">
        <v>421.34999999999991</v>
      </c>
      <c r="BQ102" s="518">
        <v>446.63099999999997</v>
      </c>
      <c r="BR102" s="518">
        <v>473.42885999999999</v>
      </c>
      <c r="BS102" s="518">
        <v>501.83459160000012</v>
      </c>
      <c r="BT102" s="518">
        <v>531.9446670960001</v>
      </c>
      <c r="BU102" s="518">
        <v>563.86134712175999</v>
      </c>
      <c r="BV102" s="518">
        <v>597.69302794906582</v>
      </c>
      <c r="BW102" s="518">
        <v>633.55460962600955</v>
      </c>
      <c r="BX102" s="518">
        <v>671.56788620357008</v>
      </c>
      <c r="BY102" s="518">
        <v>711.86195937578441</v>
      </c>
      <c r="BZ102" s="518">
        <v>754.57367693833146</v>
      </c>
      <c r="CA102" s="518">
        <v>799.84809755463141</v>
      </c>
      <c r="CB102" s="518">
        <v>847.83898340790915</v>
      </c>
      <c r="CC102" s="518">
        <v>898.70932241238381</v>
      </c>
      <c r="CD102" s="518">
        <v>952.63188175712685</v>
      </c>
      <c r="CE102" s="518">
        <v>1009.7897946625544</v>
      </c>
      <c r="CF102" s="518">
        <v>1070.3771823423076</v>
      </c>
      <c r="CG102" s="519">
        <v>1134.5998132828461</v>
      </c>
      <c r="CH102" s="520">
        <v>7.28</v>
      </c>
      <c r="CI102" s="521">
        <v>7.4256000000000002</v>
      </c>
      <c r="CJ102" s="521">
        <v>7.5741120000000004</v>
      </c>
      <c r="CK102" s="521">
        <v>7.7255942400000004</v>
      </c>
      <c r="CL102" s="521">
        <v>2.5</v>
      </c>
      <c r="CM102" s="521">
        <v>2.5499999999999998</v>
      </c>
      <c r="CN102" s="521">
        <v>2.601</v>
      </c>
      <c r="CO102" s="521">
        <v>2.6530200000000002</v>
      </c>
      <c r="CP102" s="521">
        <v>2.7060804000000003</v>
      </c>
      <c r="CQ102" s="521">
        <v>2.7602020080000003</v>
      </c>
      <c r="CR102" s="521">
        <v>2.8154060481600003</v>
      </c>
      <c r="CS102" s="521">
        <v>2.8717141691232002</v>
      </c>
      <c r="CT102" s="521">
        <v>2.5</v>
      </c>
      <c r="CU102" s="521">
        <v>2.5499999999999998</v>
      </c>
      <c r="CV102" s="521">
        <v>2.601</v>
      </c>
      <c r="CW102" s="521">
        <v>2.6530200000000002</v>
      </c>
      <c r="CX102" s="521">
        <v>2.7060804000000003</v>
      </c>
      <c r="CY102" s="521">
        <v>2.7602020080000003</v>
      </c>
      <c r="CZ102" s="521">
        <v>2.8154060481600003</v>
      </c>
      <c r="DA102" s="522">
        <v>2.8717141691232002</v>
      </c>
      <c r="DB102" s="523">
        <v>0</v>
      </c>
      <c r="DC102" s="524">
        <v>0</v>
      </c>
      <c r="DD102" s="524">
        <v>0</v>
      </c>
      <c r="DE102" s="524">
        <v>0</v>
      </c>
      <c r="DF102" s="524">
        <v>-0.10175098973370883</v>
      </c>
      <c r="DG102" s="524">
        <v>3.0884971042125148E-2</v>
      </c>
      <c r="DH102" s="524">
        <v>3.4124283122872634E-2</v>
      </c>
      <c r="DI102" s="524">
        <v>3.7699452118670762E-2</v>
      </c>
      <c r="DJ102" s="524">
        <v>4.1645049569783543E-2</v>
      </c>
      <c r="DK102" s="524">
        <v>1.9434010508696034</v>
      </c>
      <c r="DL102" s="524">
        <v>4.9004252255180347E-4</v>
      </c>
      <c r="DM102" s="524">
        <v>3.5298495327829027E-4</v>
      </c>
      <c r="DN102" s="524">
        <v>-0.12790228373447943</v>
      </c>
      <c r="DO102" s="524">
        <v>1.7884722704519795E-3</v>
      </c>
      <c r="DP102" s="524">
        <v>1.765614961964479E-3</v>
      </c>
      <c r="DQ102" s="524">
        <v>1.7283670795695816E-3</v>
      </c>
      <c r="DR102" s="524">
        <v>1.6745675656019143E-3</v>
      </c>
      <c r="DS102" s="524">
        <v>0.26219180637586881</v>
      </c>
      <c r="DT102" s="524">
        <v>2.8450642691749684E-3</v>
      </c>
      <c r="DU102" s="525">
        <v>2.8934554314382632E-3</v>
      </c>
      <c r="DV102" s="526">
        <v>3.5</v>
      </c>
      <c r="DW102" s="507">
        <v>1</v>
      </c>
      <c r="DX102" s="509">
        <v>7.28</v>
      </c>
      <c r="DY102" s="507">
        <v>2</v>
      </c>
      <c r="DZ102" s="507">
        <v>10</v>
      </c>
      <c r="EA102" s="507">
        <v>0</v>
      </c>
      <c r="EB102" s="507">
        <v>0</v>
      </c>
      <c r="EC102" s="507">
        <v>111.62500000000001</v>
      </c>
      <c r="ED102" s="507">
        <v>102.18750000000001</v>
      </c>
      <c r="EE102" s="507">
        <v>0</v>
      </c>
      <c r="EF102" s="507">
        <v>25.062499999999996</v>
      </c>
      <c r="EG102" s="507">
        <v>29.3125</v>
      </c>
      <c r="EH102" s="507">
        <v>12.8125</v>
      </c>
      <c r="EI102" s="507">
        <v>16.6875</v>
      </c>
      <c r="EJ102" s="507">
        <v>56.4375</v>
      </c>
      <c r="EK102" s="507">
        <v>10.4375</v>
      </c>
      <c r="EL102" s="507">
        <v>10.4375</v>
      </c>
      <c r="EM102" s="508">
        <v>375</v>
      </c>
    </row>
    <row r="103" spans="2:143" x14ac:dyDescent="0.25">
      <c r="B103" s="506" t="str">
        <f>[1]RONET_Input!J74</f>
        <v>212TH00036</v>
      </c>
      <c r="C103" s="359">
        <f>[1]RONET_Input!B74</f>
        <v>72</v>
      </c>
      <c r="D103" s="397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442">
        <f>[1]RONET_Input!K74</f>
        <v>4.3110965499400002</v>
      </c>
      <c r="Q103" s="398">
        <f>[1]RONET_Input!Y74</f>
        <v>3</v>
      </c>
      <c r="R103" s="398">
        <f>[1]RONET_Input!X74</f>
        <v>4.3</v>
      </c>
      <c r="S103" s="398"/>
      <c r="T103" s="398"/>
      <c r="U103" s="398">
        <f>[1]RONET_Input!AA74</f>
        <v>8</v>
      </c>
      <c r="V103" s="398">
        <f>[1]RONET_Input!AC74</f>
        <v>1</v>
      </c>
      <c r="W103" s="398">
        <f>[1]RONET_Input!AD74</f>
        <v>1</v>
      </c>
      <c r="X103" s="398">
        <f>[1]RONET_Input!AE74</f>
        <v>4</v>
      </c>
      <c r="Y103" s="398">
        <f>[1]RONET_Input!AB74</f>
        <v>1</v>
      </c>
      <c r="Z103" s="438">
        <f>[1]RONET_Input!Z74</f>
        <v>3</v>
      </c>
      <c r="AA103" s="442"/>
      <c r="AB103" s="398"/>
      <c r="AC103" s="438"/>
      <c r="AD103" s="442">
        <f>[1]RONET_Input!AH74</f>
        <v>4</v>
      </c>
      <c r="AE103" s="398">
        <f>[1]RONET_Input!D74</f>
        <v>8.93</v>
      </c>
      <c r="AF103" s="398"/>
      <c r="AG103" s="398"/>
      <c r="AH103" s="398"/>
      <c r="AI103" s="438"/>
      <c r="AJ103" s="442">
        <v>1</v>
      </c>
      <c r="AK103" s="442">
        <f>[1]RONET_Input!AF74</f>
        <v>8</v>
      </c>
      <c r="AL103" s="507"/>
      <c r="AM103" s="507"/>
      <c r="AN103" s="507"/>
      <c r="AO103" s="507"/>
      <c r="AP103" s="507"/>
      <c r="AQ103" s="507"/>
      <c r="AR103" s="507"/>
      <c r="AS103" s="507"/>
      <c r="AT103" s="507"/>
      <c r="AU103" s="507"/>
      <c r="AV103" s="507"/>
      <c r="AW103" s="507"/>
      <c r="AX103" s="508"/>
      <c r="AY103" s="509">
        <f>[1]RONET_Input!AG74</f>
        <v>3</v>
      </c>
      <c r="AZ103" s="359" t="s">
        <v>321</v>
      </c>
      <c r="BA103" s="360" t="s">
        <v>506</v>
      </c>
      <c r="BB103" s="360" t="s">
        <v>447</v>
      </c>
      <c r="BC103" s="510">
        <v>0.2650893268558106</v>
      </c>
      <c r="BD103" s="510">
        <v>6.1489999999999996E-2</v>
      </c>
      <c r="BE103" s="438">
        <v>1</v>
      </c>
      <c r="BF103" s="511">
        <v>7.8802146129119226</v>
      </c>
      <c r="BG103" s="512">
        <v>1.8278910067605876</v>
      </c>
      <c r="BH103" s="512">
        <v>29.726638587747399</v>
      </c>
      <c r="BI103" s="513">
        <v>0</v>
      </c>
      <c r="BJ103" s="514">
        <v>6000</v>
      </c>
      <c r="BK103" s="515">
        <v>0.22366666666666665</v>
      </c>
      <c r="BL103" s="512">
        <v>9.4413014443685999</v>
      </c>
      <c r="BM103" s="516">
        <v>0.51286514999999999</v>
      </c>
      <c r="BN103" s="517">
        <v>6000</v>
      </c>
      <c r="BO103" s="518">
        <v>6360.0000000000018</v>
      </c>
      <c r="BP103" s="518">
        <v>6741.5999999999985</v>
      </c>
      <c r="BQ103" s="518">
        <v>7146.0959999999995</v>
      </c>
      <c r="BR103" s="518">
        <v>7574.8617599999998</v>
      </c>
      <c r="BS103" s="518">
        <v>8029.353465600002</v>
      </c>
      <c r="BT103" s="518">
        <v>8511.1146735360016</v>
      </c>
      <c r="BU103" s="518">
        <v>9021.7815539481599</v>
      </c>
      <c r="BV103" s="518">
        <v>9563.0884471850532</v>
      </c>
      <c r="BW103" s="518">
        <v>10136.873754016153</v>
      </c>
      <c r="BX103" s="518">
        <v>10745.086179257121</v>
      </c>
      <c r="BY103" s="518">
        <v>11389.791350012551</v>
      </c>
      <c r="BZ103" s="518">
        <v>12073.178831013303</v>
      </c>
      <c r="CA103" s="518">
        <v>12797.569560874103</v>
      </c>
      <c r="CB103" s="518">
        <v>13565.423734526546</v>
      </c>
      <c r="CC103" s="518">
        <v>14379.349158598141</v>
      </c>
      <c r="CD103" s="518">
        <v>15242.11010811403</v>
      </c>
      <c r="CE103" s="518">
        <v>16156.636714600871</v>
      </c>
      <c r="CF103" s="518">
        <v>17126.034917476922</v>
      </c>
      <c r="CG103" s="519">
        <v>18153.597012525537</v>
      </c>
      <c r="CH103" s="520">
        <v>2</v>
      </c>
      <c r="CI103" s="521">
        <v>2.0499999999999998</v>
      </c>
      <c r="CJ103" s="521">
        <v>2.1012499999999998</v>
      </c>
      <c r="CK103" s="521">
        <v>2.1537812499999998</v>
      </c>
      <c r="CL103" s="521">
        <v>2.20762578125</v>
      </c>
      <c r="CM103" s="521">
        <v>2.2628164257812502</v>
      </c>
      <c r="CN103" s="521">
        <v>2.3193868364257813</v>
      </c>
      <c r="CO103" s="521">
        <v>2.3773715073364259</v>
      </c>
      <c r="CP103" s="521">
        <v>2.5</v>
      </c>
      <c r="CQ103" s="521">
        <v>2.5625</v>
      </c>
      <c r="CR103" s="521">
        <v>2.6265624999999999</v>
      </c>
      <c r="CS103" s="521">
        <v>2.6922265624999997</v>
      </c>
      <c r="CT103" s="521">
        <v>2.7595322265624995</v>
      </c>
      <c r="CU103" s="521">
        <v>2.8285205322265621</v>
      </c>
      <c r="CV103" s="521">
        <v>2.8992335455322262</v>
      </c>
      <c r="CW103" s="521">
        <v>2.9717143841705318</v>
      </c>
      <c r="CX103" s="521">
        <v>2.5</v>
      </c>
      <c r="CY103" s="521">
        <v>2.5625</v>
      </c>
      <c r="CZ103" s="521">
        <v>2.6265624999999999</v>
      </c>
      <c r="DA103" s="522">
        <v>2.6922265624999997</v>
      </c>
      <c r="DB103" s="523">
        <v>0.44276879325125407</v>
      </c>
      <c r="DC103" s="524">
        <v>0.76526749274577277</v>
      </c>
      <c r="DD103" s="524">
        <v>0.85599979057551323</v>
      </c>
      <c r="DE103" s="524">
        <v>0.95728603705528403</v>
      </c>
      <c r="DF103" s="524">
        <v>1.0703394999496219</v>
      </c>
      <c r="DG103" s="524">
        <v>1.1965115106751529</v>
      </c>
      <c r="DH103" s="524">
        <v>1.3373067112427002</v>
      </c>
      <c r="DI103" s="524">
        <v>1.4943997503512394</v>
      </c>
      <c r="DJ103" s="524">
        <v>1.5062350043615984</v>
      </c>
      <c r="DK103" s="524">
        <v>0.78756672902315117</v>
      </c>
      <c r="DL103" s="524">
        <v>2.4577474916531727E-3</v>
      </c>
      <c r="DM103" s="524">
        <v>2.790365908538206E-3</v>
      </c>
      <c r="DN103" s="524">
        <v>3.1649256965788908E-3</v>
      </c>
      <c r="DO103" s="524">
        <v>3.5864931994904481E-3</v>
      </c>
      <c r="DP103" s="524">
        <v>4.0607294614112277E-3</v>
      </c>
      <c r="DQ103" s="524">
        <v>4.5939586440777447E-3</v>
      </c>
      <c r="DR103" s="524">
        <v>-0.10128846011086701</v>
      </c>
      <c r="DS103" s="524">
        <v>0.25534695111976191</v>
      </c>
      <c r="DT103" s="524">
        <v>-6.3006834617684859E-3</v>
      </c>
      <c r="DU103" s="525">
        <v>-7.1592147356263069E-3</v>
      </c>
      <c r="DV103" s="526">
        <v>4.3</v>
      </c>
      <c r="DW103" s="507">
        <v>3</v>
      </c>
      <c r="DX103" s="509">
        <v>8.93</v>
      </c>
      <c r="DY103" s="507">
        <v>6</v>
      </c>
      <c r="DZ103" s="507">
        <v>15</v>
      </c>
      <c r="EA103" s="507">
        <v>0</v>
      </c>
      <c r="EB103" s="507">
        <v>0</v>
      </c>
      <c r="EC103" s="507">
        <v>1786.0000000000002</v>
      </c>
      <c r="ED103" s="507">
        <v>1635.0000000000002</v>
      </c>
      <c r="EE103" s="507">
        <v>0</v>
      </c>
      <c r="EF103" s="507">
        <v>400.99999999999994</v>
      </c>
      <c r="EG103" s="507">
        <v>469</v>
      </c>
      <c r="EH103" s="507">
        <v>205</v>
      </c>
      <c r="EI103" s="507">
        <v>267</v>
      </c>
      <c r="EJ103" s="507">
        <v>903</v>
      </c>
      <c r="EK103" s="507">
        <v>167</v>
      </c>
      <c r="EL103" s="507">
        <v>167</v>
      </c>
      <c r="EM103" s="508">
        <v>6000</v>
      </c>
    </row>
    <row r="104" spans="2:143" x14ac:dyDescent="0.25">
      <c r="B104" s="506" t="str">
        <f>[1]RONET_Input!J75</f>
        <v>214TT00058</v>
      </c>
      <c r="C104" s="359">
        <f>[1]RONET_Input!B75</f>
        <v>73</v>
      </c>
      <c r="D104" s="397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442">
        <f>[1]RONET_Input!K75</f>
        <v>1.97315446011</v>
      </c>
      <c r="Q104" s="398">
        <f>[1]RONET_Input!Y75</f>
        <v>1</v>
      </c>
      <c r="R104" s="398">
        <f>[1]RONET_Input!X75</f>
        <v>3.4</v>
      </c>
      <c r="S104" s="398"/>
      <c r="T104" s="398"/>
      <c r="U104" s="398">
        <f>[1]RONET_Input!AA75</f>
        <v>8</v>
      </c>
      <c r="V104" s="398">
        <f>[1]RONET_Input!AC75</f>
        <v>1</v>
      </c>
      <c r="W104" s="398">
        <f>[1]RONET_Input!AD75</f>
        <v>1</v>
      </c>
      <c r="X104" s="398">
        <f>[1]RONET_Input!AE75</f>
        <v>4</v>
      </c>
      <c r="Y104" s="398">
        <f>[1]RONET_Input!AB75</f>
        <v>1</v>
      </c>
      <c r="Z104" s="438">
        <f>[1]RONET_Input!Z75</f>
        <v>1</v>
      </c>
      <c r="AA104" s="442"/>
      <c r="AB104" s="398"/>
      <c r="AC104" s="438"/>
      <c r="AD104" s="442">
        <f>[1]RONET_Input!AH75</f>
        <v>4</v>
      </c>
      <c r="AE104" s="398">
        <f>[1]RONET_Input!D75</f>
        <v>8.8849999999999998</v>
      </c>
      <c r="AF104" s="398"/>
      <c r="AG104" s="398"/>
      <c r="AH104" s="398"/>
      <c r="AI104" s="438"/>
      <c r="AJ104" s="442">
        <v>1</v>
      </c>
      <c r="AK104" s="442">
        <f>[1]RONET_Input!AF75</f>
        <v>4</v>
      </c>
      <c r="AL104" s="507"/>
      <c r="AM104" s="507"/>
      <c r="AN104" s="507"/>
      <c r="AO104" s="507"/>
      <c r="AP104" s="507"/>
      <c r="AQ104" s="507"/>
      <c r="AR104" s="507"/>
      <c r="AS104" s="507"/>
      <c r="AT104" s="507"/>
      <c r="AU104" s="507"/>
      <c r="AV104" s="507"/>
      <c r="AW104" s="507"/>
      <c r="AX104" s="508"/>
      <c r="AY104" s="509">
        <f>[1]RONET_Input!AG75</f>
        <v>3</v>
      </c>
      <c r="AZ104" s="359" t="s">
        <v>321</v>
      </c>
      <c r="BA104" s="360" t="s">
        <v>502</v>
      </c>
      <c r="BB104" s="360" t="s">
        <v>443</v>
      </c>
      <c r="BC104" s="510">
        <v>9.5934769850548204E-2</v>
      </c>
      <c r="BD104" s="510">
        <v>4.8620000000000003E-2</v>
      </c>
      <c r="BE104" s="438">
        <v>5</v>
      </c>
      <c r="BF104" s="511">
        <v>0.92339915947834417</v>
      </c>
      <c r="BG104" s="512">
        <v>0.46798118350393425</v>
      </c>
      <c r="BH104" s="512">
        <v>9.6252814377608846</v>
      </c>
      <c r="BI104" s="513">
        <v>0</v>
      </c>
      <c r="BJ104" s="514">
        <v>375</v>
      </c>
      <c r="BK104" s="515">
        <v>0.22366666666666665</v>
      </c>
      <c r="BL104" s="512">
        <v>0.2700755167275562</v>
      </c>
      <c r="BM104" s="516">
        <v>6.4108143749999999E-2</v>
      </c>
      <c r="BN104" s="517">
        <v>375</v>
      </c>
      <c r="BO104" s="518">
        <v>397.50000000000011</v>
      </c>
      <c r="BP104" s="518">
        <v>421.34999999999991</v>
      </c>
      <c r="BQ104" s="518">
        <v>446.63099999999997</v>
      </c>
      <c r="BR104" s="518">
        <v>473.42885999999999</v>
      </c>
      <c r="BS104" s="518">
        <v>501.83459160000012</v>
      </c>
      <c r="BT104" s="518">
        <v>531.9446670960001</v>
      </c>
      <c r="BU104" s="518">
        <v>563.86134712175999</v>
      </c>
      <c r="BV104" s="518">
        <v>597.69302794906582</v>
      </c>
      <c r="BW104" s="518">
        <v>633.55460962600955</v>
      </c>
      <c r="BX104" s="518">
        <v>671.56788620357008</v>
      </c>
      <c r="BY104" s="518">
        <v>711.86195937578441</v>
      </c>
      <c r="BZ104" s="518">
        <v>754.57367693833146</v>
      </c>
      <c r="CA104" s="518">
        <v>799.84809755463141</v>
      </c>
      <c r="CB104" s="518">
        <v>847.83898340790915</v>
      </c>
      <c r="CC104" s="518">
        <v>898.70932241238381</v>
      </c>
      <c r="CD104" s="518">
        <v>952.63188175712685</v>
      </c>
      <c r="CE104" s="518">
        <v>1009.7897946625544</v>
      </c>
      <c r="CF104" s="518">
        <v>1070.3771823423076</v>
      </c>
      <c r="CG104" s="519">
        <v>1134.5998132828461</v>
      </c>
      <c r="CH104" s="520">
        <v>8.8849999999999998</v>
      </c>
      <c r="CI104" s="521">
        <v>9.0626999999999995</v>
      </c>
      <c r="CJ104" s="521">
        <v>9.2439539999999987</v>
      </c>
      <c r="CK104" s="521">
        <v>9.4288330799999986</v>
      </c>
      <c r="CL104" s="521">
        <v>2.5</v>
      </c>
      <c r="CM104" s="521">
        <v>2.5499999999999998</v>
      </c>
      <c r="CN104" s="521">
        <v>2.601</v>
      </c>
      <c r="CO104" s="521">
        <v>2.6530200000000002</v>
      </c>
      <c r="CP104" s="521">
        <v>2.7060804000000003</v>
      </c>
      <c r="CQ104" s="521">
        <v>2.7602020080000003</v>
      </c>
      <c r="CR104" s="521">
        <v>2.8154060481600003</v>
      </c>
      <c r="CS104" s="521">
        <v>2.8717141691232002</v>
      </c>
      <c r="CT104" s="521">
        <v>2.5</v>
      </c>
      <c r="CU104" s="521">
        <v>2.5499999999999998</v>
      </c>
      <c r="CV104" s="521">
        <v>2.601</v>
      </c>
      <c r="CW104" s="521">
        <v>2.6530200000000002</v>
      </c>
      <c r="CX104" s="521">
        <v>2.7060804000000003</v>
      </c>
      <c r="CY104" s="521">
        <v>2.7602020080000003</v>
      </c>
      <c r="CZ104" s="521">
        <v>2.8154060481600003</v>
      </c>
      <c r="DA104" s="522">
        <v>2.8717141691232002</v>
      </c>
      <c r="DB104" s="523">
        <v>0</v>
      </c>
      <c r="DC104" s="524">
        <v>0</v>
      </c>
      <c r="DD104" s="524">
        <v>0</v>
      </c>
      <c r="DE104" s="524">
        <v>0</v>
      </c>
      <c r="DF104" s="524">
        <v>-5.5360948668588039E-2</v>
      </c>
      <c r="DG104" s="524">
        <v>3.5186607843453732E-2</v>
      </c>
      <c r="DH104" s="524">
        <v>3.876206603997398E-2</v>
      </c>
      <c r="DI104" s="524">
        <v>4.2699215103061627E-2</v>
      </c>
      <c r="DJ104" s="524">
        <v>4.7034532221363445E-2</v>
      </c>
      <c r="DK104" s="524">
        <v>1.3520448470590243</v>
      </c>
      <c r="DL104" s="524">
        <v>5.9106178160606426E-3</v>
      </c>
      <c r="DM104" s="524">
        <v>5.9030147703267033E-3</v>
      </c>
      <c r="DN104" s="524">
        <v>-8.0049204695948006E-2</v>
      </c>
      <c r="DO104" s="524">
        <v>7.3569693593747987E-3</v>
      </c>
      <c r="DP104" s="524">
        <v>7.4581453895859462E-3</v>
      </c>
      <c r="DQ104" s="524">
        <v>7.5536977778717374E-3</v>
      </c>
      <c r="DR104" s="524">
        <v>7.642189745109218E-3</v>
      </c>
      <c r="DS104" s="524">
        <v>0.18828155562977927</v>
      </c>
      <c r="DT104" s="524">
        <v>8.7181619713462277E-3</v>
      </c>
      <c r="DU104" s="525">
        <v>8.8909340455394226E-3</v>
      </c>
      <c r="DV104" s="526">
        <v>3.4</v>
      </c>
      <c r="DW104" s="507">
        <v>1</v>
      </c>
      <c r="DX104" s="509">
        <v>8.8849999999999998</v>
      </c>
      <c r="DY104" s="507">
        <v>2</v>
      </c>
      <c r="DZ104" s="507">
        <v>15</v>
      </c>
      <c r="EA104" s="507">
        <v>0</v>
      </c>
      <c r="EB104" s="507">
        <v>0</v>
      </c>
      <c r="EC104" s="507">
        <v>111.62500000000001</v>
      </c>
      <c r="ED104" s="507">
        <v>102.18750000000001</v>
      </c>
      <c r="EE104" s="507">
        <v>0</v>
      </c>
      <c r="EF104" s="507">
        <v>25.062499999999996</v>
      </c>
      <c r="EG104" s="507">
        <v>29.3125</v>
      </c>
      <c r="EH104" s="507">
        <v>12.8125</v>
      </c>
      <c r="EI104" s="507">
        <v>16.6875</v>
      </c>
      <c r="EJ104" s="507">
        <v>56.4375</v>
      </c>
      <c r="EK104" s="507">
        <v>10.4375</v>
      </c>
      <c r="EL104" s="507">
        <v>10.4375</v>
      </c>
      <c r="EM104" s="508">
        <v>375</v>
      </c>
    </row>
    <row r="105" spans="2:143" x14ac:dyDescent="0.25">
      <c r="B105" s="506" t="str">
        <f>[1]RONET_Input!J76</f>
        <v xml:space="preserve">Input VPROMMS: 212th00023 (61.54 pct); 212TH00023 (30.77 pct); 214TT00056 (7.69 pct); </v>
      </c>
      <c r="C105" s="359">
        <f>[1]RONET_Input!B76</f>
        <v>74</v>
      </c>
      <c r="D105" s="397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442">
        <f>[1]RONET_Input!K76</f>
        <v>0.23458030134300001</v>
      </c>
      <c r="Q105" s="398">
        <f>[1]RONET_Input!Y76</f>
        <v>2</v>
      </c>
      <c r="R105" s="398">
        <f>[1]RONET_Input!X76</f>
        <v>3.5</v>
      </c>
      <c r="S105" s="398"/>
      <c r="T105" s="398"/>
      <c r="U105" s="398">
        <f>[1]RONET_Input!AA76</f>
        <v>8</v>
      </c>
      <c r="V105" s="398">
        <f>[1]RONET_Input!AC76</f>
        <v>1</v>
      </c>
      <c r="W105" s="398">
        <f>[1]RONET_Input!AD76</f>
        <v>1</v>
      </c>
      <c r="X105" s="398">
        <f>[1]RONET_Input!AE76</f>
        <v>4</v>
      </c>
      <c r="Y105" s="398">
        <f>[1]RONET_Input!AB76</f>
        <v>1</v>
      </c>
      <c r="Z105" s="438">
        <f>[1]RONET_Input!Z76</f>
        <v>1</v>
      </c>
      <c r="AA105" s="442"/>
      <c r="AB105" s="398"/>
      <c r="AC105" s="438"/>
      <c r="AD105" s="442">
        <f>[1]RONET_Input!AH76</f>
        <v>3</v>
      </c>
      <c r="AE105" s="398">
        <f>[1]RONET_Input!D76</f>
        <v>6.72</v>
      </c>
      <c r="AF105" s="398"/>
      <c r="AG105" s="398"/>
      <c r="AH105" s="398"/>
      <c r="AI105" s="438"/>
      <c r="AJ105" s="442">
        <v>1</v>
      </c>
      <c r="AK105" s="442">
        <f>[1]RONET_Input!AF76</f>
        <v>4</v>
      </c>
      <c r="AL105" s="507"/>
      <c r="AM105" s="507"/>
      <c r="AN105" s="507"/>
      <c r="AO105" s="507"/>
      <c r="AP105" s="507"/>
      <c r="AQ105" s="507"/>
      <c r="AR105" s="507"/>
      <c r="AS105" s="507"/>
      <c r="AT105" s="507"/>
      <c r="AU105" s="507"/>
      <c r="AV105" s="507"/>
      <c r="AW105" s="507"/>
      <c r="AX105" s="508"/>
      <c r="AY105" s="509">
        <f>[1]RONET_Input!AG76</f>
        <v>3</v>
      </c>
      <c r="AZ105" s="359" t="s">
        <v>321</v>
      </c>
      <c r="BA105" s="360" t="s">
        <v>502</v>
      </c>
      <c r="BB105" s="360" t="s">
        <v>443</v>
      </c>
      <c r="BC105" s="510">
        <v>1.1740744082217152E-2</v>
      </c>
      <c r="BD105" s="510">
        <v>5.0050000000000011E-2</v>
      </c>
      <c r="BE105" s="438">
        <v>5</v>
      </c>
      <c r="BF105" s="511">
        <v>9.7773571515505669E-2</v>
      </c>
      <c r="BG105" s="512">
        <v>0.41680213963295465</v>
      </c>
      <c r="BH105" s="512">
        <v>8.3277150775815105</v>
      </c>
      <c r="BI105" s="513">
        <v>0</v>
      </c>
      <c r="BJ105" s="514">
        <v>375</v>
      </c>
      <c r="BK105" s="515">
        <v>0.22366666666666665</v>
      </c>
      <c r="BL105" s="512">
        <v>3.2108178746323129E-2</v>
      </c>
      <c r="BM105" s="516">
        <v>3.2054071874999999E-2</v>
      </c>
      <c r="BN105" s="517">
        <v>375</v>
      </c>
      <c r="BO105" s="518">
        <v>397.50000000000011</v>
      </c>
      <c r="BP105" s="518">
        <v>421.34999999999991</v>
      </c>
      <c r="BQ105" s="518">
        <v>446.63099999999997</v>
      </c>
      <c r="BR105" s="518">
        <v>473.42885999999999</v>
      </c>
      <c r="BS105" s="518">
        <v>501.83459160000012</v>
      </c>
      <c r="BT105" s="518">
        <v>531.9446670960001</v>
      </c>
      <c r="BU105" s="518">
        <v>563.86134712175999</v>
      </c>
      <c r="BV105" s="518">
        <v>597.69302794906582</v>
      </c>
      <c r="BW105" s="518">
        <v>633.55460962600955</v>
      </c>
      <c r="BX105" s="518">
        <v>671.56788620357008</v>
      </c>
      <c r="BY105" s="518">
        <v>711.86195937578441</v>
      </c>
      <c r="BZ105" s="518">
        <v>754.57367693833146</v>
      </c>
      <c r="CA105" s="518">
        <v>799.84809755463141</v>
      </c>
      <c r="CB105" s="518">
        <v>847.83898340790915</v>
      </c>
      <c r="CC105" s="518">
        <v>898.70932241238381</v>
      </c>
      <c r="CD105" s="518">
        <v>952.63188175712685</v>
      </c>
      <c r="CE105" s="518">
        <v>1009.7897946625544</v>
      </c>
      <c r="CF105" s="518">
        <v>1070.3771823423076</v>
      </c>
      <c r="CG105" s="519">
        <v>1134.5998132828461</v>
      </c>
      <c r="CH105" s="520">
        <v>6.72</v>
      </c>
      <c r="CI105" s="521">
        <v>6.8544</v>
      </c>
      <c r="CJ105" s="521">
        <v>6.9914880000000004</v>
      </c>
      <c r="CK105" s="521">
        <v>7.13131776</v>
      </c>
      <c r="CL105" s="521">
        <v>2.5</v>
      </c>
      <c r="CM105" s="521">
        <v>2.5499999999999998</v>
      </c>
      <c r="CN105" s="521">
        <v>2.601</v>
      </c>
      <c r="CO105" s="521">
        <v>2.6530200000000002</v>
      </c>
      <c r="CP105" s="521">
        <v>2.7060804000000003</v>
      </c>
      <c r="CQ105" s="521">
        <v>2.7602020080000003</v>
      </c>
      <c r="CR105" s="521">
        <v>2.8154060481600003</v>
      </c>
      <c r="CS105" s="521">
        <v>2.8717141691232002</v>
      </c>
      <c r="CT105" s="521">
        <v>2.5</v>
      </c>
      <c r="CU105" s="521">
        <v>2.5499999999999998</v>
      </c>
      <c r="CV105" s="521">
        <v>2.601</v>
      </c>
      <c r="CW105" s="521">
        <v>2.6530200000000002</v>
      </c>
      <c r="CX105" s="521">
        <v>2.7060804000000003</v>
      </c>
      <c r="CY105" s="521">
        <v>2.7602020080000003</v>
      </c>
      <c r="CZ105" s="521">
        <v>2.8154060481600003</v>
      </c>
      <c r="DA105" s="522">
        <v>2.8717141691232002</v>
      </c>
      <c r="DB105" s="523">
        <v>0</v>
      </c>
      <c r="DC105" s="524">
        <v>0</v>
      </c>
      <c r="DD105" s="524">
        <v>0</v>
      </c>
      <c r="DE105" s="524">
        <v>0</v>
      </c>
      <c r="DF105" s="524">
        <v>-8.7712352370954531E-3</v>
      </c>
      <c r="DG105" s="524">
        <v>2.1144134516516006E-3</v>
      </c>
      <c r="DH105" s="524">
        <v>2.3369452766422889E-3</v>
      </c>
      <c r="DI105" s="524">
        <v>2.5825976301595659E-3</v>
      </c>
      <c r="DJ105" s="524">
        <v>2.8537523908423422E-3</v>
      </c>
      <c r="DK105" s="524">
        <v>0.16008683468248339</v>
      </c>
      <c r="DL105" s="524">
        <v>4.0367044290754578E-5</v>
      </c>
      <c r="DM105" s="524">
        <v>2.9076985337425643E-5</v>
      </c>
      <c r="DN105" s="524">
        <v>-1.0535896202459937E-2</v>
      </c>
      <c r="DO105" s="524">
        <v>1.4732464231505954E-4</v>
      </c>
      <c r="DP105" s="524">
        <v>1.4544178125378004E-4</v>
      </c>
      <c r="DQ105" s="524">
        <v>1.4237350278980404E-4</v>
      </c>
      <c r="DR105" s="524">
        <v>1.3794179071746626E-4</v>
      </c>
      <c r="DS105" s="524">
        <v>2.1597938492218971E-2</v>
      </c>
      <c r="DT105" s="524">
        <v>2.3436095864857315E-4</v>
      </c>
      <c r="DU105" s="525">
        <v>2.3834716005043111E-4</v>
      </c>
      <c r="DV105" s="526">
        <v>3.5</v>
      </c>
      <c r="DW105" s="507">
        <v>1</v>
      </c>
      <c r="DX105" s="509">
        <v>6.72</v>
      </c>
      <c r="DY105" s="507">
        <v>2</v>
      </c>
      <c r="DZ105" s="507">
        <v>10</v>
      </c>
      <c r="EA105" s="507">
        <v>0</v>
      </c>
      <c r="EB105" s="507">
        <v>0</v>
      </c>
      <c r="EC105" s="507">
        <v>111.62500000000001</v>
      </c>
      <c r="ED105" s="507">
        <v>102.18750000000001</v>
      </c>
      <c r="EE105" s="507">
        <v>0</v>
      </c>
      <c r="EF105" s="507">
        <v>25.062499999999996</v>
      </c>
      <c r="EG105" s="507">
        <v>29.3125</v>
      </c>
      <c r="EH105" s="507">
        <v>12.8125</v>
      </c>
      <c r="EI105" s="507">
        <v>16.6875</v>
      </c>
      <c r="EJ105" s="507">
        <v>56.4375</v>
      </c>
      <c r="EK105" s="507">
        <v>10.4375</v>
      </c>
      <c r="EL105" s="507">
        <v>10.4375</v>
      </c>
      <c r="EM105" s="508">
        <v>375</v>
      </c>
    </row>
    <row r="106" spans="2:143" x14ac:dyDescent="0.25">
      <c r="B106" s="506" t="str">
        <f>[1]RONET_Input!J77</f>
        <v xml:space="preserve">Input VPROMMS: 214TT00069 (53.33 pct); 214TT00066 (43.33 pct); 214TT00067 (3.33 pct); </v>
      </c>
      <c r="C106" s="359">
        <f>[1]RONET_Input!B77</f>
        <v>75</v>
      </c>
      <c r="D106" s="397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442">
        <f>[1]RONET_Input!K77</f>
        <v>0.56924715112099999</v>
      </c>
      <c r="Q106" s="398">
        <f>[1]RONET_Input!Y77</f>
        <v>2</v>
      </c>
      <c r="R106" s="398">
        <f>[1]RONET_Input!X77</f>
        <v>3.5</v>
      </c>
      <c r="S106" s="398"/>
      <c r="T106" s="398"/>
      <c r="U106" s="398">
        <f>[1]RONET_Input!AA77</f>
        <v>8</v>
      </c>
      <c r="V106" s="398">
        <f>[1]RONET_Input!AC77</f>
        <v>1</v>
      </c>
      <c r="W106" s="398">
        <f>[1]RONET_Input!AD77</f>
        <v>1</v>
      </c>
      <c r="X106" s="398">
        <f>[1]RONET_Input!AE77</f>
        <v>4</v>
      </c>
      <c r="Y106" s="398">
        <f>[1]RONET_Input!AB77</f>
        <v>1</v>
      </c>
      <c r="Z106" s="438">
        <f>[1]RONET_Input!Z77</f>
        <v>1</v>
      </c>
      <c r="AA106" s="442"/>
      <c r="AB106" s="398"/>
      <c r="AC106" s="438"/>
      <c r="AD106" s="442">
        <f>[1]RONET_Input!AH77</f>
        <v>3</v>
      </c>
      <c r="AE106" s="398">
        <f>[1]RONET_Input!D77</f>
        <v>7.27</v>
      </c>
      <c r="AF106" s="398"/>
      <c r="AG106" s="398"/>
      <c r="AH106" s="398"/>
      <c r="AI106" s="438"/>
      <c r="AJ106" s="442">
        <v>1</v>
      </c>
      <c r="AK106" s="442">
        <f>[1]RONET_Input!AF77</f>
        <v>4</v>
      </c>
      <c r="AL106" s="507"/>
      <c r="AM106" s="507"/>
      <c r="AN106" s="507"/>
      <c r="AO106" s="507"/>
      <c r="AP106" s="507"/>
      <c r="AQ106" s="507"/>
      <c r="AR106" s="507"/>
      <c r="AS106" s="507"/>
      <c r="AT106" s="507"/>
      <c r="AU106" s="507"/>
      <c r="AV106" s="507"/>
      <c r="AW106" s="507"/>
      <c r="AX106" s="508"/>
      <c r="AY106" s="509">
        <f>[1]RONET_Input!AG77</f>
        <v>3</v>
      </c>
      <c r="AZ106" s="359" t="s">
        <v>321</v>
      </c>
      <c r="BA106" s="360" t="s">
        <v>502</v>
      </c>
      <c r="BB106" s="360" t="s">
        <v>443</v>
      </c>
      <c r="BC106" s="510">
        <v>2.8490819913606052E-2</v>
      </c>
      <c r="BD106" s="510">
        <v>5.0050000000000004E-2</v>
      </c>
      <c r="BE106" s="438">
        <v>5</v>
      </c>
      <c r="BF106" s="511">
        <v>0.24124890131499432</v>
      </c>
      <c r="BG106" s="512">
        <v>0.42380344080758359</v>
      </c>
      <c r="BH106" s="512">
        <v>8.4676012149367352</v>
      </c>
      <c r="BI106" s="513">
        <v>0</v>
      </c>
      <c r="BJ106" s="514">
        <v>375</v>
      </c>
      <c r="BK106" s="515">
        <v>0.22366666666666665</v>
      </c>
      <c r="BL106" s="512">
        <v>7.7915703809686876E-2</v>
      </c>
      <c r="BM106" s="516">
        <v>3.2054071874999999E-2</v>
      </c>
      <c r="BN106" s="517">
        <v>375</v>
      </c>
      <c r="BO106" s="518">
        <v>397.50000000000011</v>
      </c>
      <c r="BP106" s="518">
        <v>421.34999999999991</v>
      </c>
      <c r="BQ106" s="518">
        <v>446.63099999999997</v>
      </c>
      <c r="BR106" s="518">
        <v>473.42885999999999</v>
      </c>
      <c r="BS106" s="518">
        <v>501.83459160000012</v>
      </c>
      <c r="BT106" s="518">
        <v>531.9446670960001</v>
      </c>
      <c r="BU106" s="518">
        <v>563.86134712175999</v>
      </c>
      <c r="BV106" s="518">
        <v>597.69302794906582</v>
      </c>
      <c r="BW106" s="518">
        <v>633.55460962600955</v>
      </c>
      <c r="BX106" s="518">
        <v>671.56788620357008</v>
      </c>
      <c r="BY106" s="518">
        <v>711.86195937578441</v>
      </c>
      <c r="BZ106" s="518">
        <v>754.57367693833146</v>
      </c>
      <c r="CA106" s="518">
        <v>799.84809755463141</v>
      </c>
      <c r="CB106" s="518">
        <v>847.83898340790915</v>
      </c>
      <c r="CC106" s="518">
        <v>898.70932241238381</v>
      </c>
      <c r="CD106" s="518">
        <v>952.63188175712685</v>
      </c>
      <c r="CE106" s="518">
        <v>1009.7897946625544</v>
      </c>
      <c r="CF106" s="518">
        <v>1070.3771823423076</v>
      </c>
      <c r="CG106" s="519">
        <v>1134.5998132828461</v>
      </c>
      <c r="CH106" s="520">
        <v>7.27</v>
      </c>
      <c r="CI106" s="521">
        <v>7.4154</v>
      </c>
      <c r="CJ106" s="521">
        <v>7.5637080000000001</v>
      </c>
      <c r="CK106" s="521">
        <v>7.7149821599999999</v>
      </c>
      <c r="CL106" s="521">
        <v>2.5</v>
      </c>
      <c r="CM106" s="521">
        <v>2.5499999999999998</v>
      </c>
      <c r="CN106" s="521">
        <v>2.601</v>
      </c>
      <c r="CO106" s="521">
        <v>2.6530200000000002</v>
      </c>
      <c r="CP106" s="521">
        <v>2.7060804000000003</v>
      </c>
      <c r="CQ106" s="521">
        <v>2.7602020080000003</v>
      </c>
      <c r="CR106" s="521">
        <v>2.8154060481600003</v>
      </c>
      <c r="CS106" s="521">
        <v>2.8717141691232002</v>
      </c>
      <c r="CT106" s="521">
        <v>2.5</v>
      </c>
      <c r="CU106" s="521">
        <v>2.5499999999999998</v>
      </c>
      <c r="CV106" s="521">
        <v>2.601</v>
      </c>
      <c r="CW106" s="521">
        <v>2.6530200000000002</v>
      </c>
      <c r="CX106" s="521">
        <v>2.7060804000000003</v>
      </c>
      <c r="CY106" s="521">
        <v>2.7602020080000003</v>
      </c>
      <c r="CZ106" s="521">
        <v>2.8154060481600003</v>
      </c>
      <c r="DA106" s="522">
        <v>2.8717141691232002</v>
      </c>
      <c r="DB106" s="523">
        <v>0</v>
      </c>
      <c r="DC106" s="524">
        <v>0</v>
      </c>
      <c r="DD106" s="524">
        <v>0</v>
      </c>
      <c r="DE106" s="524">
        <v>0</v>
      </c>
      <c r="DF106" s="524">
        <v>-2.0357094314193261E-2</v>
      </c>
      <c r="DG106" s="524">
        <v>6.1543974875074084E-3</v>
      </c>
      <c r="DH106" s="524">
        <v>6.7999261321856908E-3</v>
      </c>
      <c r="DI106" s="524">
        <v>7.5123863867299426E-3</v>
      </c>
      <c r="DJ106" s="524">
        <v>8.2986679616783784E-3</v>
      </c>
      <c r="DK106" s="524">
        <v>0.38847667111542616</v>
      </c>
      <c r="DL106" s="524">
        <v>9.7957180675997679E-5</v>
      </c>
      <c r="DM106" s="524">
        <v>7.056002133067063E-5</v>
      </c>
      <c r="DN106" s="524">
        <v>-2.5567061101977942E-2</v>
      </c>
      <c r="DO106" s="524">
        <v>3.5750714125454275E-4</v>
      </c>
      <c r="DP106" s="524">
        <v>3.5293807348137085E-4</v>
      </c>
      <c r="DQ106" s="524">
        <v>3.4549239810084675E-4</v>
      </c>
      <c r="DR106" s="524">
        <v>3.3473812991498264E-4</v>
      </c>
      <c r="DS106" s="524">
        <v>5.2410901027897014E-2</v>
      </c>
      <c r="DT106" s="524">
        <v>5.6871488049464736E-4</v>
      </c>
      <c r="DU106" s="525">
        <v>5.7838804477491901E-4</v>
      </c>
      <c r="DV106" s="526">
        <v>3.5</v>
      </c>
      <c r="DW106" s="507">
        <v>1</v>
      </c>
      <c r="DX106" s="509">
        <v>7.27</v>
      </c>
      <c r="DY106" s="507">
        <v>2</v>
      </c>
      <c r="DZ106" s="507">
        <v>10</v>
      </c>
      <c r="EA106" s="507">
        <v>0</v>
      </c>
      <c r="EB106" s="507">
        <v>0</v>
      </c>
      <c r="EC106" s="507">
        <v>111.62500000000001</v>
      </c>
      <c r="ED106" s="507">
        <v>102.18750000000001</v>
      </c>
      <c r="EE106" s="507">
        <v>0</v>
      </c>
      <c r="EF106" s="507">
        <v>25.062499999999996</v>
      </c>
      <c r="EG106" s="507">
        <v>29.3125</v>
      </c>
      <c r="EH106" s="507">
        <v>12.8125</v>
      </c>
      <c r="EI106" s="507">
        <v>16.6875</v>
      </c>
      <c r="EJ106" s="507">
        <v>56.4375</v>
      </c>
      <c r="EK106" s="507">
        <v>10.4375</v>
      </c>
      <c r="EL106" s="507">
        <v>10.4375</v>
      </c>
      <c r="EM106" s="508">
        <v>375</v>
      </c>
    </row>
    <row r="107" spans="2:143" x14ac:dyDescent="0.25">
      <c r="B107" s="506" t="str">
        <f>[1]RONET_Input!J78</f>
        <v>214TT00058</v>
      </c>
      <c r="C107" s="359">
        <f>[1]RONET_Input!B78</f>
        <v>76</v>
      </c>
      <c r="D107" s="397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442">
        <f>[1]RONET_Input!K78</f>
        <v>0.25509825235</v>
      </c>
      <c r="Q107" s="398">
        <f>[1]RONET_Input!Y78</f>
        <v>1</v>
      </c>
      <c r="R107" s="398">
        <f>[1]RONET_Input!X78</f>
        <v>3.4</v>
      </c>
      <c r="S107" s="398"/>
      <c r="T107" s="398"/>
      <c r="U107" s="398">
        <f>[1]RONET_Input!AA78</f>
        <v>8</v>
      </c>
      <c r="V107" s="398">
        <f>[1]RONET_Input!AC78</f>
        <v>1</v>
      </c>
      <c r="W107" s="398">
        <f>[1]RONET_Input!AD78</f>
        <v>1</v>
      </c>
      <c r="X107" s="398">
        <f>[1]RONET_Input!AE78</f>
        <v>4</v>
      </c>
      <c r="Y107" s="398">
        <f>[1]RONET_Input!AB78</f>
        <v>1</v>
      </c>
      <c r="Z107" s="438">
        <f>[1]RONET_Input!Z78</f>
        <v>1</v>
      </c>
      <c r="AA107" s="442"/>
      <c r="AB107" s="398"/>
      <c r="AC107" s="438"/>
      <c r="AD107" s="442">
        <f>[1]RONET_Input!AH78</f>
        <v>4</v>
      </c>
      <c r="AE107" s="398">
        <f>[1]RONET_Input!D78</f>
        <v>8.8849999999999998</v>
      </c>
      <c r="AF107" s="398"/>
      <c r="AG107" s="398"/>
      <c r="AH107" s="398"/>
      <c r="AI107" s="438"/>
      <c r="AJ107" s="442">
        <v>1</v>
      </c>
      <c r="AK107" s="442">
        <f>[1]RONET_Input!AF78</f>
        <v>4</v>
      </c>
      <c r="AL107" s="507"/>
      <c r="AM107" s="507"/>
      <c r="AN107" s="507"/>
      <c r="AO107" s="507"/>
      <c r="AP107" s="507"/>
      <c r="AQ107" s="507"/>
      <c r="AR107" s="507"/>
      <c r="AS107" s="507"/>
      <c r="AT107" s="507"/>
      <c r="AU107" s="507"/>
      <c r="AV107" s="507"/>
      <c r="AW107" s="507"/>
      <c r="AX107" s="508"/>
      <c r="AY107" s="509">
        <f>[1]RONET_Input!AG78</f>
        <v>3</v>
      </c>
      <c r="AZ107" s="359" t="s">
        <v>321</v>
      </c>
      <c r="BA107" s="360" t="s">
        <v>502</v>
      </c>
      <c r="BB107" s="360" t="s">
        <v>443</v>
      </c>
      <c r="BC107" s="510">
        <v>1.2402877029257001E-2</v>
      </c>
      <c r="BD107" s="510">
        <v>4.8620000000000003E-2</v>
      </c>
      <c r="BE107" s="438">
        <v>5</v>
      </c>
      <c r="BF107" s="511">
        <v>0.11938118204453826</v>
      </c>
      <c r="BG107" s="512">
        <v>0.46798118350393419</v>
      </c>
      <c r="BH107" s="512">
        <v>9.6252814377608829</v>
      </c>
      <c r="BI107" s="513">
        <v>0</v>
      </c>
      <c r="BJ107" s="514">
        <v>375</v>
      </c>
      <c r="BK107" s="515">
        <v>0.22366666666666665</v>
      </c>
      <c r="BL107" s="512">
        <v>3.4916573290406254E-2</v>
      </c>
      <c r="BM107" s="516">
        <v>6.4108143749999999E-2</v>
      </c>
      <c r="BN107" s="517">
        <v>375</v>
      </c>
      <c r="BO107" s="518">
        <v>397.50000000000011</v>
      </c>
      <c r="BP107" s="518">
        <v>421.34999999999991</v>
      </c>
      <c r="BQ107" s="518">
        <v>446.63099999999997</v>
      </c>
      <c r="BR107" s="518">
        <v>473.42885999999999</v>
      </c>
      <c r="BS107" s="518">
        <v>501.83459160000012</v>
      </c>
      <c r="BT107" s="518">
        <v>531.9446670960001</v>
      </c>
      <c r="BU107" s="518">
        <v>563.86134712175999</v>
      </c>
      <c r="BV107" s="518">
        <v>597.69302794906582</v>
      </c>
      <c r="BW107" s="518">
        <v>633.55460962600955</v>
      </c>
      <c r="BX107" s="518">
        <v>671.56788620357008</v>
      </c>
      <c r="BY107" s="518">
        <v>711.86195937578441</v>
      </c>
      <c r="BZ107" s="518">
        <v>754.57367693833146</v>
      </c>
      <c r="CA107" s="518">
        <v>799.84809755463141</v>
      </c>
      <c r="CB107" s="518">
        <v>847.83898340790915</v>
      </c>
      <c r="CC107" s="518">
        <v>898.70932241238381</v>
      </c>
      <c r="CD107" s="518">
        <v>952.63188175712685</v>
      </c>
      <c r="CE107" s="518">
        <v>1009.7897946625544</v>
      </c>
      <c r="CF107" s="518">
        <v>1070.3771823423076</v>
      </c>
      <c r="CG107" s="519">
        <v>1134.5998132828461</v>
      </c>
      <c r="CH107" s="520">
        <v>8.8849999999999998</v>
      </c>
      <c r="CI107" s="521">
        <v>9.0626999999999995</v>
      </c>
      <c r="CJ107" s="521">
        <v>9.2439539999999987</v>
      </c>
      <c r="CK107" s="521">
        <v>9.4288330799999986</v>
      </c>
      <c r="CL107" s="521">
        <v>2.5</v>
      </c>
      <c r="CM107" s="521">
        <v>2.5499999999999998</v>
      </c>
      <c r="CN107" s="521">
        <v>2.601</v>
      </c>
      <c r="CO107" s="521">
        <v>2.6530200000000002</v>
      </c>
      <c r="CP107" s="521">
        <v>2.7060804000000003</v>
      </c>
      <c r="CQ107" s="521">
        <v>2.7602020080000003</v>
      </c>
      <c r="CR107" s="521">
        <v>2.8154060481600003</v>
      </c>
      <c r="CS107" s="521">
        <v>2.8717141691232002</v>
      </c>
      <c r="CT107" s="521">
        <v>2.5</v>
      </c>
      <c r="CU107" s="521">
        <v>2.5499999999999998</v>
      </c>
      <c r="CV107" s="521">
        <v>2.601</v>
      </c>
      <c r="CW107" s="521">
        <v>2.6530200000000002</v>
      </c>
      <c r="CX107" s="521">
        <v>2.7060804000000003</v>
      </c>
      <c r="CY107" s="521">
        <v>2.7602020080000003</v>
      </c>
      <c r="CZ107" s="521">
        <v>2.8154060481600003</v>
      </c>
      <c r="DA107" s="522">
        <v>2.8717141691232002</v>
      </c>
      <c r="DB107" s="523">
        <v>0</v>
      </c>
      <c r="DC107" s="524">
        <v>0</v>
      </c>
      <c r="DD107" s="524">
        <v>0</v>
      </c>
      <c r="DE107" s="524">
        <v>0</v>
      </c>
      <c r="DF107" s="524">
        <v>-7.1573115735742016E-3</v>
      </c>
      <c r="DG107" s="524">
        <v>4.5490823696029588E-3</v>
      </c>
      <c r="DH107" s="524">
        <v>5.0113336305772013E-3</v>
      </c>
      <c r="DI107" s="524">
        <v>5.5203459078923336E-3</v>
      </c>
      <c r="DJ107" s="524">
        <v>6.0808351359886402E-3</v>
      </c>
      <c r="DK107" s="524">
        <v>0.17479841773986227</v>
      </c>
      <c r="DL107" s="524">
        <v>7.6415116285512633E-4</v>
      </c>
      <c r="DM107" s="524">
        <v>7.631682070255337E-4</v>
      </c>
      <c r="DN107" s="524">
        <v>-1.0349119966414265E-2</v>
      </c>
      <c r="DO107" s="524">
        <v>9.5114197297275355E-4</v>
      </c>
      <c r="DP107" s="524">
        <v>9.6422246363294523E-4</v>
      </c>
      <c r="DQ107" s="524">
        <v>9.765759046596531E-4</v>
      </c>
      <c r="DR107" s="524">
        <v>9.8801654280819551E-4</v>
      </c>
      <c r="DS107" s="524">
        <v>2.4341883396304588E-2</v>
      </c>
      <c r="DT107" s="524">
        <v>1.1271230547610922E-3</v>
      </c>
      <c r="DU107" s="525">
        <v>1.1494598028832376E-3</v>
      </c>
      <c r="DV107" s="526">
        <v>3.4</v>
      </c>
      <c r="DW107" s="507">
        <v>1</v>
      </c>
      <c r="DX107" s="509">
        <v>8.8849999999999998</v>
      </c>
      <c r="DY107" s="507">
        <v>2</v>
      </c>
      <c r="DZ107" s="507">
        <v>15</v>
      </c>
      <c r="EA107" s="507">
        <v>0</v>
      </c>
      <c r="EB107" s="507">
        <v>0</v>
      </c>
      <c r="EC107" s="507">
        <v>111.62500000000001</v>
      </c>
      <c r="ED107" s="507">
        <v>102.18750000000001</v>
      </c>
      <c r="EE107" s="507">
        <v>0</v>
      </c>
      <c r="EF107" s="507">
        <v>25.062499999999996</v>
      </c>
      <c r="EG107" s="507">
        <v>29.3125</v>
      </c>
      <c r="EH107" s="507">
        <v>12.8125</v>
      </c>
      <c r="EI107" s="507">
        <v>16.6875</v>
      </c>
      <c r="EJ107" s="507">
        <v>56.4375</v>
      </c>
      <c r="EK107" s="507">
        <v>10.4375</v>
      </c>
      <c r="EL107" s="507">
        <v>10.4375</v>
      </c>
      <c r="EM107" s="508">
        <v>375</v>
      </c>
    </row>
    <row r="108" spans="2:143" x14ac:dyDescent="0.25">
      <c r="B108" s="506" t="str">
        <f>[1]RONET_Input!J79</f>
        <v>214TT00056</v>
      </c>
      <c r="C108" s="359">
        <f>[1]RONET_Input!B79</f>
        <v>77</v>
      </c>
      <c r="D108" s="397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442">
        <f>[1]RONET_Input!K79</f>
        <v>0.41138180101400001</v>
      </c>
      <c r="Q108" s="398">
        <f>[1]RONET_Input!Y79</f>
        <v>1</v>
      </c>
      <c r="R108" s="398">
        <f>[1]RONET_Input!X79</f>
        <v>3.4</v>
      </c>
      <c r="S108" s="398"/>
      <c r="T108" s="398"/>
      <c r="U108" s="398">
        <f>[1]RONET_Input!AA79</f>
        <v>8</v>
      </c>
      <c r="V108" s="398">
        <f>[1]RONET_Input!AC79</f>
        <v>1</v>
      </c>
      <c r="W108" s="398">
        <f>[1]RONET_Input!AD79</f>
        <v>1</v>
      </c>
      <c r="X108" s="398">
        <f>[1]RONET_Input!AE79</f>
        <v>4</v>
      </c>
      <c r="Y108" s="398">
        <f>[1]RONET_Input!AB79</f>
        <v>1</v>
      </c>
      <c r="Z108" s="438">
        <f>[1]RONET_Input!Z79</f>
        <v>1</v>
      </c>
      <c r="AA108" s="442"/>
      <c r="AB108" s="398"/>
      <c r="AC108" s="438"/>
      <c r="AD108" s="442">
        <f>[1]RONET_Input!AH79</f>
        <v>5</v>
      </c>
      <c r="AE108" s="398">
        <f>[1]RONET_Input!D79</f>
        <v>16.010000000000002</v>
      </c>
      <c r="AF108" s="398"/>
      <c r="AG108" s="398"/>
      <c r="AH108" s="398"/>
      <c r="AI108" s="438"/>
      <c r="AJ108" s="442">
        <v>1</v>
      </c>
      <c r="AK108" s="442">
        <f>[1]RONET_Input!AF79</f>
        <v>4</v>
      </c>
      <c r="AL108" s="507"/>
      <c r="AM108" s="507"/>
      <c r="AN108" s="507"/>
      <c r="AO108" s="507"/>
      <c r="AP108" s="507"/>
      <c r="AQ108" s="507"/>
      <c r="AR108" s="507"/>
      <c r="AS108" s="507"/>
      <c r="AT108" s="507"/>
      <c r="AU108" s="507"/>
      <c r="AV108" s="507"/>
      <c r="AW108" s="507"/>
      <c r="AX108" s="508"/>
      <c r="AY108" s="509">
        <f>[1]RONET_Input!AG79</f>
        <v>3</v>
      </c>
      <c r="AZ108" s="359" t="s">
        <v>321</v>
      </c>
      <c r="BA108" s="360" t="s">
        <v>502</v>
      </c>
      <c r="BB108" s="360" t="s">
        <v>443</v>
      </c>
      <c r="BC108" s="510">
        <v>2.000138316530068E-2</v>
      </c>
      <c r="BD108" s="510">
        <v>4.8619999999999997E-2</v>
      </c>
      <c r="BE108" s="438">
        <v>1</v>
      </c>
      <c r="BF108" s="511">
        <v>0.28152625247152485</v>
      </c>
      <c r="BG108" s="512">
        <v>0.68434299178427693</v>
      </c>
      <c r="BH108" s="512">
        <v>14.075339197537575</v>
      </c>
      <c r="BI108" s="513">
        <v>0</v>
      </c>
      <c r="BJ108" s="514">
        <v>375</v>
      </c>
      <c r="BK108" s="515">
        <v>0.22366666666666665</v>
      </c>
      <c r="BL108" s="512">
        <v>5.6307884013791262E-2</v>
      </c>
      <c r="BM108" s="516">
        <v>6.4108143749999999E-2</v>
      </c>
      <c r="BN108" s="517">
        <v>375</v>
      </c>
      <c r="BO108" s="518">
        <v>397.50000000000011</v>
      </c>
      <c r="BP108" s="518">
        <v>421.34999999999991</v>
      </c>
      <c r="BQ108" s="518">
        <v>446.63099999999997</v>
      </c>
      <c r="BR108" s="518">
        <v>473.42885999999999</v>
      </c>
      <c r="BS108" s="518">
        <v>501.83459160000012</v>
      </c>
      <c r="BT108" s="518">
        <v>531.9446670960001</v>
      </c>
      <c r="BU108" s="518">
        <v>563.86134712175999</v>
      </c>
      <c r="BV108" s="518">
        <v>597.69302794906582</v>
      </c>
      <c r="BW108" s="518">
        <v>633.55460962600955</v>
      </c>
      <c r="BX108" s="518">
        <v>671.56788620357008</v>
      </c>
      <c r="BY108" s="518">
        <v>711.86195937578441</v>
      </c>
      <c r="BZ108" s="518">
        <v>754.57367693833146</v>
      </c>
      <c r="CA108" s="518">
        <v>799.84809755463141</v>
      </c>
      <c r="CB108" s="518">
        <v>847.83898340790915</v>
      </c>
      <c r="CC108" s="518">
        <v>898.70932241238381</v>
      </c>
      <c r="CD108" s="518">
        <v>952.63188175712685</v>
      </c>
      <c r="CE108" s="518">
        <v>1009.7897946625544</v>
      </c>
      <c r="CF108" s="518">
        <v>1070.3771823423076</v>
      </c>
      <c r="CG108" s="519">
        <v>1134.5998132828461</v>
      </c>
      <c r="CH108" s="520">
        <v>2.5</v>
      </c>
      <c r="CI108" s="521">
        <v>2.5499999999999998</v>
      </c>
      <c r="CJ108" s="521">
        <v>2.601</v>
      </c>
      <c r="CK108" s="521">
        <v>2.6530200000000002</v>
      </c>
      <c r="CL108" s="521">
        <v>2.7060804000000003</v>
      </c>
      <c r="CM108" s="521">
        <v>2.7602020080000003</v>
      </c>
      <c r="CN108" s="521">
        <v>2.8154060481600003</v>
      </c>
      <c r="CO108" s="521">
        <v>2.8717141691232002</v>
      </c>
      <c r="CP108" s="521">
        <v>2.5</v>
      </c>
      <c r="CQ108" s="521">
        <v>2.5499999999999998</v>
      </c>
      <c r="CR108" s="521">
        <v>2.601</v>
      </c>
      <c r="CS108" s="521">
        <v>2.6530200000000002</v>
      </c>
      <c r="CT108" s="521">
        <v>2.7060804000000003</v>
      </c>
      <c r="CU108" s="521">
        <v>2.7602020080000003</v>
      </c>
      <c r="CV108" s="521">
        <v>2.8154060481600003</v>
      </c>
      <c r="CW108" s="521">
        <v>2.8717141691232002</v>
      </c>
      <c r="CX108" s="521">
        <v>2.5</v>
      </c>
      <c r="CY108" s="521">
        <v>2.5499999999999998</v>
      </c>
      <c r="CZ108" s="521">
        <v>2.601</v>
      </c>
      <c r="DA108" s="522">
        <v>2.6530200000000002</v>
      </c>
      <c r="DB108" s="523">
        <v>-3.618720110712903E-3</v>
      </c>
      <c r="DC108" s="524">
        <v>1.5423809863855869E-2</v>
      </c>
      <c r="DD108" s="524">
        <v>1.6331371649815629E-2</v>
      </c>
      <c r="DE108" s="524">
        <v>1.7291494112055123E-2</v>
      </c>
      <c r="DF108" s="524">
        <v>1.8307133565950054E-2</v>
      </c>
      <c r="DG108" s="524">
        <v>1.9381403398604495E-2</v>
      </c>
      <c r="DH108" s="524">
        <v>2.0517581424602485E-2</v>
      </c>
      <c r="DI108" s="524">
        <v>2.1719117474115521E-2</v>
      </c>
      <c r="DJ108" s="524">
        <v>5.0147361856385936E-3</v>
      </c>
      <c r="DK108" s="524">
        <v>0.28200166123925846</v>
      </c>
      <c r="DL108" s="524">
        <v>1.3590526316247867E-3</v>
      </c>
      <c r="DM108" s="524">
        <v>1.3708452357717726E-3</v>
      </c>
      <c r="DN108" s="524">
        <v>1.3809785179854372E-3</v>
      </c>
      <c r="DO108" s="524">
        <v>1.389126868759076E-3</v>
      </c>
      <c r="DP108" s="524">
        <v>1.3949235345629696E-3</v>
      </c>
      <c r="DQ108" s="524">
        <v>1.3979560831703861E-3</v>
      </c>
      <c r="DR108" s="524">
        <v>-1.6442723936403836E-2</v>
      </c>
      <c r="DS108" s="524">
        <v>3.9437419497442158E-2</v>
      </c>
      <c r="DT108" s="524">
        <v>2.0196669400545098E-3</v>
      </c>
      <c r="DU108" s="525">
        <v>2.0770102019896652E-3</v>
      </c>
      <c r="DV108" s="526">
        <v>3.4</v>
      </c>
      <c r="DW108" s="507">
        <v>1</v>
      </c>
      <c r="DX108" s="509">
        <v>16.010000000000002</v>
      </c>
      <c r="DY108" s="507">
        <v>2</v>
      </c>
      <c r="DZ108" s="507">
        <v>20</v>
      </c>
      <c r="EA108" s="507">
        <v>0</v>
      </c>
      <c r="EB108" s="507">
        <v>0</v>
      </c>
      <c r="EC108" s="507">
        <v>111.62500000000001</v>
      </c>
      <c r="ED108" s="507">
        <v>102.18750000000001</v>
      </c>
      <c r="EE108" s="507">
        <v>0</v>
      </c>
      <c r="EF108" s="507">
        <v>25.062499999999996</v>
      </c>
      <c r="EG108" s="507">
        <v>29.3125</v>
      </c>
      <c r="EH108" s="507">
        <v>12.8125</v>
      </c>
      <c r="EI108" s="507">
        <v>16.6875</v>
      </c>
      <c r="EJ108" s="507">
        <v>56.4375</v>
      </c>
      <c r="EK108" s="507">
        <v>10.4375</v>
      </c>
      <c r="EL108" s="507">
        <v>10.4375</v>
      </c>
      <c r="EM108" s="508">
        <v>375</v>
      </c>
    </row>
    <row r="109" spans="2:143" x14ac:dyDescent="0.25">
      <c r="B109" s="506" t="str">
        <f>[1]RONET_Input!J80</f>
        <v xml:space="preserve">Input VPROMMS: 212th00023 (66.17 pct); 212TH00023 (33.08 pct); 214TT00060 (0.75 pct); </v>
      </c>
      <c r="C109" s="359">
        <f>[1]RONET_Input!B80</f>
        <v>78</v>
      </c>
      <c r="D109" s="397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442">
        <f>[1]RONET_Input!K80</f>
        <v>2.57526457167</v>
      </c>
      <c r="Q109" s="398">
        <f>[1]RONET_Input!Y80</f>
        <v>2</v>
      </c>
      <c r="R109" s="398">
        <f>[1]RONET_Input!X80</f>
        <v>3.5</v>
      </c>
      <c r="S109" s="398"/>
      <c r="T109" s="398"/>
      <c r="U109" s="398">
        <f>[1]RONET_Input!AA80</f>
        <v>8</v>
      </c>
      <c r="V109" s="398">
        <f>[1]RONET_Input!AC80</f>
        <v>1</v>
      </c>
      <c r="W109" s="398">
        <f>[1]RONET_Input!AD80</f>
        <v>1</v>
      </c>
      <c r="X109" s="398">
        <f>[1]RONET_Input!AE80</f>
        <v>4</v>
      </c>
      <c r="Y109" s="398">
        <f>[1]RONET_Input!AB80</f>
        <v>1</v>
      </c>
      <c r="Z109" s="438">
        <f>[1]RONET_Input!Z80</f>
        <v>1</v>
      </c>
      <c r="AA109" s="442"/>
      <c r="AB109" s="398"/>
      <c r="AC109" s="438"/>
      <c r="AD109" s="442">
        <f>[1]RONET_Input!AH80</f>
        <v>3</v>
      </c>
      <c r="AE109" s="398">
        <f>[1]RONET_Input!D80</f>
        <v>6.77</v>
      </c>
      <c r="AF109" s="398"/>
      <c r="AG109" s="398"/>
      <c r="AH109" s="398"/>
      <c r="AI109" s="438"/>
      <c r="AJ109" s="442">
        <v>1</v>
      </c>
      <c r="AK109" s="442">
        <f>[1]RONET_Input!AF80</f>
        <v>4</v>
      </c>
      <c r="AL109" s="507"/>
      <c r="AM109" s="507"/>
      <c r="AN109" s="507"/>
      <c r="AO109" s="507"/>
      <c r="AP109" s="507"/>
      <c r="AQ109" s="507"/>
      <c r="AR109" s="507"/>
      <c r="AS109" s="507"/>
      <c r="AT109" s="507"/>
      <c r="AU109" s="507"/>
      <c r="AV109" s="507"/>
      <c r="AW109" s="507"/>
      <c r="AX109" s="508"/>
      <c r="AY109" s="509">
        <f>[1]RONET_Input!AG80</f>
        <v>3</v>
      </c>
      <c r="AZ109" s="359" t="s">
        <v>321</v>
      </c>
      <c r="BA109" s="360" t="s">
        <v>502</v>
      </c>
      <c r="BB109" s="360" t="s">
        <v>443</v>
      </c>
      <c r="BC109" s="510">
        <v>0.12889199181208352</v>
      </c>
      <c r="BD109" s="510">
        <v>5.0050000000000011E-2</v>
      </c>
      <c r="BE109" s="438">
        <v>5</v>
      </c>
      <c r="BF109" s="511">
        <v>1.0749555645243078</v>
      </c>
      <c r="BG109" s="512">
        <v>0.41741558376164195</v>
      </c>
      <c r="BH109" s="512">
        <v>8.3399717035293079</v>
      </c>
      <c r="BI109" s="513">
        <v>0</v>
      </c>
      <c r="BJ109" s="514">
        <v>375</v>
      </c>
      <c r="BK109" s="515">
        <v>0.22366666666666665</v>
      </c>
      <c r="BL109" s="512">
        <v>0.35248933824733131</v>
      </c>
      <c r="BM109" s="516">
        <v>3.2054071874999999E-2</v>
      </c>
      <c r="BN109" s="517">
        <v>375</v>
      </c>
      <c r="BO109" s="518">
        <v>397.50000000000011</v>
      </c>
      <c r="BP109" s="518">
        <v>421.34999999999991</v>
      </c>
      <c r="BQ109" s="518">
        <v>446.63099999999997</v>
      </c>
      <c r="BR109" s="518">
        <v>473.42885999999999</v>
      </c>
      <c r="BS109" s="518">
        <v>501.83459160000012</v>
      </c>
      <c r="BT109" s="518">
        <v>531.9446670960001</v>
      </c>
      <c r="BU109" s="518">
        <v>563.86134712175999</v>
      </c>
      <c r="BV109" s="518">
        <v>597.69302794906582</v>
      </c>
      <c r="BW109" s="518">
        <v>633.55460962600955</v>
      </c>
      <c r="BX109" s="518">
        <v>671.56788620357008</v>
      </c>
      <c r="BY109" s="518">
        <v>711.86195937578441</v>
      </c>
      <c r="BZ109" s="518">
        <v>754.57367693833146</v>
      </c>
      <c r="CA109" s="518">
        <v>799.84809755463141</v>
      </c>
      <c r="CB109" s="518">
        <v>847.83898340790915</v>
      </c>
      <c r="CC109" s="518">
        <v>898.70932241238381</v>
      </c>
      <c r="CD109" s="518">
        <v>952.63188175712685</v>
      </c>
      <c r="CE109" s="518">
        <v>1009.7897946625544</v>
      </c>
      <c r="CF109" s="518">
        <v>1070.3771823423076</v>
      </c>
      <c r="CG109" s="519">
        <v>1134.5998132828461</v>
      </c>
      <c r="CH109" s="520">
        <v>6.77</v>
      </c>
      <c r="CI109" s="521">
        <v>6.9053999999999993</v>
      </c>
      <c r="CJ109" s="521">
        <v>7.0435079999999992</v>
      </c>
      <c r="CK109" s="521">
        <v>7.1843781599999996</v>
      </c>
      <c r="CL109" s="521">
        <v>2.5</v>
      </c>
      <c r="CM109" s="521">
        <v>2.5499999999999998</v>
      </c>
      <c r="CN109" s="521">
        <v>2.601</v>
      </c>
      <c r="CO109" s="521">
        <v>2.6530200000000002</v>
      </c>
      <c r="CP109" s="521">
        <v>2.7060804000000003</v>
      </c>
      <c r="CQ109" s="521">
        <v>2.7602020080000003</v>
      </c>
      <c r="CR109" s="521">
        <v>2.8154060481600003</v>
      </c>
      <c r="CS109" s="521">
        <v>2.8717141691232002</v>
      </c>
      <c r="CT109" s="521">
        <v>2.5</v>
      </c>
      <c r="CU109" s="521">
        <v>2.5499999999999998</v>
      </c>
      <c r="CV109" s="521">
        <v>2.601</v>
      </c>
      <c r="CW109" s="521">
        <v>2.6530200000000002</v>
      </c>
      <c r="CX109" s="521">
        <v>2.7060804000000003</v>
      </c>
      <c r="CY109" s="521">
        <v>2.7602020080000003</v>
      </c>
      <c r="CZ109" s="521">
        <v>2.8154060481600003</v>
      </c>
      <c r="DA109" s="522">
        <v>2.8717141691232002</v>
      </c>
      <c r="DB109" s="523">
        <v>0</v>
      </c>
      <c r="DC109" s="524">
        <v>0</v>
      </c>
      <c r="DD109" s="524">
        <v>0</v>
      </c>
      <c r="DE109" s="524">
        <v>0</v>
      </c>
      <c r="DF109" s="524">
        <v>-9.5924519076492354E-2</v>
      </c>
      <c r="DG109" s="524">
        <v>2.3618046996887299E-2</v>
      </c>
      <c r="DH109" s="524">
        <v>2.610290238526064E-2</v>
      </c>
      <c r="DI109" s="524">
        <v>2.8845874758566703E-2</v>
      </c>
      <c r="DJ109" s="524">
        <v>3.1873552998717136E-2</v>
      </c>
      <c r="DK109" s="524">
        <v>1.7574619496535739</v>
      </c>
      <c r="DL109" s="524">
        <v>4.431566437158585E-4</v>
      </c>
      <c r="DM109" s="524">
        <v>3.1921235398602033E-4</v>
      </c>
      <c r="DN109" s="524">
        <v>-0.11566495594749227</v>
      </c>
      <c r="DO109" s="524">
        <v>1.6173563155806314E-3</v>
      </c>
      <c r="DP109" s="524">
        <v>1.5966859295476477E-3</v>
      </c>
      <c r="DQ109" s="524">
        <v>1.5630018189081718E-3</v>
      </c>
      <c r="DR109" s="524">
        <v>1.5143496898658571E-3</v>
      </c>
      <c r="DS109" s="524">
        <v>0.23710603789698403</v>
      </c>
      <c r="DT109" s="524">
        <v>2.5728565882767729E-3</v>
      </c>
      <c r="DU109" s="525">
        <v>2.6166178213682945E-3</v>
      </c>
      <c r="DV109" s="526">
        <v>3.5</v>
      </c>
      <c r="DW109" s="507">
        <v>1</v>
      </c>
      <c r="DX109" s="509">
        <v>6.77</v>
      </c>
      <c r="DY109" s="507">
        <v>2</v>
      </c>
      <c r="DZ109" s="507">
        <v>10</v>
      </c>
      <c r="EA109" s="507">
        <v>0</v>
      </c>
      <c r="EB109" s="507">
        <v>0</v>
      </c>
      <c r="EC109" s="507">
        <v>111.62500000000001</v>
      </c>
      <c r="ED109" s="507">
        <v>102.18750000000001</v>
      </c>
      <c r="EE109" s="507">
        <v>0</v>
      </c>
      <c r="EF109" s="507">
        <v>25.062499999999996</v>
      </c>
      <c r="EG109" s="507">
        <v>29.3125</v>
      </c>
      <c r="EH109" s="507">
        <v>12.8125</v>
      </c>
      <c r="EI109" s="507">
        <v>16.6875</v>
      </c>
      <c r="EJ109" s="507">
        <v>56.4375</v>
      </c>
      <c r="EK109" s="507">
        <v>10.4375</v>
      </c>
      <c r="EL109" s="507">
        <v>10.4375</v>
      </c>
      <c r="EM109" s="508">
        <v>375</v>
      </c>
    </row>
    <row r="110" spans="2:143" x14ac:dyDescent="0.25">
      <c r="B110" s="506" t="str">
        <f>[1]RONET_Input!J81</f>
        <v xml:space="preserve">Input VPROMMS: 214TT00065 (55.78 pct); 214TT00013 (30.61 pct); 214TT00063 (12.93 pct); 214tt00062 (0.68 pct); </v>
      </c>
      <c r="C110" s="359">
        <f>[1]RONET_Input!B81</f>
        <v>79</v>
      </c>
      <c r="D110" s="397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442">
        <f>[1]RONET_Input!K81</f>
        <v>5.8697382450099989</v>
      </c>
      <c r="Q110" s="398">
        <f>[1]RONET_Input!Y81</f>
        <v>2</v>
      </c>
      <c r="R110" s="398">
        <f>[1]RONET_Input!X81</f>
        <v>3.5</v>
      </c>
      <c r="S110" s="398"/>
      <c r="T110" s="398"/>
      <c r="U110" s="398">
        <f>[1]RONET_Input!AA81</f>
        <v>8</v>
      </c>
      <c r="V110" s="398">
        <f>[1]RONET_Input!AC81</f>
        <v>1</v>
      </c>
      <c r="W110" s="398">
        <f>[1]RONET_Input!AD81</f>
        <v>1</v>
      </c>
      <c r="X110" s="398">
        <f>[1]RONET_Input!AE81</f>
        <v>4</v>
      </c>
      <c r="Y110" s="398">
        <f>[1]RONET_Input!AB81</f>
        <v>1</v>
      </c>
      <c r="Z110" s="438">
        <f>[1]RONET_Input!Z81</f>
        <v>1</v>
      </c>
      <c r="AA110" s="442"/>
      <c r="AB110" s="398"/>
      <c r="AC110" s="438"/>
      <c r="AD110" s="442">
        <f>[1]RONET_Input!AH81</f>
        <v>4</v>
      </c>
      <c r="AE110" s="398">
        <f>[1]RONET_Input!D81</f>
        <v>8.5350000000000001</v>
      </c>
      <c r="AF110" s="398"/>
      <c r="AG110" s="398"/>
      <c r="AH110" s="398"/>
      <c r="AI110" s="438"/>
      <c r="AJ110" s="442">
        <v>1</v>
      </c>
      <c r="AK110" s="442">
        <f>[1]RONET_Input!AF81</f>
        <v>4</v>
      </c>
      <c r="AL110" s="507"/>
      <c r="AM110" s="507"/>
      <c r="AN110" s="507"/>
      <c r="AO110" s="507"/>
      <c r="AP110" s="507"/>
      <c r="AQ110" s="507"/>
      <c r="AR110" s="507"/>
      <c r="AS110" s="507"/>
      <c r="AT110" s="507"/>
      <c r="AU110" s="507"/>
      <c r="AV110" s="507"/>
      <c r="AW110" s="507"/>
      <c r="AX110" s="508"/>
      <c r="AY110" s="509">
        <f>[1]RONET_Input!AG81</f>
        <v>3</v>
      </c>
      <c r="AZ110" s="359" t="s">
        <v>321</v>
      </c>
      <c r="BA110" s="360" t="s">
        <v>502</v>
      </c>
      <c r="BB110" s="360" t="s">
        <v>443</v>
      </c>
      <c r="BC110" s="510">
        <v>0.29378039916275051</v>
      </c>
      <c r="BD110" s="510">
        <v>5.0050000000000011E-2</v>
      </c>
      <c r="BE110" s="438">
        <v>5</v>
      </c>
      <c r="BF110" s="511">
        <v>2.5944704247504804</v>
      </c>
      <c r="BG110" s="512">
        <v>0.44200785732755632</v>
      </c>
      <c r="BH110" s="512">
        <v>8.8313258207303935</v>
      </c>
      <c r="BI110" s="513">
        <v>0</v>
      </c>
      <c r="BJ110" s="514">
        <v>375</v>
      </c>
      <c r="BK110" s="515">
        <v>0.22366666666666665</v>
      </c>
      <c r="BL110" s="512">
        <v>0.80342042228574351</v>
      </c>
      <c r="BM110" s="516">
        <v>3.2054071874999999E-2</v>
      </c>
      <c r="BN110" s="517">
        <v>375</v>
      </c>
      <c r="BO110" s="518">
        <v>397.50000000000011</v>
      </c>
      <c r="BP110" s="518">
        <v>421.34999999999991</v>
      </c>
      <c r="BQ110" s="518">
        <v>446.63099999999997</v>
      </c>
      <c r="BR110" s="518">
        <v>473.42885999999999</v>
      </c>
      <c r="BS110" s="518">
        <v>501.83459160000012</v>
      </c>
      <c r="BT110" s="518">
        <v>531.9446670960001</v>
      </c>
      <c r="BU110" s="518">
        <v>563.86134712175999</v>
      </c>
      <c r="BV110" s="518">
        <v>597.69302794906582</v>
      </c>
      <c r="BW110" s="518">
        <v>633.55460962600955</v>
      </c>
      <c r="BX110" s="518">
        <v>671.56788620357008</v>
      </c>
      <c r="BY110" s="518">
        <v>711.86195937578441</v>
      </c>
      <c r="BZ110" s="518">
        <v>754.57367693833146</v>
      </c>
      <c r="CA110" s="518">
        <v>799.84809755463141</v>
      </c>
      <c r="CB110" s="518">
        <v>847.83898340790915</v>
      </c>
      <c r="CC110" s="518">
        <v>898.70932241238381</v>
      </c>
      <c r="CD110" s="518">
        <v>952.63188175712685</v>
      </c>
      <c r="CE110" s="518">
        <v>1009.7897946625544</v>
      </c>
      <c r="CF110" s="518">
        <v>1070.3771823423076</v>
      </c>
      <c r="CG110" s="519">
        <v>1134.5998132828461</v>
      </c>
      <c r="CH110" s="520">
        <v>8.5350000000000001</v>
      </c>
      <c r="CI110" s="521">
        <v>8.7057000000000002</v>
      </c>
      <c r="CJ110" s="521">
        <v>8.8798139999999997</v>
      </c>
      <c r="CK110" s="521">
        <v>9.0574102799999991</v>
      </c>
      <c r="CL110" s="521">
        <v>2.5</v>
      </c>
      <c r="CM110" s="521">
        <v>2.5499999999999998</v>
      </c>
      <c r="CN110" s="521">
        <v>2.601</v>
      </c>
      <c r="CO110" s="521">
        <v>2.6530200000000002</v>
      </c>
      <c r="CP110" s="521">
        <v>2.7060804000000003</v>
      </c>
      <c r="CQ110" s="521">
        <v>2.7602020080000003</v>
      </c>
      <c r="CR110" s="521">
        <v>2.8154060481600003</v>
      </c>
      <c r="CS110" s="521">
        <v>2.8717141691232002</v>
      </c>
      <c r="CT110" s="521">
        <v>2.5</v>
      </c>
      <c r="CU110" s="521">
        <v>2.5499999999999998</v>
      </c>
      <c r="CV110" s="521">
        <v>2.601</v>
      </c>
      <c r="CW110" s="521">
        <v>2.6530200000000002</v>
      </c>
      <c r="CX110" s="521">
        <v>2.7060804000000003</v>
      </c>
      <c r="CY110" s="521">
        <v>2.7602020080000003</v>
      </c>
      <c r="CZ110" s="521">
        <v>2.8154060481600003</v>
      </c>
      <c r="DA110" s="522">
        <v>2.8717141691232002</v>
      </c>
      <c r="DB110" s="523">
        <v>0</v>
      </c>
      <c r="DC110" s="524">
        <v>0</v>
      </c>
      <c r="DD110" s="524">
        <v>0</v>
      </c>
      <c r="DE110" s="524">
        <v>0</v>
      </c>
      <c r="DF110" s="524">
        <v>-0.18502560429266712</v>
      </c>
      <c r="DG110" s="524">
        <v>9.0905759234766736E-2</v>
      </c>
      <c r="DH110" s="524">
        <v>0.10038529218853853</v>
      </c>
      <c r="DI110" s="524">
        <v>0.11084448159442295</v>
      </c>
      <c r="DJ110" s="524">
        <v>0.12238399229019215</v>
      </c>
      <c r="DK110" s="524">
        <v>4.0057405105145492</v>
      </c>
      <c r="DL110" s="524">
        <v>1.0100762184843681E-3</v>
      </c>
      <c r="DM110" s="524">
        <v>7.2757299699743871E-4</v>
      </c>
      <c r="DN110" s="524">
        <v>-0.26363233626598837</v>
      </c>
      <c r="DO110" s="524">
        <v>3.6864011277939479E-3</v>
      </c>
      <c r="DP110" s="524">
        <v>3.6392876169060173E-3</v>
      </c>
      <c r="DQ110" s="524">
        <v>3.5625122383120544E-3</v>
      </c>
      <c r="DR110" s="524">
        <v>3.4516206174344255E-3</v>
      </c>
      <c r="DS110" s="524">
        <v>0.54043005680934686</v>
      </c>
      <c r="DT110" s="524">
        <v>5.8642497867082977E-3</v>
      </c>
      <c r="DU110" s="525">
        <v>5.9639937067514914E-3</v>
      </c>
      <c r="DV110" s="526">
        <v>3.5</v>
      </c>
      <c r="DW110" s="507">
        <v>1</v>
      </c>
      <c r="DX110" s="509">
        <v>8.5350000000000001</v>
      </c>
      <c r="DY110" s="507">
        <v>2</v>
      </c>
      <c r="DZ110" s="507">
        <v>15</v>
      </c>
      <c r="EA110" s="507">
        <v>0</v>
      </c>
      <c r="EB110" s="507">
        <v>0</v>
      </c>
      <c r="EC110" s="507">
        <v>111.62500000000001</v>
      </c>
      <c r="ED110" s="507">
        <v>102.18750000000001</v>
      </c>
      <c r="EE110" s="507">
        <v>0</v>
      </c>
      <c r="EF110" s="507">
        <v>25.062499999999996</v>
      </c>
      <c r="EG110" s="507">
        <v>29.3125</v>
      </c>
      <c r="EH110" s="507">
        <v>12.8125</v>
      </c>
      <c r="EI110" s="507">
        <v>16.6875</v>
      </c>
      <c r="EJ110" s="507">
        <v>56.4375</v>
      </c>
      <c r="EK110" s="507">
        <v>10.4375</v>
      </c>
      <c r="EL110" s="507">
        <v>10.4375</v>
      </c>
      <c r="EM110" s="508">
        <v>375</v>
      </c>
    </row>
    <row r="111" spans="2:143" x14ac:dyDescent="0.25">
      <c r="B111" s="506" t="str">
        <f>[1]RONET_Input!J82</f>
        <v>214TT00056</v>
      </c>
      <c r="C111" s="359">
        <f>[1]RONET_Input!B82</f>
        <v>80</v>
      </c>
      <c r="D111" s="397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442">
        <f>[1]RONET_Input!K82</f>
        <v>1.86540513759</v>
      </c>
      <c r="Q111" s="398">
        <f>[1]RONET_Input!Y82</f>
        <v>1</v>
      </c>
      <c r="R111" s="398">
        <f>[1]RONET_Input!X82</f>
        <v>3.4</v>
      </c>
      <c r="S111" s="398"/>
      <c r="T111" s="398"/>
      <c r="U111" s="398">
        <f>[1]RONET_Input!AA82</f>
        <v>8</v>
      </c>
      <c r="V111" s="398">
        <f>[1]RONET_Input!AC82</f>
        <v>1</v>
      </c>
      <c r="W111" s="398">
        <f>[1]RONET_Input!AD82</f>
        <v>1</v>
      </c>
      <c r="X111" s="398">
        <f>[1]RONET_Input!AE82</f>
        <v>4</v>
      </c>
      <c r="Y111" s="398">
        <f>[1]RONET_Input!AB82</f>
        <v>1</v>
      </c>
      <c r="Z111" s="438">
        <f>[1]RONET_Input!Z82</f>
        <v>1</v>
      </c>
      <c r="AA111" s="442"/>
      <c r="AB111" s="398"/>
      <c r="AC111" s="438"/>
      <c r="AD111" s="442">
        <f>[1]RONET_Input!AH82</f>
        <v>5</v>
      </c>
      <c r="AE111" s="398">
        <f>[1]RONET_Input!D82</f>
        <v>13.12</v>
      </c>
      <c r="AF111" s="398"/>
      <c r="AG111" s="398"/>
      <c r="AH111" s="398"/>
      <c r="AI111" s="438"/>
      <c r="AJ111" s="442">
        <v>1</v>
      </c>
      <c r="AK111" s="442">
        <f>[1]RONET_Input!AF82</f>
        <v>4</v>
      </c>
      <c r="AL111" s="507"/>
      <c r="AM111" s="507"/>
      <c r="AN111" s="507"/>
      <c r="AO111" s="507"/>
      <c r="AP111" s="507"/>
      <c r="AQ111" s="507"/>
      <c r="AR111" s="507"/>
      <c r="AS111" s="507"/>
      <c r="AT111" s="507"/>
      <c r="AU111" s="507"/>
      <c r="AV111" s="507"/>
      <c r="AW111" s="507"/>
      <c r="AX111" s="508"/>
      <c r="AY111" s="509">
        <f>[1]RONET_Input!AG82</f>
        <v>3</v>
      </c>
      <c r="AZ111" s="359" t="s">
        <v>321</v>
      </c>
      <c r="BA111" s="360" t="s">
        <v>502</v>
      </c>
      <c r="BB111" s="360" t="s">
        <v>443</v>
      </c>
      <c r="BC111" s="510">
        <v>9.069599778962581E-2</v>
      </c>
      <c r="BD111" s="510">
        <v>4.8620000000000003E-2</v>
      </c>
      <c r="BE111" s="438">
        <v>1</v>
      </c>
      <c r="BF111" s="511">
        <v>1.1582599641113074</v>
      </c>
      <c r="BG111" s="512">
        <v>0.62091603629210279</v>
      </c>
      <c r="BH111" s="512">
        <v>12.770794658414289</v>
      </c>
      <c r="BI111" s="513">
        <v>0</v>
      </c>
      <c r="BJ111" s="514">
        <v>375</v>
      </c>
      <c r="BK111" s="515">
        <v>0.22366666666666665</v>
      </c>
      <c r="BL111" s="512">
        <v>0.25532732820763127</v>
      </c>
      <c r="BM111" s="516">
        <v>6.4108143749999999E-2</v>
      </c>
      <c r="BN111" s="517">
        <v>375</v>
      </c>
      <c r="BO111" s="518">
        <v>397.50000000000011</v>
      </c>
      <c r="BP111" s="518">
        <v>421.34999999999991</v>
      </c>
      <c r="BQ111" s="518">
        <v>446.63099999999997</v>
      </c>
      <c r="BR111" s="518">
        <v>473.42885999999999</v>
      </c>
      <c r="BS111" s="518">
        <v>501.83459160000012</v>
      </c>
      <c r="BT111" s="518">
        <v>531.9446670960001</v>
      </c>
      <c r="BU111" s="518">
        <v>563.86134712175999</v>
      </c>
      <c r="BV111" s="518">
        <v>597.69302794906582</v>
      </c>
      <c r="BW111" s="518">
        <v>633.55460962600955</v>
      </c>
      <c r="BX111" s="518">
        <v>671.56788620357008</v>
      </c>
      <c r="BY111" s="518">
        <v>711.86195937578441</v>
      </c>
      <c r="BZ111" s="518">
        <v>754.57367693833146</v>
      </c>
      <c r="CA111" s="518">
        <v>799.84809755463141</v>
      </c>
      <c r="CB111" s="518">
        <v>847.83898340790915</v>
      </c>
      <c r="CC111" s="518">
        <v>898.70932241238381</v>
      </c>
      <c r="CD111" s="518">
        <v>952.63188175712685</v>
      </c>
      <c r="CE111" s="518">
        <v>1009.7897946625544</v>
      </c>
      <c r="CF111" s="518">
        <v>1070.3771823423076</v>
      </c>
      <c r="CG111" s="519">
        <v>1134.5998132828461</v>
      </c>
      <c r="CH111" s="520">
        <v>2.5</v>
      </c>
      <c r="CI111" s="521">
        <v>2.5499999999999998</v>
      </c>
      <c r="CJ111" s="521">
        <v>2.601</v>
      </c>
      <c r="CK111" s="521">
        <v>2.6530200000000002</v>
      </c>
      <c r="CL111" s="521">
        <v>2.7060804000000003</v>
      </c>
      <c r="CM111" s="521">
        <v>2.7602020080000003</v>
      </c>
      <c r="CN111" s="521">
        <v>2.8154060481600003</v>
      </c>
      <c r="CO111" s="521">
        <v>2.8717141691232002</v>
      </c>
      <c r="CP111" s="521">
        <v>2.5</v>
      </c>
      <c r="CQ111" s="521">
        <v>2.5499999999999998</v>
      </c>
      <c r="CR111" s="521">
        <v>2.601</v>
      </c>
      <c r="CS111" s="521">
        <v>2.6530200000000002</v>
      </c>
      <c r="CT111" s="521">
        <v>2.7060804000000003</v>
      </c>
      <c r="CU111" s="521">
        <v>2.7602020080000003</v>
      </c>
      <c r="CV111" s="521">
        <v>2.8154060481600003</v>
      </c>
      <c r="CW111" s="521">
        <v>2.8717141691232002</v>
      </c>
      <c r="CX111" s="521">
        <v>2.5</v>
      </c>
      <c r="CY111" s="521">
        <v>2.5499999999999998</v>
      </c>
      <c r="CZ111" s="521">
        <v>2.601</v>
      </c>
      <c r="DA111" s="522">
        <v>2.6530200000000002</v>
      </c>
      <c r="DB111" s="523">
        <v>-3.7457448972413432E-2</v>
      </c>
      <c r="DC111" s="524">
        <v>4.9624690378352113E-2</v>
      </c>
      <c r="DD111" s="524">
        <v>5.4625597213270621E-2</v>
      </c>
      <c r="DE111" s="524">
        <v>6.0121314075899407E-2</v>
      </c>
      <c r="DF111" s="524">
        <v>6.6157778953705448E-2</v>
      </c>
      <c r="DG111" s="524">
        <v>7.2784168928027471E-2</v>
      </c>
      <c r="DH111" s="524">
        <v>8.0052785605155691E-2</v>
      </c>
      <c r="DI111" s="524">
        <v>8.8018807628724716E-2</v>
      </c>
      <c r="DJ111" s="524">
        <v>1.5232911923386327E-2</v>
      </c>
      <c r="DK111" s="524">
        <v>1.2787326672886175</v>
      </c>
      <c r="DL111" s="524">
        <v>6.162605528584858E-3</v>
      </c>
      <c r="DM111" s="524">
        <v>6.2160789304396558E-3</v>
      </c>
      <c r="DN111" s="524">
        <v>6.262028159733285E-3</v>
      </c>
      <c r="DO111" s="524">
        <v>6.2989767446210154E-3</v>
      </c>
      <c r="DP111" s="524">
        <v>6.3252616462496913E-3</v>
      </c>
      <c r="DQ111" s="524">
        <v>6.3390126963406845E-3</v>
      </c>
      <c r="DR111" s="524">
        <v>-7.455930629730978E-2</v>
      </c>
      <c r="DS111" s="524">
        <v>0.17882843811390925</v>
      </c>
      <c r="DT111" s="524">
        <v>9.1581520546410999E-3</v>
      </c>
      <c r="DU111" s="525">
        <v>9.4181742898405418E-3</v>
      </c>
      <c r="DV111" s="526">
        <v>3.4</v>
      </c>
      <c r="DW111" s="507">
        <v>1</v>
      </c>
      <c r="DX111" s="509">
        <v>13.12</v>
      </c>
      <c r="DY111" s="507">
        <v>2</v>
      </c>
      <c r="DZ111" s="507">
        <v>20</v>
      </c>
      <c r="EA111" s="507">
        <v>0</v>
      </c>
      <c r="EB111" s="507">
        <v>0</v>
      </c>
      <c r="EC111" s="507">
        <v>111.62500000000001</v>
      </c>
      <c r="ED111" s="507">
        <v>102.18750000000001</v>
      </c>
      <c r="EE111" s="507">
        <v>0</v>
      </c>
      <c r="EF111" s="507">
        <v>25.062499999999996</v>
      </c>
      <c r="EG111" s="507">
        <v>29.3125</v>
      </c>
      <c r="EH111" s="507">
        <v>12.8125</v>
      </c>
      <c r="EI111" s="507">
        <v>16.6875</v>
      </c>
      <c r="EJ111" s="507">
        <v>56.4375</v>
      </c>
      <c r="EK111" s="507">
        <v>10.4375</v>
      </c>
      <c r="EL111" s="507">
        <v>10.4375</v>
      </c>
      <c r="EM111" s="508">
        <v>375</v>
      </c>
    </row>
    <row r="112" spans="2:143" x14ac:dyDescent="0.25">
      <c r="B112" s="506" t="str">
        <f>[1]RONET_Input!J83</f>
        <v>214TT00011</v>
      </c>
      <c r="C112" s="359">
        <f>[1]RONET_Input!B83</f>
        <v>81</v>
      </c>
      <c r="D112" s="397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442">
        <f>[1]RONET_Input!K83</f>
        <v>2.0661166032799998</v>
      </c>
      <c r="Q112" s="398">
        <f>[1]RONET_Input!Y83</f>
        <v>1</v>
      </c>
      <c r="R112" s="398">
        <f>[1]RONET_Input!X83</f>
        <v>3.4</v>
      </c>
      <c r="S112" s="398"/>
      <c r="T112" s="398"/>
      <c r="U112" s="398">
        <f>[1]RONET_Input!AA83</f>
        <v>8</v>
      </c>
      <c r="V112" s="398">
        <f>[1]RONET_Input!AC83</f>
        <v>1</v>
      </c>
      <c r="W112" s="398">
        <f>[1]RONET_Input!AD83</f>
        <v>1</v>
      </c>
      <c r="X112" s="398">
        <f>[1]RONET_Input!AE83</f>
        <v>4</v>
      </c>
      <c r="Y112" s="398">
        <f>[1]RONET_Input!AB83</f>
        <v>1</v>
      </c>
      <c r="Z112" s="438">
        <f>[1]RONET_Input!Z83</f>
        <v>1</v>
      </c>
      <c r="AA112" s="442"/>
      <c r="AB112" s="398"/>
      <c r="AC112" s="438"/>
      <c r="AD112" s="442">
        <f>[1]RONET_Input!AH83</f>
        <v>5</v>
      </c>
      <c r="AE112" s="398">
        <f>[1]RONET_Input!D83</f>
        <v>13.18</v>
      </c>
      <c r="AF112" s="398"/>
      <c r="AG112" s="398"/>
      <c r="AH112" s="398"/>
      <c r="AI112" s="438"/>
      <c r="AJ112" s="442">
        <v>1</v>
      </c>
      <c r="AK112" s="442">
        <f>[1]RONET_Input!AF83</f>
        <v>4</v>
      </c>
      <c r="AL112" s="507"/>
      <c r="AM112" s="507"/>
      <c r="AN112" s="507"/>
      <c r="AO112" s="507"/>
      <c r="AP112" s="507"/>
      <c r="AQ112" s="507"/>
      <c r="AR112" s="507"/>
      <c r="AS112" s="507"/>
      <c r="AT112" s="507"/>
      <c r="AU112" s="507"/>
      <c r="AV112" s="507"/>
      <c r="AW112" s="507"/>
      <c r="AX112" s="508"/>
      <c r="AY112" s="509">
        <f>[1]RONET_Input!AG83</f>
        <v>3</v>
      </c>
      <c r="AZ112" s="359" t="s">
        <v>321</v>
      </c>
      <c r="BA112" s="360" t="s">
        <v>502</v>
      </c>
      <c r="BB112" s="360" t="s">
        <v>443</v>
      </c>
      <c r="BC112" s="510">
        <v>0.10045458925147359</v>
      </c>
      <c r="BD112" s="510">
        <v>4.8619999999999997E-2</v>
      </c>
      <c r="BE112" s="438">
        <v>1</v>
      </c>
      <c r="BF112" s="511">
        <v>1.2875693465533424</v>
      </c>
      <c r="BG112" s="512">
        <v>0.62318329203167977</v>
      </c>
      <c r="BH112" s="512">
        <v>12.817426820890164</v>
      </c>
      <c r="BI112" s="513">
        <v>0</v>
      </c>
      <c r="BJ112" s="514">
        <v>375</v>
      </c>
      <c r="BK112" s="515">
        <v>0.22366666666666665</v>
      </c>
      <c r="BL112" s="512">
        <v>0.28279971007394999</v>
      </c>
      <c r="BM112" s="516">
        <v>6.4108143749999999E-2</v>
      </c>
      <c r="BN112" s="517">
        <v>375</v>
      </c>
      <c r="BO112" s="518">
        <v>397.50000000000011</v>
      </c>
      <c r="BP112" s="518">
        <v>421.34999999999991</v>
      </c>
      <c r="BQ112" s="518">
        <v>446.63099999999997</v>
      </c>
      <c r="BR112" s="518">
        <v>473.42885999999999</v>
      </c>
      <c r="BS112" s="518">
        <v>501.83459160000012</v>
      </c>
      <c r="BT112" s="518">
        <v>531.9446670960001</v>
      </c>
      <c r="BU112" s="518">
        <v>563.86134712175999</v>
      </c>
      <c r="BV112" s="518">
        <v>597.69302794906582</v>
      </c>
      <c r="BW112" s="518">
        <v>633.55460962600955</v>
      </c>
      <c r="BX112" s="518">
        <v>671.56788620357008</v>
      </c>
      <c r="BY112" s="518">
        <v>711.86195937578441</v>
      </c>
      <c r="BZ112" s="518">
        <v>754.57367693833146</v>
      </c>
      <c r="CA112" s="518">
        <v>799.84809755463141</v>
      </c>
      <c r="CB112" s="518">
        <v>847.83898340790915</v>
      </c>
      <c r="CC112" s="518">
        <v>898.70932241238381</v>
      </c>
      <c r="CD112" s="518">
        <v>952.63188175712685</v>
      </c>
      <c r="CE112" s="518">
        <v>1009.7897946625544</v>
      </c>
      <c r="CF112" s="518">
        <v>1070.3771823423076</v>
      </c>
      <c r="CG112" s="519">
        <v>1134.5998132828461</v>
      </c>
      <c r="CH112" s="520">
        <v>2.5</v>
      </c>
      <c r="CI112" s="521">
        <v>2.5499999999999998</v>
      </c>
      <c r="CJ112" s="521">
        <v>2.601</v>
      </c>
      <c r="CK112" s="521">
        <v>2.6530200000000002</v>
      </c>
      <c r="CL112" s="521">
        <v>2.7060804000000003</v>
      </c>
      <c r="CM112" s="521">
        <v>2.7602020080000003</v>
      </c>
      <c r="CN112" s="521">
        <v>2.8154060481600003</v>
      </c>
      <c r="CO112" s="521">
        <v>2.8717141691232002</v>
      </c>
      <c r="CP112" s="521">
        <v>2.5</v>
      </c>
      <c r="CQ112" s="521">
        <v>2.5499999999999998</v>
      </c>
      <c r="CR112" s="521">
        <v>2.601</v>
      </c>
      <c r="CS112" s="521">
        <v>2.6530200000000002</v>
      </c>
      <c r="CT112" s="521">
        <v>2.7060804000000003</v>
      </c>
      <c r="CU112" s="521">
        <v>2.7602020080000003</v>
      </c>
      <c r="CV112" s="521">
        <v>2.8154060481600003</v>
      </c>
      <c r="CW112" s="521">
        <v>2.8717141691232002</v>
      </c>
      <c r="CX112" s="521">
        <v>2.5</v>
      </c>
      <c r="CY112" s="521">
        <v>2.5499999999999998</v>
      </c>
      <c r="CZ112" s="521">
        <v>2.601</v>
      </c>
      <c r="DA112" s="522">
        <v>2.6530200000000002</v>
      </c>
      <c r="DB112" s="523">
        <v>-4.1032333285114325E-2</v>
      </c>
      <c r="DC112" s="524">
        <v>5.5464103328001779E-2</v>
      </c>
      <c r="DD112" s="524">
        <v>6.105158539973396E-2</v>
      </c>
      <c r="DE112" s="524">
        <v>6.7191271746376346E-2</v>
      </c>
      <c r="DF112" s="524">
        <v>7.3934206875310521E-2</v>
      </c>
      <c r="DG112" s="524">
        <v>8.1334959348247526E-2</v>
      </c>
      <c r="DH112" s="524">
        <v>8.9451466721008122E-2</v>
      </c>
      <c r="DI112" s="524">
        <v>9.8344726174084157E-2</v>
      </c>
      <c r="DJ112" s="524">
        <v>1.7801446582263847E-2</v>
      </c>
      <c r="DK112" s="524">
        <v>1.4163201021601473</v>
      </c>
      <c r="DL112" s="524">
        <v>6.8256816417501254E-3</v>
      </c>
      <c r="DM112" s="524">
        <v>6.8849086060055464E-3</v>
      </c>
      <c r="DN112" s="524">
        <v>6.9358018214461525E-3</v>
      </c>
      <c r="DO112" s="524">
        <v>6.9767259527063752E-3</v>
      </c>
      <c r="DP112" s="524">
        <v>7.0058390234148393E-3</v>
      </c>
      <c r="DQ112" s="524">
        <v>7.0210696413288698E-3</v>
      </c>
      <c r="DR112" s="524">
        <v>-8.2581642757204254E-2</v>
      </c>
      <c r="DS112" s="524">
        <v>0.19806979067460168</v>
      </c>
      <c r="DT112" s="524">
        <v>1.0143539134829904E-2</v>
      </c>
      <c r="DU112" s="525">
        <v>1.0431538908467042E-2</v>
      </c>
      <c r="DV112" s="526">
        <v>3.4</v>
      </c>
      <c r="DW112" s="507">
        <v>1</v>
      </c>
      <c r="DX112" s="509">
        <v>13.18</v>
      </c>
      <c r="DY112" s="507">
        <v>2</v>
      </c>
      <c r="DZ112" s="507">
        <v>20</v>
      </c>
      <c r="EA112" s="507">
        <v>0</v>
      </c>
      <c r="EB112" s="507">
        <v>0</v>
      </c>
      <c r="EC112" s="507">
        <v>111.62500000000001</v>
      </c>
      <c r="ED112" s="507">
        <v>102.18750000000001</v>
      </c>
      <c r="EE112" s="507">
        <v>0</v>
      </c>
      <c r="EF112" s="507">
        <v>25.062499999999996</v>
      </c>
      <c r="EG112" s="507">
        <v>29.3125</v>
      </c>
      <c r="EH112" s="507">
        <v>12.8125</v>
      </c>
      <c r="EI112" s="507">
        <v>16.6875</v>
      </c>
      <c r="EJ112" s="507">
        <v>56.4375</v>
      </c>
      <c r="EK112" s="507">
        <v>10.4375</v>
      </c>
      <c r="EL112" s="507">
        <v>10.4375</v>
      </c>
      <c r="EM112" s="508">
        <v>375</v>
      </c>
    </row>
    <row r="113" spans="2:143" x14ac:dyDescent="0.25">
      <c r="B113" s="506" t="str">
        <f>[1]RONET_Input!J84</f>
        <v>214TT00070</v>
      </c>
      <c r="C113" s="359">
        <f>[1]RONET_Input!B84</f>
        <v>82</v>
      </c>
      <c r="D113" s="397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442">
        <f>[1]RONET_Input!K84</f>
        <v>0.85115387670800002</v>
      </c>
      <c r="Q113" s="398">
        <f>[1]RONET_Input!Y84</f>
        <v>1</v>
      </c>
      <c r="R113" s="398">
        <f>[1]RONET_Input!X84</f>
        <v>3.4</v>
      </c>
      <c r="S113" s="398"/>
      <c r="T113" s="398"/>
      <c r="U113" s="398">
        <f>[1]RONET_Input!AA84</f>
        <v>8</v>
      </c>
      <c r="V113" s="398">
        <f>[1]RONET_Input!AC84</f>
        <v>1</v>
      </c>
      <c r="W113" s="398">
        <f>[1]RONET_Input!AD84</f>
        <v>1</v>
      </c>
      <c r="X113" s="398">
        <f>[1]RONET_Input!AE84</f>
        <v>4</v>
      </c>
      <c r="Y113" s="398">
        <f>[1]RONET_Input!AB84</f>
        <v>1</v>
      </c>
      <c r="Z113" s="438">
        <f>[1]RONET_Input!Z84</f>
        <v>1</v>
      </c>
      <c r="AA113" s="442"/>
      <c r="AB113" s="398"/>
      <c r="AC113" s="438"/>
      <c r="AD113" s="442">
        <f>[1]RONET_Input!AH84</f>
        <v>3</v>
      </c>
      <c r="AE113" s="398">
        <f>[1]RONET_Input!D84</f>
        <v>6.49</v>
      </c>
      <c r="AF113" s="398"/>
      <c r="AG113" s="398"/>
      <c r="AH113" s="398"/>
      <c r="AI113" s="438"/>
      <c r="AJ113" s="442">
        <v>1</v>
      </c>
      <c r="AK113" s="442">
        <f>[1]RONET_Input!AF84</f>
        <v>4</v>
      </c>
      <c r="AL113" s="507"/>
      <c r="AM113" s="507"/>
      <c r="AN113" s="507"/>
      <c r="AO113" s="507"/>
      <c r="AP113" s="507"/>
      <c r="AQ113" s="507"/>
      <c r="AR113" s="507"/>
      <c r="AS113" s="507"/>
      <c r="AT113" s="507"/>
      <c r="AU113" s="507"/>
      <c r="AV113" s="507"/>
      <c r="AW113" s="507"/>
      <c r="AX113" s="508"/>
      <c r="AY113" s="509">
        <f>[1]RONET_Input!AG84</f>
        <v>3</v>
      </c>
      <c r="AZ113" s="359" t="s">
        <v>321</v>
      </c>
      <c r="BA113" s="360" t="s">
        <v>502</v>
      </c>
      <c r="BB113" s="360" t="s">
        <v>443</v>
      </c>
      <c r="BC113" s="510">
        <v>4.1383101485542959E-2</v>
      </c>
      <c r="BD113" s="510">
        <v>4.8619999999999997E-2</v>
      </c>
      <c r="BE113" s="438">
        <v>5</v>
      </c>
      <c r="BF113" s="511">
        <v>0.36923257819381777</v>
      </c>
      <c r="BG113" s="512">
        <v>0.43380238085961048</v>
      </c>
      <c r="BH113" s="512">
        <v>8.9223031851009971</v>
      </c>
      <c r="BI113" s="513">
        <v>0</v>
      </c>
      <c r="BJ113" s="514">
        <v>375</v>
      </c>
      <c r="BK113" s="515">
        <v>0.22366666666666665</v>
      </c>
      <c r="BL113" s="512">
        <v>0.1165016868744075</v>
      </c>
      <c r="BM113" s="516">
        <v>6.4108143749999999E-2</v>
      </c>
      <c r="BN113" s="517">
        <v>375</v>
      </c>
      <c r="BO113" s="518">
        <v>397.50000000000011</v>
      </c>
      <c r="BP113" s="518">
        <v>421.34999999999991</v>
      </c>
      <c r="BQ113" s="518">
        <v>446.63099999999997</v>
      </c>
      <c r="BR113" s="518">
        <v>473.42885999999999</v>
      </c>
      <c r="BS113" s="518">
        <v>501.83459160000012</v>
      </c>
      <c r="BT113" s="518">
        <v>531.9446670960001</v>
      </c>
      <c r="BU113" s="518">
        <v>563.86134712175999</v>
      </c>
      <c r="BV113" s="518">
        <v>597.69302794906582</v>
      </c>
      <c r="BW113" s="518">
        <v>633.55460962600955</v>
      </c>
      <c r="BX113" s="518">
        <v>671.56788620357008</v>
      </c>
      <c r="BY113" s="518">
        <v>711.86195937578441</v>
      </c>
      <c r="BZ113" s="518">
        <v>754.57367693833146</v>
      </c>
      <c r="CA113" s="518">
        <v>799.84809755463141</v>
      </c>
      <c r="CB113" s="518">
        <v>847.83898340790915</v>
      </c>
      <c r="CC113" s="518">
        <v>898.70932241238381</v>
      </c>
      <c r="CD113" s="518">
        <v>952.63188175712685</v>
      </c>
      <c r="CE113" s="518">
        <v>1009.7897946625544</v>
      </c>
      <c r="CF113" s="518">
        <v>1070.3771823423076</v>
      </c>
      <c r="CG113" s="519">
        <v>1134.5998132828461</v>
      </c>
      <c r="CH113" s="520">
        <v>6.49</v>
      </c>
      <c r="CI113" s="521">
        <v>6.6198000000000006</v>
      </c>
      <c r="CJ113" s="521">
        <v>6.7521960000000005</v>
      </c>
      <c r="CK113" s="521">
        <v>6.8872399200000007</v>
      </c>
      <c r="CL113" s="521">
        <v>2.5</v>
      </c>
      <c r="CM113" s="521">
        <v>2.5499999999999998</v>
      </c>
      <c r="CN113" s="521">
        <v>2.601</v>
      </c>
      <c r="CO113" s="521">
        <v>2.6530200000000002</v>
      </c>
      <c r="CP113" s="521">
        <v>2.7060804000000003</v>
      </c>
      <c r="CQ113" s="521">
        <v>2.7602020080000003</v>
      </c>
      <c r="CR113" s="521">
        <v>2.8154060481600003</v>
      </c>
      <c r="CS113" s="521">
        <v>2.8717141691232002</v>
      </c>
      <c r="CT113" s="521">
        <v>2.5</v>
      </c>
      <c r="CU113" s="521">
        <v>2.5499999999999998</v>
      </c>
      <c r="CV113" s="521">
        <v>2.601</v>
      </c>
      <c r="CW113" s="521">
        <v>2.6530200000000002</v>
      </c>
      <c r="CX113" s="521">
        <v>2.7060804000000003</v>
      </c>
      <c r="CY113" s="521">
        <v>2.7602020080000003</v>
      </c>
      <c r="CZ113" s="521">
        <v>2.8154060481600003</v>
      </c>
      <c r="DA113" s="522">
        <v>2.8717141691232002</v>
      </c>
      <c r="DB113" s="523">
        <v>0</v>
      </c>
      <c r="DC113" s="524">
        <v>0</v>
      </c>
      <c r="DD113" s="524">
        <v>0</v>
      </c>
      <c r="DE113" s="524">
        <v>0</v>
      </c>
      <c r="DF113" s="524">
        <v>-3.068028426438045E-2</v>
      </c>
      <c r="DG113" s="524">
        <v>7.6924571928933122E-3</v>
      </c>
      <c r="DH113" s="524">
        <v>8.4790839924938355E-3</v>
      </c>
      <c r="DI113" s="524">
        <v>9.3455420812580403E-3</v>
      </c>
      <c r="DJ113" s="524">
        <v>1.0299893034444924E-2</v>
      </c>
      <c r="DK113" s="524">
        <v>0.58322763692468782</v>
      </c>
      <c r="DL113" s="524">
        <v>2.5496459448992453E-3</v>
      </c>
      <c r="DM113" s="524">
        <v>2.5463662412663207E-3</v>
      </c>
      <c r="DN113" s="524">
        <v>-3.4530591639820224E-2</v>
      </c>
      <c r="DO113" s="524">
        <v>3.1735543859575804E-3</v>
      </c>
      <c r="DP113" s="524">
        <v>3.2171983946173988E-3</v>
      </c>
      <c r="DQ113" s="524">
        <v>3.2584165492840489E-3</v>
      </c>
      <c r="DR113" s="524">
        <v>3.2965890707437051E-3</v>
      </c>
      <c r="DS113" s="524">
        <v>8.1218464761225767E-2</v>
      </c>
      <c r="DT113" s="524">
        <v>3.7607280675157617E-3</v>
      </c>
      <c r="DU113" s="525">
        <v>3.8352562525663103E-3</v>
      </c>
      <c r="DV113" s="526">
        <v>3.4</v>
      </c>
      <c r="DW113" s="507">
        <v>1</v>
      </c>
      <c r="DX113" s="509">
        <v>6.49</v>
      </c>
      <c r="DY113" s="507">
        <v>2</v>
      </c>
      <c r="DZ113" s="507">
        <v>10</v>
      </c>
      <c r="EA113" s="507">
        <v>0</v>
      </c>
      <c r="EB113" s="507">
        <v>0</v>
      </c>
      <c r="EC113" s="507">
        <v>111.62500000000001</v>
      </c>
      <c r="ED113" s="507">
        <v>102.18750000000001</v>
      </c>
      <c r="EE113" s="507">
        <v>0</v>
      </c>
      <c r="EF113" s="507">
        <v>25.062499999999996</v>
      </c>
      <c r="EG113" s="507">
        <v>29.3125</v>
      </c>
      <c r="EH113" s="507">
        <v>12.8125</v>
      </c>
      <c r="EI113" s="507">
        <v>16.6875</v>
      </c>
      <c r="EJ113" s="507">
        <v>56.4375</v>
      </c>
      <c r="EK113" s="507">
        <v>10.4375</v>
      </c>
      <c r="EL113" s="507">
        <v>10.4375</v>
      </c>
      <c r="EM113" s="508">
        <v>375</v>
      </c>
    </row>
    <row r="114" spans="2:143" x14ac:dyDescent="0.25">
      <c r="B114" s="506" t="str">
        <f>[1]RONET_Input!J85</f>
        <v xml:space="preserve">Input VPROMMS: 214TT00069 (55.56 pct); 214TT00066 (33.33 pct); 214TT00070 (11.11 pct); </v>
      </c>
      <c r="C114" s="359">
        <f>[1]RONET_Input!B85</f>
        <v>83</v>
      </c>
      <c r="D114" s="397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442">
        <f>[1]RONET_Input!K85</f>
        <v>0.16644158835199999</v>
      </c>
      <c r="Q114" s="398">
        <f>[1]RONET_Input!Y85</f>
        <v>2</v>
      </c>
      <c r="R114" s="398">
        <f>[1]RONET_Input!X85</f>
        <v>3.5</v>
      </c>
      <c r="S114" s="398"/>
      <c r="T114" s="398"/>
      <c r="U114" s="398">
        <f>[1]RONET_Input!AA85</f>
        <v>8</v>
      </c>
      <c r="V114" s="398">
        <f>[1]RONET_Input!AC85</f>
        <v>1</v>
      </c>
      <c r="W114" s="398">
        <f>[1]RONET_Input!AD85</f>
        <v>1</v>
      </c>
      <c r="X114" s="398">
        <f>[1]RONET_Input!AE85</f>
        <v>4</v>
      </c>
      <c r="Y114" s="398">
        <f>[1]RONET_Input!AB85</f>
        <v>1</v>
      </c>
      <c r="Z114" s="438">
        <f>[1]RONET_Input!Z85</f>
        <v>1</v>
      </c>
      <c r="AA114" s="442"/>
      <c r="AB114" s="398"/>
      <c r="AC114" s="438"/>
      <c r="AD114" s="442">
        <f>[1]RONET_Input!AH85</f>
        <v>4</v>
      </c>
      <c r="AE114" s="398">
        <f>[1]RONET_Input!D85</f>
        <v>8.86</v>
      </c>
      <c r="AF114" s="398"/>
      <c r="AG114" s="398"/>
      <c r="AH114" s="398"/>
      <c r="AI114" s="438"/>
      <c r="AJ114" s="442">
        <v>1</v>
      </c>
      <c r="AK114" s="442">
        <f>[1]RONET_Input!AF85</f>
        <v>4</v>
      </c>
      <c r="AL114" s="507"/>
      <c r="AM114" s="507"/>
      <c r="AN114" s="507"/>
      <c r="AO114" s="507"/>
      <c r="AP114" s="507"/>
      <c r="AQ114" s="507"/>
      <c r="AR114" s="507"/>
      <c r="AS114" s="507"/>
      <c r="AT114" s="507"/>
      <c r="AU114" s="507"/>
      <c r="AV114" s="507"/>
      <c r="AW114" s="507"/>
      <c r="AX114" s="508"/>
      <c r="AY114" s="509">
        <f>[1]RONET_Input!AG85</f>
        <v>3</v>
      </c>
      <c r="AZ114" s="359" t="s">
        <v>321</v>
      </c>
      <c r="BA114" s="360" t="s">
        <v>502</v>
      </c>
      <c r="BB114" s="360" t="s">
        <v>443</v>
      </c>
      <c r="BC114" s="510">
        <v>8.3304014970176001E-3</v>
      </c>
      <c r="BD114" s="510">
        <v>5.0050000000000004E-2</v>
      </c>
      <c r="BE114" s="438">
        <v>5</v>
      </c>
      <c r="BF114" s="511">
        <v>7.4425146600806361E-2</v>
      </c>
      <c r="BG114" s="512">
        <v>0.4471547486281367</v>
      </c>
      <c r="BH114" s="512">
        <v>8.9341608117509832</v>
      </c>
      <c r="BI114" s="513">
        <v>0</v>
      </c>
      <c r="BJ114" s="514">
        <v>375</v>
      </c>
      <c r="BK114" s="515">
        <v>0.22366666666666665</v>
      </c>
      <c r="BL114" s="512">
        <v>2.2781692405679996E-2</v>
      </c>
      <c r="BM114" s="516">
        <v>3.2054071874999999E-2</v>
      </c>
      <c r="BN114" s="517">
        <v>375</v>
      </c>
      <c r="BO114" s="518">
        <v>397.50000000000011</v>
      </c>
      <c r="BP114" s="518">
        <v>421.34999999999991</v>
      </c>
      <c r="BQ114" s="518">
        <v>446.63099999999997</v>
      </c>
      <c r="BR114" s="518">
        <v>473.42885999999999</v>
      </c>
      <c r="BS114" s="518">
        <v>501.83459160000012</v>
      </c>
      <c r="BT114" s="518">
        <v>531.9446670960001</v>
      </c>
      <c r="BU114" s="518">
        <v>563.86134712175999</v>
      </c>
      <c r="BV114" s="518">
        <v>597.69302794906582</v>
      </c>
      <c r="BW114" s="518">
        <v>633.55460962600955</v>
      </c>
      <c r="BX114" s="518">
        <v>671.56788620357008</v>
      </c>
      <c r="BY114" s="518">
        <v>711.86195937578441</v>
      </c>
      <c r="BZ114" s="518">
        <v>754.57367693833146</v>
      </c>
      <c r="CA114" s="518">
        <v>799.84809755463141</v>
      </c>
      <c r="CB114" s="518">
        <v>847.83898340790915</v>
      </c>
      <c r="CC114" s="518">
        <v>898.70932241238381</v>
      </c>
      <c r="CD114" s="518">
        <v>952.63188175712685</v>
      </c>
      <c r="CE114" s="518">
        <v>1009.7897946625544</v>
      </c>
      <c r="CF114" s="518">
        <v>1070.3771823423076</v>
      </c>
      <c r="CG114" s="519">
        <v>1134.5998132828461</v>
      </c>
      <c r="CH114" s="520">
        <v>8.86</v>
      </c>
      <c r="CI114" s="521">
        <v>9.0371999999999986</v>
      </c>
      <c r="CJ114" s="521">
        <v>9.2179439999999992</v>
      </c>
      <c r="CK114" s="521">
        <v>9.4023028799999988</v>
      </c>
      <c r="CL114" s="521">
        <v>2.5</v>
      </c>
      <c r="CM114" s="521">
        <v>2.5499999999999998</v>
      </c>
      <c r="CN114" s="521">
        <v>2.601</v>
      </c>
      <c r="CO114" s="521">
        <v>2.6530200000000002</v>
      </c>
      <c r="CP114" s="521">
        <v>2.7060804000000003</v>
      </c>
      <c r="CQ114" s="521">
        <v>2.7602020080000003</v>
      </c>
      <c r="CR114" s="521">
        <v>2.8154060481600003</v>
      </c>
      <c r="CS114" s="521">
        <v>2.8717141691232002</v>
      </c>
      <c r="CT114" s="521">
        <v>2.5</v>
      </c>
      <c r="CU114" s="521">
        <v>2.5499999999999998</v>
      </c>
      <c r="CV114" s="521">
        <v>2.601</v>
      </c>
      <c r="CW114" s="521">
        <v>2.6530200000000002</v>
      </c>
      <c r="CX114" s="521">
        <v>2.7060804000000003</v>
      </c>
      <c r="CY114" s="521">
        <v>2.7602020080000003</v>
      </c>
      <c r="CZ114" s="521">
        <v>2.8154060481600003</v>
      </c>
      <c r="DA114" s="522">
        <v>2.8717141691232002</v>
      </c>
      <c r="DB114" s="523">
        <v>0</v>
      </c>
      <c r="DC114" s="524">
        <v>0</v>
      </c>
      <c r="DD114" s="524">
        <v>0</v>
      </c>
      <c r="DE114" s="524">
        <v>0</v>
      </c>
      <c r="DF114" s="524">
        <v>-5.0470108917783571E-3</v>
      </c>
      <c r="DG114" s="524">
        <v>2.7977711579835508E-3</v>
      </c>
      <c r="DH114" s="524">
        <v>3.0891781556173833E-3</v>
      </c>
      <c r="DI114" s="524">
        <v>3.4106789151896778E-3</v>
      </c>
      <c r="DJ114" s="524">
        <v>3.7653628300716099E-3</v>
      </c>
      <c r="DK114" s="524">
        <v>0.1135862938458608</v>
      </c>
      <c r="DL114" s="524">
        <v>2.8641599189541123E-5</v>
      </c>
      <c r="DM114" s="524">
        <v>2.0630971979920809E-5</v>
      </c>
      <c r="DN114" s="524">
        <v>-7.4755266687339221E-3</v>
      </c>
      <c r="DO114" s="524">
        <v>1.0453114489973256E-4</v>
      </c>
      <c r="DP114" s="524">
        <v>1.0319519987838158E-4</v>
      </c>
      <c r="DQ114" s="524">
        <v>1.0101816652082971E-4</v>
      </c>
      <c r="DR114" s="524">
        <v>9.7873737119828774E-5</v>
      </c>
      <c r="DS114" s="524">
        <v>1.5324369383077335E-2</v>
      </c>
      <c r="DT114" s="524">
        <v>1.6628595829165302E-4</v>
      </c>
      <c r="DU114" s="525">
        <v>1.6911428483491753E-4</v>
      </c>
      <c r="DV114" s="526">
        <v>3.5</v>
      </c>
      <c r="DW114" s="507">
        <v>1</v>
      </c>
      <c r="DX114" s="509">
        <v>8.86</v>
      </c>
      <c r="DY114" s="507">
        <v>2</v>
      </c>
      <c r="DZ114" s="507">
        <v>15</v>
      </c>
      <c r="EA114" s="507">
        <v>0</v>
      </c>
      <c r="EB114" s="507">
        <v>0</v>
      </c>
      <c r="EC114" s="507">
        <v>111.62500000000001</v>
      </c>
      <c r="ED114" s="507">
        <v>102.18750000000001</v>
      </c>
      <c r="EE114" s="507">
        <v>0</v>
      </c>
      <c r="EF114" s="507">
        <v>25.062499999999996</v>
      </c>
      <c r="EG114" s="507">
        <v>29.3125</v>
      </c>
      <c r="EH114" s="507">
        <v>12.8125</v>
      </c>
      <c r="EI114" s="507">
        <v>16.6875</v>
      </c>
      <c r="EJ114" s="507">
        <v>56.4375</v>
      </c>
      <c r="EK114" s="507">
        <v>10.4375</v>
      </c>
      <c r="EL114" s="507">
        <v>10.4375</v>
      </c>
      <c r="EM114" s="508">
        <v>375</v>
      </c>
    </row>
    <row r="115" spans="2:143" x14ac:dyDescent="0.25">
      <c r="B115" s="506" t="str">
        <f>[1]RONET_Input!J86</f>
        <v>214TT00068</v>
      </c>
      <c r="C115" s="359">
        <f>[1]RONET_Input!B86</f>
        <v>84</v>
      </c>
      <c r="D115" s="397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442">
        <f>[1]RONET_Input!K86</f>
        <v>1.39909133953E-2</v>
      </c>
      <c r="Q115" s="398">
        <f>[1]RONET_Input!Y86</f>
        <v>1</v>
      </c>
      <c r="R115" s="398">
        <f>[1]RONET_Input!X86</f>
        <v>3.4</v>
      </c>
      <c r="S115" s="398"/>
      <c r="T115" s="398"/>
      <c r="U115" s="398">
        <f>[1]RONET_Input!AA86</f>
        <v>8</v>
      </c>
      <c r="V115" s="398">
        <f>[1]RONET_Input!AC86</f>
        <v>1</v>
      </c>
      <c r="W115" s="398">
        <f>[1]RONET_Input!AD86</f>
        <v>1</v>
      </c>
      <c r="X115" s="398">
        <f>[1]RONET_Input!AE86</f>
        <v>4</v>
      </c>
      <c r="Y115" s="398">
        <f>[1]RONET_Input!AB86</f>
        <v>1</v>
      </c>
      <c r="Z115" s="438">
        <f>[1]RONET_Input!Z86</f>
        <v>1</v>
      </c>
      <c r="AA115" s="442"/>
      <c r="AB115" s="398"/>
      <c r="AC115" s="438"/>
      <c r="AD115" s="442">
        <f>[1]RONET_Input!AH86</f>
        <v>4</v>
      </c>
      <c r="AE115" s="398">
        <f>[1]RONET_Input!D86</f>
        <v>8.0299999999999994</v>
      </c>
      <c r="AF115" s="398"/>
      <c r="AG115" s="398"/>
      <c r="AH115" s="398"/>
      <c r="AI115" s="438"/>
      <c r="AJ115" s="442">
        <v>1</v>
      </c>
      <c r="AK115" s="442">
        <f>[1]RONET_Input!AF86</f>
        <v>4</v>
      </c>
      <c r="AL115" s="507"/>
      <c r="AM115" s="507"/>
      <c r="AN115" s="507"/>
      <c r="AO115" s="507"/>
      <c r="AP115" s="507"/>
      <c r="AQ115" s="507"/>
      <c r="AR115" s="507"/>
      <c r="AS115" s="507"/>
      <c r="AT115" s="507"/>
      <c r="AU115" s="507"/>
      <c r="AV115" s="507"/>
      <c r="AW115" s="507"/>
      <c r="AX115" s="508"/>
      <c r="AY115" s="509">
        <f>[1]RONET_Input!AG86</f>
        <v>3</v>
      </c>
      <c r="AZ115" s="359" t="s">
        <v>321</v>
      </c>
      <c r="BA115" s="360" t="s">
        <v>502</v>
      </c>
      <c r="BB115" s="360" t="s">
        <v>443</v>
      </c>
      <c r="BC115" s="510">
        <v>6.80238209279486E-4</v>
      </c>
      <c r="BD115" s="510">
        <v>4.8619999999999997E-2</v>
      </c>
      <c r="BE115" s="438">
        <v>5</v>
      </c>
      <c r="BF115" s="511">
        <v>6.3611656119006372E-3</v>
      </c>
      <c r="BG115" s="512">
        <v>0.45466406889757166</v>
      </c>
      <c r="BH115" s="512">
        <v>9.3513794507933294</v>
      </c>
      <c r="BI115" s="513">
        <v>0</v>
      </c>
      <c r="BJ115" s="514">
        <v>375</v>
      </c>
      <c r="BK115" s="515">
        <v>0.22366666666666665</v>
      </c>
      <c r="BL115" s="512">
        <v>1.9150062709816875E-3</v>
      </c>
      <c r="BM115" s="516">
        <v>6.4108143749999999E-2</v>
      </c>
      <c r="BN115" s="517">
        <v>375</v>
      </c>
      <c r="BO115" s="518">
        <v>397.50000000000011</v>
      </c>
      <c r="BP115" s="518">
        <v>421.34999999999991</v>
      </c>
      <c r="BQ115" s="518">
        <v>446.63099999999997</v>
      </c>
      <c r="BR115" s="518">
        <v>473.42885999999999</v>
      </c>
      <c r="BS115" s="518">
        <v>501.83459160000012</v>
      </c>
      <c r="BT115" s="518">
        <v>531.9446670960001</v>
      </c>
      <c r="BU115" s="518">
        <v>563.86134712175999</v>
      </c>
      <c r="BV115" s="518">
        <v>597.69302794906582</v>
      </c>
      <c r="BW115" s="518">
        <v>633.55460962600955</v>
      </c>
      <c r="BX115" s="518">
        <v>671.56788620357008</v>
      </c>
      <c r="BY115" s="518">
        <v>711.86195937578441</v>
      </c>
      <c r="BZ115" s="518">
        <v>754.57367693833146</v>
      </c>
      <c r="CA115" s="518">
        <v>799.84809755463141</v>
      </c>
      <c r="CB115" s="518">
        <v>847.83898340790915</v>
      </c>
      <c r="CC115" s="518">
        <v>898.70932241238381</v>
      </c>
      <c r="CD115" s="518">
        <v>952.63188175712685</v>
      </c>
      <c r="CE115" s="518">
        <v>1009.7897946625544</v>
      </c>
      <c r="CF115" s="518">
        <v>1070.3771823423076</v>
      </c>
      <c r="CG115" s="519">
        <v>1134.5998132828461</v>
      </c>
      <c r="CH115" s="520">
        <v>8.0299999999999994</v>
      </c>
      <c r="CI115" s="521">
        <v>8.1905999999999999</v>
      </c>
      <c r="CJ115" s="521">
        <v>8.3544119999999999</v>
      </c>
      <c r="CK115" s="521">
        <v>8.5215002399999999</v>
      </c>
      <c r="CL115" s="521">
        <v>2.5</v>
      </c>
      <c r="CM115" s="521">
        <v>2.5499999999999998</v>
      </c>
      <c r="CN115" s="521">
        <v>2.601</v>
      </c>
      <c r="CO115" s="521">
        <v>2.6530200000000002</v>
      </c>
      <c r="CP115" s="521">
        <v>2.7060804000000003</v>
      </c>
      <c r="CQ115" s="521">
        <v>2.7602020080000003</v>
      </c>
      <c r="CR115" s="521">
        <v>2.8154060481600003</v>
      </c>
      <c r="CS115" s="521">
        <v>2.8717141691232002</v>
      </c>
      <c r="CT115" s="521">
        <v>2.5</v>
      </c>
      <c r="CU115" s="521">
        <v>2.5499999999999998</v>
      </c>
      <c r="CV115" s="521">
        <v>2.601</v>
      </c>
      <c r="CW115" s="521">
        <v>2.6530200000000002</v>
      </c>
      <c r="CX115" s="521">
        <v>2.7060804000000003</v>
      </c>
      <c r="CY115" s="521">
        <v>2.7602020080000003</v>
      </c>
      <c r="CZ115" s="521">
        <v>2.8154060481600003</v>
      </c>
      <c r="DA115" s="522">
        <v>2.8717141691232002</v>
      </c>
      <c r="DB115" s="523">
        <v>0</v>
      </c>
      <c r="DC115" s="524">
        <v>0</v>
      </c>
      <c r="DD115" s="524">
        <v>0</v>
      </c>
      <c r="DE115" s="524">
        <v>0</v>
      </c>
      <c r="DF115" s="524">
        <v>-4.3609536735616529E-4</v>
      </c>
      <c r="DG115" s="524">
        <v>2.0154929482346607E-4</v>
      </c>
      <c r="DH115" s="524">
        <v>2.2206357675817094E-4</v>
      </c>
      <c r="DI115" s="524">
        <v>2.4465470756668316E-4</v>
      </c>
      <c r="DJ115" s="524">
        <v>2.6953235181957137E-4</v>
      </c>
      <c r="DK115" s="524">
        <v>9.58685330732288E-3</v>
      </c>
      <c r="DL115" s="524">
        <v>4.1910019539276918E-5</v>
      </c>
      <c r="DM115" s="524">
        <v>4.1856109135122435E-5</v>
      </c>
      <c r="DN115" s="524">
        <v>-5.6759950267715664E-4</v>
      </c>
      <c r="DO115" s="524">
        <v>5.2165566984122913E-5</v>
      </c>
      <c r="DP115" s="524">
        <v>5.2882969045128184E-5</v>
      </c>
      <c r="DQ115" s="524">
        <v>5.3560495927207959E-5</v>
      </c>
      <c r="DR115" s="524">
        <v>5.4187959957434535E-5</v>
      </c>
      <c r="DS115" s="524">
        <v>1.3350353416334911E-3</v>
      </c>
      <c r="DT115" s="524">
        <v>6.181728373180935E-5</v>
      </c>
      <c r="DU115" s="525">
        <v>6.3042347038321823E-5</v>
      </c>
      <c r="DV115" s="526">
        <v>3.4</v>
      </c>
      <c r="DW115" s="507">
        <v>1</v>
      </c>
      <c r="DX115" s="509">
        <v>8.0299999999999994</v>
      </c>
      <c r="DY115" s="507">
        <v>2</v>
      </c>
      <c r="DZ115" s="507">
        <v>15</v>
      </c>
      <c r="EA115" s="507">
        <v>0</v>
      </c>
      <c r="EB115" s="507">
        <v>0</v>
      </c>
      <c r="EC115" s="507">
        <v>111.62500000000001</v>
      </c>
      <c r="ED115" s="507">
        <v>102.18750000000001</v>
      </c>
      <c r="EE115" s="507">
        <v>0</v>
      </c>
      <c r="EF115" s="507">
        <v>25.062499999999996</v>
      </c>
      <c r="EG115" s="507">
        <v>29.3125</v>
      </c>
      <c r="EH115" s="507">
        <v>12.8125</v>
      </c>
      <c r="EI115" s="507">
        <v>16.6875</v>
      </c>
      <c r="EJ115" s="507">
        <v>56.4375</v>
      </c>
      <c r="EK115" s="507">
        <v>10.4375</v>
      </c>
      <c r="EL115" s="507">
        <v>10.4375</v>
      </c>
      <c r="EM115" s="508">
        <v>375</v>
      </c>
    </row>
    <row r="116" spans="2:143" x14ac:dyDescent="0.25">
      <c r="B116" s="506" t="str">
        <f>[1]RONET_Input!J87</f>
        <v>214TT00068</v>
      </c>
      <c r="C116" s="359">
        <f>[1]RONET_Input!B87</f>
        <v>85</v>
      </c>
      <c r="D116" s="397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442">
        <f>[1]RONET_Input!K87</f>
        <v>0.36722433532900001</v>
      </c>
      <c r="Q116" s="398">
        <f>[1]RONET_Input!Y87</f>
        <v>1</v>
      </c>
      <c r="R116" s="398">
        <f>[1]RONET_Input!X87</f>
        <v>3.4</v>
      </c>
      <c r="S116" s="398"/>
      <c r="T116" s="398"/>
      <c r="U116" s="398">
        <f>[1]RONET_Input!AA87</f>
        <v>8</v>
      </c>
      <c r="V116" s="398">
        <f>[1]RONET_Input!AC87</f>
        <v>1</v>
      </c>
      <c r="W116" s="398">
        <f>[1]RONET_Input!AD87</f>
        <v>1</v>
      </c>
      <c r="X116" s="398">
        <f>[1]RONET_Input!AE87</f>
        <v>4</v>
      </c>
      <c r="Y116" s="398">
        <f>[1]RONET_Input!AB87</f>
        <v>1</v>
      </c>
      <c r="Z116" s="438">
        <f>[1]RONET_Input!Z87</f>
        <v>1</v>
      </c>
      <c r="AA116" s="442"/>
      <c r="AB116" s="398"/>
      <c r="AC116" s="438"/>
      <c r="AD116" s="442">
        <f>[1]RONET_Input!AH87</f>
        <v>4</v>
      </c>
      <c r="AE116" s="398">
        <f>[1]RONET_Input!D87</f>
        <v>8.2799999999999994</v>
      </c>
      <c r="AF116" s="398"/>
      <c r="AG116" s="398"/>
      <c r="AH116" s="398"/>
      <c r="AI116" s="438"/>
      <c r="AJ116" s="442">
        <v>1</v>
      </c>
      <c r="AK116" s="442">
        <f>[1]RONET_Input!AF87</f>
        <v>4</v>
      </c>
      <c r="AL116" s="507"/>
      <c r="AM116" s="507"/>
      <c r="AN116" s="507"/>
      <c r="AO116" s="507"/>
      <c r="AP116" s="507"/>
      <c r="AQ116" s="507"/>
      <c r="AR116" s="507"/>
      <c r="AS116" s="507"/>
      <c r="AT116" s="507"/>
      <c r="AU116" s="507"/>
      <c r="AV116" s="507"/>
      <c r="AW116" s="507"/>
      <c r="AX116" s="508"/>
      <c r="AY116" s="509">
        <f>[1]RONET_Input!AG87</f>
        <v>3</v>
      </c>
      <c r="AZ116" s="359" t="s">
        <v>321</v>
      </c>
      <c r="BA116" s="360" t="s">
        <v>502</v>
      </c>
      <c r="BB116" s="360" t="s">
        <v>443</v>
      </c>
      <c r="BC116" s="510">
        <v>1.7854447183695981E-2</v>
      </c>
      <c r="BD116" s="510">
        <v>4.8620000000000003E-2</v>
      </c>
      <c r="BE116" s="438">
        <v>5</v>
      </c>
      <c r="BF116" s="511">
        <v>0.16834697045081484</v>
      </c>
      <c r="BG116" s="512">
        <v>0.45843086706111424</v>
      </c>
      <c r="BH116" s="512">
        <v>9.4288537034371505</v>
      </c>
      <c r="BI116" s="513">
        <v>0</v>
      </c>
      <c r="BJ116" s="514">
        <v>375</v>
      </c>
      <c r="BK116" s="515">
        <v>0.22366666666666665</v>
      </c>
      <c r="BL116" s="512">
        <v>5.0263830898156885E-2</v>
      </c>
      <c r="BM116" s="516">
        <v>6.4108143749999999E-2</v>
      </c>
      <c r="BN116" s="517">
        <v>375</v>
      </c>
      <c r="BO116" s="518">
        <v>397.50000000000011</v>
      </c>
      <c r="BP116" s="518">
        <v>421.34999999999991</v>
      </c>
      <c r="BQ116" s="518">
        <v>446.63099999999997</v>
      </c>
      <c r="BR116" s="518">
        <v>473.42885999999999</v>
      </c>
      <c r="BS116" s="518">
        <v>501.83459160000012</v>
      </c>
      <c r="BT116" s="518">
        <v>531.9446670960001</v>
      </c>
      <c r="BU116" s="518">
        <v>563.86134712175999</v>
      </c>
      <c r="BV116" s="518">
        <v>597.69302794906582</v>
      </c>
      <c r="BW116" s="518">
        <v>633.55460962600955</v>
      </c>
      <c r="BX116" s="518">
        <v>671.56788620357008</v>
      </c>
      <c r="BY116" s="518">
        <v>711.86195937578441</v>
      </c>
      <c r="BZ116" s="518">
        <v>754.57367693833146</v>
      </c>
      <c r="CA116" s="518">
        <v>799.84809755463141</v>
      </c>
      <c r="CB116" s="518">
        <v>847.83898340790915</v>
      </c>
      <c r="CC116" s="518">
        <v>898.70932241238381</v>
      </c>
      <c r="CD116" s="518">
        <v>952.63188175712685</v>
      </c>
      <c r="CE116" s="518">
        <v>1009.7897946625544</v>
      </c>
      <c r="CF116" s="518">
        <v>1070.3771823423076</v>
      </c>
      <c r="CG116" s="519">
        <v>1134.5998132828461</v>
      </c>
      <c r="CH116" s="520">
        <v>8.2799999999999994</v>
      </c>
      <c r="CI116" s="521">
        <v>8.4455999999999989</v>
      </c>
      <c r="CJ116" s="521">
        <v>8.6145119999999995</v>
      </c>
      <c r="CK116" s="521">
        <v>8.7868022400000001</v>
      </c>
      <c r="CL116" s="521">
        <v>2.5</v>
      </c>
      <c r="CM116" s="521">
        <v>2.5499999999999998</v>
      </c>
      <c r="CN116" s="521">
        <v>2.601</v>
      </c>
      <c r="CO116" s="521">
        <v>2.6530200000000002</v>
      </c>
      <c r="CP116" s="521">
        <v>2.7060804000000003</v>
      </c>
      <c r="CQ116" s="521">
        <v>2.7602020080000003</v>
      </c>
      <c r="CR116" s="521">
        <v>2.8154060481600003</v>
      </c>
      <c r="CS116" s="521">
        <v>2.8717141691232002</v>
      </c>
      <c r="CT116" s="521">
        <v>2.5</v>
      </c>
      <c r="CU116" s="521">
        <v>2.5499999999999998</v>
      </c>
      <c r="CV116" s="521">
        <v>2.601</v>
      </c>
      <c r="CW116" s="521">
        <v>2.6530200000000002</v>
      </c>
      <c r="CX116" s="521">
        <v>2.7060804000000003</v>
      </c>
      <c r="CY116" s="521">
        <v>2.7602020080000003</v>
      </c>
      <c r="CZ116" s="521">
        <v>2.8154060481600003</v>
      </c>
      <c r="DA116" s="522">
        <v>2.8717141691232002</v>
      </c>
      <c r="DB116" s="523">
        <v>0</v>
      </c>
      <c r="DC116" s="524">
        <v>0</v>
      </c>
      <c r="DD116" s="524">
        <v>0</v>
      </c>
      <c r="DE116" s="524">
        <v>0</v>
      </c>
      <c r="DF116" s="524">
        <v>-1.1123021524233813E-2</v>
      </c>
      <c r="DG116" s="524">
        <v>5.646088342547765E-3</v>
      </c>
      <c r="DH116" s="524">
        <v>6.2204551283895487E-3</v>
      </c>
      <c r="DI116" s="524">
        <v>6.8529567152231519E-3</v>
      </c>
      <c r="DJ116" s="524">
        <v>7.549461299873883E-3</v>
      </c>
      <c r="DK116" s="524">
        <v>0.25162944935824755</v>
      </c>
      <c r="DL116" s="524">
        <v>1.1000267555159385E-3</v>
      </c>
      <c r="DM116" s="524">
        <v>1.0986117505213666E-3</v>
      </c>
      <c r="DN116" s="524">
        <v>-1.48979801542986E-2</v>
      </c>
      <c r="DO116" s="524">
        <v>1.3692076508200132E-3</v>
      </c>
      <c r="DP116" s="524">
        <v>1.3880375504536566E-3</v>
      </c>
      <c r="DQ116" s="524">
        <v>1.4058208324960325E-3</v>
      </c>
      <c r="DR116" s="524">
        <v>1.422290097577765E-3</v>
      </c>
      <c r="DS116" s="524">
        <v>3.50411336358337E-2</v>
      </c>
      <c r="DT116" s="524">
        <v>1.6225395932965708E-3</v>
      </c>
      <c r="DU116" s="525">
        <v>1.6546942529502423E-3</v>
      </c>
      <c r="DV116" s="526">
        <v>3.4</v>
      </c>
      <c r="DW116" s="507">
        <v>1</v>
      </c>
      <c r="DX116" s="509">
        <v>8.2799999999999994</v>
      </c>
      <c r="DY116" s="507">
        <v>2</v>
      </c>
      <c r="DZ116" s="507">
        <v>15</v>
      </c>
      <c r="EA116" s="507">
        <v>0</v>
      </c>
      <c r="EB116" s="507">
        <v>0</v>
      </c>
      <c r="EC116" s="507">
        <v>111.62500000000001</v>
      </c>
      <c r="ED116" s="507">
        <v>102.18750000000001</v>
      </c>
      <c r="EE116" s="507">
        <v>0</v>
      </c>
      <c r="EF116" s="507">
        <v>25.062499999999996</v>
      </c>
      <c r="EG116" s="507">
        <v>29.3125</v>
      </c>
      <c r="EH116" s="507">
        <v>12.8125</v>
      </c>
      <c r="EI116" s="507">
        <v>16.6875</v>
      </c>
      <c r="EJ116" s="507">
        <v>56.4375</v>
      </c>
      <c r="EK116" s="507">
        <v>10.4375</v>
      </c>
      <c r="EL116" s="507">
        <v>10.4375</v>
      </c>
      <c r="EM116" s="508">
        <v>375</v>
      </c>
    </row>
    <row r="117" spans="2:143" x14ac:dyDescent="0.25">
      <c r="B117" s="506" t="str">
        <f>[1]RONET_Input!J88</f>
        <v>214TT00070</v>
      </c>
      <c r="C117" s="359">
        <f>[1]RONET_Input!B88</f>
        <v>86</v>
      </c>
      <c r="D117" s="397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442">
        <f>[1]RONET_Input!K88</f>
        <v>1.3416233179299999</v>
      </c>
      <c r="Q117" s="398">
        <f>[1]RONET_Input!Y88</f>
        <v>1</v>
      </c>
      <c r="R117" s="398">
        <f>[1]RONET_Input!X88</f>
        <v>3.4</v>
      </c>
      <c r="S117" s="398"/>
      <c r="T117" s="398"/>
      <c r="U117" s="398">
        <f>[1]RONET_Input!AA88</f>
        <v>8</v>
      </c>
      <c r="V117" s="398">
        <f>[1]RONET_Input!AC88</f>
        <v>1</v>
      </c>
      <c r="W117" s="398">
        <f>[1]RONET_Input!AD88</f>
        <v>1</v>
      </c>
      <c r="X117" s="398">
        <f>[1]RONET_Input!AE88</f>
        <v>4</v>
      </c>
      <c r="Y117" s="398">
        <f>[1]RONET_Input!AB88</f>
        <v>1</v>
      </c>
      <c r="Z117" s="438">
        <f>[1]RONET_Input!Z88</f>
        <v>1</v>
      </c>
      <c r="AA117" s="442"/>
      <c r="AB117" s="398"/>
      <c r="AC117" s="438"/>
      <c r="AD117" s="442">
        <f>[1]RONET_Input!AH88</f>
        <v>4</v>
      </c>
      <c r="AE117" s="398">
        <f>[1]RONET_Input!D88</f>
        <v>8.98</v>
      </c>
      <c r="AF117" s="398"/>
      <c r="AG117" s="398"/>
      <c r="AH117" s="398"/>
      <c r="AI117" s="438"/>
      <c r="AJ117" s="442">
        <v>1</v>
      </c>
      <c r="AK117" s="442">
        <f>[1]RONET_Input!AF88</f>
        <v>4</v>
      </c>
      <c r="AL117" s="507"/>
      <c r="AM117" s="507"/>
      <c r="AN117" s="507"/>
      <c r="AO117" s="507"/>
      <c r="AP117" s="507"/>
      <c r="AQ117" s="507"/>
      <c r="AR117" s="507"/>
      <c r="AS117" s="507"/>
      <c r="AT117" s="507"/>
      <c r="AU117" s="507"/>
      <c r="AV117" s="507"/>
      <c r="AW117" s="507"/>
      <c r="AX117" s="508"/>
      <c r="AY117" s="509">
        <f>[1]RONET_Input!AG88</f>
        <v>3</v>
      </c>
      <c r="AZ117" s="359" t="s">
        <v>321</v>
      </c>
      <c r="BA117" s="360" t="s">
        <v>502</v>
      </c>
      <c r="BB117" s="360" t="s">
        <v>443</v>
      </c>
      <c r="BC117" s="510">
        <v>6.5229725717756593E-2</v>
      </c>
      <c r="BD117" s="510">
        <v>4.8619999999999997E-2</v>
      </c>
      <c r="BE117" s="438">
        <v>5</v>
      </c>
      <c r="BF117" s="511">
        <v>0.62994107286341805</v>
      </c>
      <c r="BG117" s="512">
        <v>0.46953646708776542</v>
      </c>
      <c r="BH117" s="512">
        <v>9.6572699935780637</v>
      </c>
      <c r="BI117" s="513">
        <v>0</v>
      </c>
      <c r="BJ117" s="514">
        <v>375</v>
      </c>
      <c r="BK117" s="515">
        <v>0.22366666666666665</v>
      </c>
      <c r="BL117" s="512">
        <v>0.18363469164166876</v>
      </c>
      <c r="BM117" s="516">
        <v>6.4108143749999999E-2</v>
      </c>
      <c r="BN117" s="517">
        <v>375</v>
      </c>
      <c r="BO117" s="518">
        <v>397.50000000000011</v>
      </c>
      <c r="BP117" s="518">
        <v>421.34999999999991</v>
      </c>
      <c r="BQ117" s="518">
        <v>446.63099999999997</v>
      </c>
      <c r="BR117" s="518">
        <v>473.42885999999999</v>
      </c>
      <c r="BS117" s="518">
        <v>501.83459160000012</v>
      </c>
      <c r="BT117" s="518">
        <v>531.9446670960001</v>
      </c>
      <c r="BU117" s="518">
        <v>563.86134712175999</v>
      </c>
      <c r="BV117" s="518">
        <v>597.69302794906582</v>
      </c>
      <c r="BW117" s="518">
        <v>633.55460962600955</v>
      </c>
      <c r="BX117" s="518">
        <v>671.56788620357008</v>
      </c>
      <c r="BY117" s="518">
        <v>711.86195937578441</v>
      </c>
      <c r="BZ117" s="518">
        <v>754.57367693833146</v>
      </c>
      <c r="CA117" s="518">
        <v>799.84809755463141</v>
      </c>
      <c r="CB117" s="518">
        <v>847.83898340790915</v>
      </c>
      <c r="CC117" s="518">
        <v>898.70932241238381</v>
      </c>
      <c r="CD117" s="518">
        <v>952.63188175712685</v>
      </c>
      <c r="CE117" s="518">
        <v>1009.7897946625544</v>
      </c>
      <c r="CF117" s="518">
        <v>1070.3771823423076</v>
      </c>
      <c r="CG117" s="519">
        <v>1134.5998132828461</v>
      </c>
      <c r="CH117" s="520">
        <v>8.98</v>
      </c>
      <c r="CI117" s="521">
        <v>9.1596000000000011</v>
      </c>
      <c r="CJ117" s="521">
        <v>9.3427920000000011</v>
      </c>
      <c r="CK117" s="521">
        <v>9.5296478400000009</v>
      </c>
      <c r="CL117" s="521">
        <v>2.5</v>
      </c>
      <c r="CM117" s="521">
        <v>2.5499999999999998</v>
      </c>
      <c r="CN117" s="521">
        <v>2.601</v>
      </c>
      <c r="CO117" s="521">
        <v>2.6530200000000002</v>
      </c>
      <c r="CP117" s="521">
        <v>2.7060804000000003</v>
      </c>
      <c r="CQ117" s="521">
        <v>2.7602020080000003</v>
      </c>
      <c r="CR117" s="521">
        <v>2.8154060481600003</v>
      </c>
      <c r="CS117" s="521">
        <v>2.8717141691232002</v>
      </c>
      <c r="CT117" s="521">
        <v>2.5</v>
      </c>
      <c r="CU117" s="521">
        <v>2.5499999999999998</v>
      </c>
      <c r="CV117" s="521">
        <v>2.601</v>
      </c>
      <c r="CW117" s="521">
        <v>2.6530200000000002</v>
      </c>
      <c r="CX117" s="521">
        <v>2.7060804000000003</v>
      </c>
      <c r="CY117" s="521">
        <v>2.7602020080000003</v>
      </c>
      <c r="CZ117" s="521">
        <v>2.8154060481600003</v>
      </c>
      <c r="DA117" s="522">
        <v>2.8717141691232002</v>
      </c>
      <c r="DB117" s="523">
        <v>0</v>
      </c>
      <c r="DC117" s="524">
        <v>0</v>
      </c>
      <c r="DD117" s="524">
        <v>0</v>
      </c>
      <c r="DE117" s="524">
        <v>0</v>
      </c>
      <c r="DF117" s="524">
        <v>-3.7154271802171929E-2</v>
      </c>
      <c r="DG117" s="524">
        <v>2.4461692722268696E-2</v>
      </c>
      <c r="DH117" s="524">
        <v>2.6946954272035611E-2</v>
      </c>
      <c r="DI117" s="524">
        <v>2.9683598330387806E-2</v>
      </c>
      <c r="DJ117" s="524">
        <v>3.2696970784267282E-2</v>
      </c>
      <c r="DK117" s="524">
        <v>0.91930709448887438</v>
      </c>
      <c r="DL117" s="524">
        <v>4.018855515729558E-3</v>
      </c>
      <c r="DM117" s="524">
        <v>4.0136859136278846E-3</v>
      </c>
      <c r="DN117" s="524">
        <v>-5.44285213210568E-2</v>
      </c>
      <c r="DO117" s="524">
        <v>5.0022853463198014E-3</v>
      </c>
      <c r="DP117" s="524">
        <v>5.0710788057732048E-3</v>
      </c>
      <c r="DQ117" s="524">
        <v>5.1360485356142516E-3</v>
      </c>
      <c r="DR117" s="524">
        <v>5.1962176146679029E-3</v>
      </c>
      <c r="DS117" s="524">
        <v>0.12801984359347313</v>
      </c>
      <c r="DT117" s="524">
        <v>5.9278123566650076E-3</v>
      </c>
      <c r="DU117" s="525">
        <v>6.0452867095910912E-3</v>
      </c>
      <c r="DV117" s="526">
        <v>3.4</v>
      </c>
      <c r="DW117" s="507">
        <v>1</v>
      </c>
      <c r="DX117" s="509">
        <v>8.98</v>
      </c>
      <c r="DY117" s="507">
        <v>2</v>
      </c>
      <c r="DZ117" s="507">
        <v>15</v>
      </c>
      <c r="EA117" s="507">
        <v>0</v>
      </c>
      <c r="EB117" s="507">
        <v>0</v>
      </c>
      <c r="EC117" s="507">
        <v>111.62500000000001</v>
      </c>
      <c r="ED117" s="507">
        <v>102.18750000000001</v>
      </c>
      <c r="EE117" s="507">
        <v>0</v>
      </c>
      <c r="EF117" s="507">
        <v>25.062499999999996</v>
      </c>
      <c r="EG117" s="507">
        <v>29.3125</v>
      </c>
      <c r="EH117" s="507">
        <v>12.8125</v>
      </c>
      <c r="EI117" s="507">
        <v>16.6875</v>
      </c>
      <c r="EJ117" s="507">
        <v>56.4375</v>
      </c>
      <c r="EK117" s="507">
        <v>10.4375</v>
      </c>
      <c r="EL117" s="507">
        <v>10.4375</v>
      </c>
      <c r="EM117" s="508">
        <v>375</v>
      </c>
    </row>
    <row r="118" spans="2:143" x14ac:dyDescent="0.25">
      <c r="B118" s="506" t="str">
        <f>[1]RONET_Input!J89</f>
        <v>214TT00063</v>
      </c>
      <c r="C118" s="359">
        <f>[1]RONET_Input!B89</f>
        <v>87</v>
      </c>
      <c r="D118" s="397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442">
        <f>[1]RONET_Input!K89</f>
        <v>1.14417675313</v>
      </c>
      <c r="Q118" s="398">
        <f>[1]RONET_Input!Y89</f>
        <v>1</v>
      </c>
      <c r="R118" s="398">
        <f>[1]RONET_Input!X89</f>
        <v>3.4</v>
      </c>
      <c r="S118" s="398"/>
      <c r="T118" s="398"/>
      <c r="U118" s="398">
        <f>[1]RONET_Input!AA89</f>
        <v>8</v>
      </c>
      <c r="V118" s="398">
        <f>[1]RONET_Input!AC89</f>
        <v>1</v>
      </c>
      <c r="W118" s="398">
        <f>[1]RONET_Input!AD89</f>
        <v>1</v>
      </c>
      <c r="X118" s="398">
        <f>[1]RONET_Input!AE89</f>
        <v>4</v>
      </c>
      <c r="Y118" s="398">
        <f>[1]RONET_Input!AB89</f>
        <v>1</v>
      </c>
      <c r="Z118" s="438">
        <f>[1]RONET_Input!Z89</f>
        <v>1</v>
      </c>
      <c r="AA118" s="442"/>
      <c r="AB118" s="398"/>
      <c r="AC118" s="438"/>
      <c r="AD118" s="442">
        <f>[1]RONET_Input!AH89</f>
        <v>4</v>
      </c>
      <c r="AE118" s="398">
        <f>[1]RONET_Input!D89</f>
        <v>8.5950000000000006</v>
      </c>
      <c r="AF118" s="398"/>
      <c r="AG118" s="398"/>
      <c r="AH118" s="398"/>
      <c r="AI118" s="438"/>
      <c r="AJ118" s="442">
        <v>1</v>
      </c>
      <c r="AK118" s="442">
        <f>[1]RONET_Input!AF89</f>
        <v>4</v>
      </c>
      <c r="AL118" s="507"/>
      <c r="AM118" s="507"/>
      <c r="AN118" s="507"/>
      <c r="AO118" s="507"/>
      <c r="AP118" s="507"/>
      <c r="AQ118" s="507"/>
      <c r="AR118" s="507"/>
      <c r="AS118" s="507"/>
      <c r="AT118" s="507"/>
      <c r="AU118" s="507"/>
      <c r="AV118" s="507"/>
      <c r="AW118" s="507"/>
      <c r="AX118" s="508"/>
      <c r="AY118" s="509">
        <f>[1]RONET_Input!AG89</f>
        <v>3</v>
      </c>
      <c r="AZ118" s="359" t="s">
        <v>321</v>
      </c>
      <c r="BA118" s="360" t="s">
        <v>502</v>
      </c>
      <c r="BB118" s="360" t="s">
        <v>443</v>
      </c>
      <c r="BC118" s="510">
        <v>5.5629873737180605E-2</v>
      </c>
      <c r="BD118" s="510">
        <v>4.8620000000000003E-2</v>
      </c>
      <c r="BE118" s="438">
        <v>5</v>
      </c>
      <c r="BF118" s="511">
        <v>0.53012771913741497</v>
      </c>
      <c r="BG118" s="512">
        <v>0.46332676982573029</v>
      </c>
      <c r="BH118" s="512">
        <v>9.5295510042313918</v>
      </c>
      <c r="BI118" s="513">
        <v>0</v>
      </c>
      <c r="BJ118" s="514">
        <v>375</v>
      </c>
      <c r="BK118" s="515">
        <v>0.22366666666666665</v>
      </c>
      <c r="BL118" s="512">
        <v>0.15660919308466875</v>
      </c>
      <c r="BM118" s="516">
        <v>6.4108143749999999E-2</v>
      </c>
      <c r="BN118" s="517">
        <v>375</v>
      </c>
      <c r="BO118" s="518">
        <v>397.50000000000011</v>
      </c>
      <c r="BP118" s="518">
        <v>421.34999999999991</v>
      </c>
      <c r="BQ118" s="518">
        <v>446.63099999999997</v>
      </c>
      <c r="BR118" s="518">
        <v>473.42885999999999</v>
      </c>
      <c r="BS118" s="518">
        <v>501.83459160000012</v>
      </c>
      <c r="BT118" s="518">
        <v>531.9446670960001</v>
      </c>
      <c r="BU118" s="518">
        <v>563.86134712175999</v>
      </c>
      <c r="BV118" s="518">
        <v>597.69302794906582</v>
      </c>
      <c r="BW118" s="518">
        <v>633.55460962600955</v>
      </c>
      <c r="BX118" s="518">
        <v>671.56788620357008</v>
      </c>
      <c r="BY118" s="518">
        <v>711.86195937578441</v>
      </c>
      <c r="BZ118" s="518">
        <v>754.57367693833146</v>
      </c>
      <c r="CA118" s="518">
        <v>799.84809755463141</v>
      </c>
      <c r="CB118" s="518">
        <v>847.83898340790915</v>
      </c>
      <c r="CC118" s="518">
        <v>898.70932241238381</v>
      </c>
      <c r="CD118" s="518">
        <v>952.63188175712685</v>
      </c>
      <c r="CE118" s="518">
        <v>1009.7897946625544</v>
      </c>
      <c r="CF118" s="518">
        <v>1070.3771823423076</v>
      </c>
      <c r="CG118" s="519">
        <v>1134.5998132828461</v>
      </c>
      <c r="CH118" s="520">
        <v>8.5950000000000006</v>
      </c>
      <c r="CI118" s="521">
        <v>8.7669000000000015</v>
      </c>
      <c r="CJ118" s="521">
        <v>8.9422380000000015</v>
      </c>
      <c r="CK118" s="521">
        <v>9.121082760000002</v>
      </c>
      <c r="CL118" s="521">
        <v>2.5</v>
      </c>
      <c r="CM118" s="521">
        <v>2.5499999999999998</v>
      </c>
      <c r="CN118" s="521">
        <v>2.601</v>
      </c>
      <c r="CO118" s="521">
        <v>2.6530200000000002</v>
      </c>
      <c r="CP118" s="521">
        <v>2.7060804000000003</v>
      </c>
      <c r="CQ118" s="521">
        <v>2.7602020080000003</v>
      </c>
      <c r="CR118" s="521">
        <v>2.8154060481600003</v>
      </c>
      <c r="CS118" s="521">
        <v>2.8717141691232002</v>
      </c>
      <c r="CT118" s="521">
        <v>2.5</v>
      </c>
      <c r="CU118" s="521">
        <v>2.5499999999999998</v>
      </c>
      <c r="CV118" s="521">
        <v>2.601</v>
      </c>
      <c r="CW118" s="521">
        <v>2.6530200000000002</v>
      </c>
      <c r="CX118" s="521">
        <v>2.7060804000000003</v>
      </c>
      <c r="CY118" s="521">
        <v>2.7602020080000003</v>
      </c>
      <c r="CZ118" s="521">
        <v>2.8154060481600003</v>
      </c>
      <c r="DA118" s="522">
        <v>2.8717141691232002</v>
      </c>
      <c r="DB118" s="523">
        <v>0</v>
      </c>
      <c r="DC118" s="524">
        <v>0</v>
      </c>
      <c r="DD118" s="524">
        <v>0</v>
      </c>
      <c r="DE118" s="524">
        <v>0</v>
      </c>
      <c r="DF118" s="524">
        <v>-3.3347091740020166E-2</v>
      </c>
      <c r="DG118" s="524">
        <v>1.9033282372207555E-2</v>
      </c>
      <c r="DH118" s="524">
        <v>2.0968320772744034E-2</v>
      </c>
      <c r="DI118" s="524">
        <v>2.3099159948895553E-2</v>
      </c>
      <c r="DJ118" s="524">
        <v>2.5445557848278427E-2</v>
      </c>
      <c r="DK118" s="524">
        <v>0.78401276456983526</v>
      </c>
      <c r="DL118" s="524">
        <v>3.4274009655562154E-3</v>
      </c>
      <c r="DM118" s="524">
        <v>3.4229921732606416E-3</v>
      </c>
      <c r="DN118" s="524">
        <v>-4.6418281473282391E-2</v>
      </c>
      <c r="DO118" s="524">
        <v>4.2660995297940651E-3</v>
      </c>
      <c r="DP118" s="524">
        <v>4.3247686629420412E-3</v>
      </c>
      <c r="DQ118" s="524">
        <v>4.3801768043687239E-3</v>
      </c>
      <c r="DR118" s="524">
        <v>4.4314908062874081E-3</v>
      </c>
      <c r="DS118" s="524">
        <v>0.10917917646585887</v>
      </c>
      <c r="DT118" s="524">
        <v>5.0554168258476473E-3</v>
      </c>
      <c r="DU118" s="525">
        <v>5.1556024904158282E-3</v>
      </c>
      <c r="DV118" s="526">
        <v>3.4</v>
      </c>
      <c r="DW118" s="507">
        <v>1</v>
      </c>
      <c r="DX118" s="509">
        <v>8.5950000000000006</v>
      </c>
      <c r="DY118" s="507">
        <v>2</v>
      </c>
      <c r="DZ118" s="507">
        <v>15</v>
      </c>
      <c r="EA118" s="507">
        <v>0</v>
      </c>
      <c r="EB118" s="507">
        <v>0</v>
      </c>
      <c r="EC118" s="507">
        <v>111.62500000000001</v>
      </c>
      <c r="ED118" s="507">
        <v>102.18750000000001</v>
      </c>
      <c r="EE118" s="507">
        <v>0</v>
      </c>
      <c r="EF118" s="507">
        <v>25.062499999999996</v>
      </c>
      <c r="EG118" s="507">
        <v>29.3125</v>
      </c>
      <c r="EH118" s="507">
        <v>12.8125</v>
      </c>
      <c r="EI118" s="507">
        <v>16.6875</v>
      </c>
      <c r="EJ118" s="507">
        <v>56.4375</v>
      </c>
      <c r="EK118" s="507">
        <v>10.4375</v>
      </c>
      <c r="EL118" s="507">
        <v>10.4375</v>
      </c>
      <c r="EM118" s="508">
        <v>375</v>
      </c>
    </row>
    <row r="119" spans="2:143" x14ac:dyDescent="0.25">
      <c r="B119" s="506" t="str">
        <f>[1]RONET_Input!J90</f>
        <v>214TT00069</v>
      </c>
      <c r="C119" s="359">
        <f>[1]RONET_Input!B90</f>
        <v>88</v>
      </c>
      <c r="D119" s="397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442">
        <f>[1]RONET_Input!K90</f>
        <v>1.57397944819</v>
      </c>
      <c r="Q119" s="398">
        <f>[1]RONET_Input!Y90</f>
        <v>1</v>
      </c>
      <c r="R119" s="398">
        <f>[1]RONET_Input!X90</f>
        <v>3.4</v>
      </c>
      <c r="S119" s="398"/>
      <c r="T119" s="398"/>
      <c r="U119" s="398">
        <f>[1]RONET_Input!AA90</f>
        <v>8</v>
      </c>
      <c r="V119" s="398">
        <f>[1]RONET_Input!AC90</f>
        <v>1</v>
      </c>
      <c r="W119" s="398">
        <f>[1]RONET_Input!AD90</f>
        <v>1</v>
      </c>
      <c r="X119" s="398">
        <f>[1]RONET_Input!AE90</f>
        <v>4</v>
      </c>
      <c r="Y119" s="398">
        <f>[1]RONET_Input!AB90</f>
        <v>1</v>
      </c>
      <c r="Z119" s="438">
        <f>[1]RONET_Input!Z90</f>
        <v>1</v>
      </c>
      <c r="AA119" s="442"/>
      <c r="AB119" s="398"/>
      <c r="AC119" s="438"/>
      <c r="AD119" s="442">
        <f>[1]RONET_Input!AH90</f>
        <v>3</v>
      </c>
      <c r="AE119" s="398">
        <f>[1]RONET_Input!D90</f>
        <v>7.7949999999999999</v>
      </c>
      <c r="AF119" s="398"/>
      <c r="AG119" s="398"/>
      <c r="AH119" s="398"/>
      <c r="AI119" s="438"/>
      <c r="AJ119" s="442">
        <v>1</v>
      </c>
      <c r="AK119" s="442">
        <f>[1]RONET_Input!AF90</f>
        <v>4</v>
      </c>
      <c r="AL119" s="507"/>
      <c r="AM119" s="507"/>
      <c r="AN119" s="507"/>
      <c r="AO119" s="507"/>
      <c r="AP119" s="507"/>
      <c r="AQ119" s="507"/>
      <c r="AR119" s="507"/>
      <c r="AS119" s="507"/>
      <c r="AT119" s="507"/>
      <c r="AU119" s="507"/>
      <c r="AV119" s="507"/>
      <c r="AW119" s="507"/>
      <c r="AX119" s="508"/>
      <c r="AY119" s="509">
        <f>[1]RONET_Input!AG90</f>
        <v>3</v>
      </c>
      <c r="AZ119" s="359" t="s">
        <v>321</v>
      </c>
      <c r="BA119" s="360" t="s">
        <v>502</v>
      </c>
      <c r="BB119" s="360" t="s">
        <v>443</v>
      </c>
      <c r="BC119" s="510">
        <v>7.6526880770997813E-2</v>
      </c>
      <c r="BD119" s="510">
        <v>4.862000000000001E-2</v>
      </c>
      <c r="BE119" s="438">
        <v>5</v>
      </c>
      <c r="BF119" s="511">
        <v>0.71021020811475355</v>
      </c>
      <c r="BG119" s="512">
        <v>0.45121949268871381</v>
      </c>
      <c r="BH119" s="512">
        <v>9.2805325522154209</v>
      </c>
      <c r="BI119" s="513">
        <v>0</v>
      </c>
      <c r="BJ119" s="514">
        <v>375</v>
      </c>
      <c r="BK119" s="515">
        <v>0.22366666666666665</v>
      </c>
      <c r="BL119" s="512">
        <v>0.21543843697100629</v>
      </c>
      <c r="BM119" s="516">
        <v>6.4108143749999999E-2</v>
      </c>
      <c r="BN119" s="517">
        <v>375</v>
      </c>
      <c r="BO119" s="518">
        <v>397.50000000000011</v>
      </c>
      <c r="BP119" s="518">
        <v>421.34999999999991</v>
      </c>
      <c r="BQ119" s="518">
        <v>446.63099999999997</v>
      </c>
      <c r="BR119" s="518">
        <v>473.42885999999999</v>
      </c>
      <c r="BS119" s="518">
        <v>501.83459160000012</v>
      </c>
      <c r="BT119" s="518">
        <v>531.9446670960001</v>
      </c>
      <c r="BU119" s="518">
        <v>563.86134712175999</v>
      </c>
      <c r="BV119" s="518">
        <v>597.69302794906582</v>
      </c>
      <c r="BW119" s="518">
        <v>633.55460962600955</v>
      </c>
      <c r="BX119" s="518">
        <v>671.56788620357008</v>
      </c>
      <c r="BY119" s="518">
        <v>711.86195937578441</v>
      </c>
      <c r="BZ119" s="518">
        <v>754.57367693833146</v>
      </c>
      <c r="CA119" s="518">
        <v>799.84809755463141</v>
      </c>
      <c r="CB119" s="518">
        <v>847.83898340790915</v>
      </c>
      <c r="CC119" s="518">
        <v>898.70932241238381</v>
      </c>
      <c r="CD119" s="518">
        <v>952.63188175712685</v>
      </c>
      <c r="CE119" s="518">
        <v>1009.7897946625544</v>
      </c>
      <c r="CF119" s="518">
        <v>1070.3771823423076</v>
      </c>
      <c r="CG119" s="519">
        <v>1134.5998132828461</v>
      </c>
      <c r="CH119" s="520">
        <v>7.7949999999999999</v>
      </c>
      <c r="CI119" s="521">
        <v>7.9508999999999999</v>
      </c>
      <c r="CJ119" s="521">
        <v>8.1099180000000004</v>
      </c>
      <c r="CK119" s="521">
        <v>8.2721163600000001</v>
      </c>
      <c r="CL119" s="521">
        <v>2.5</v>
      </c>
      <c r="CM119" s="521">
        <v>2.5499999999999998</v>
      </c>
      <c r="CN119" s="521">
        <v>2.601</v>
      </c>
      <c r="CO119" s="521">
        <v>2.6530200000000002</v>
      </c>
      <c r="CP119" s="521">
        <v>2.7060804000000003</v>
      </c>
      <c r="CQ119" s="521">
        <v>2.7602020080000003</v>
      </c>
      <c r="CR119" s="521">
        <v>2.8154060481600003</v>
      </c>
      <c r="CS119" s="521">
        <v>2.8717141691232002</v>
      </c>
      <c r="CT119" s="521">
        <v>2.5</v>
      </c>
      <c r="CU119" s="521">
        <v>2.5499999999999998</v>
      </c>
      <c r="CV119" s="521">
        <v>2.601</v>
      </c>
      <c r="CW119" s="521">
        <v>2.6530200000000002</v>
      </c>
      <c r="CX119" s="521">
        <v>2.7060804000000003</v>
      </c>
      <c r="CY119" s="521">
        <v>2.7602020080000003</v>
      </c>
      <c r="CZ119" s="521">
        <v>2.8154060481600003</v>
      </c>
      <c r="DA119" s="522">
        <v>2.8717141691232002</v>
      </c>
      <c r="DB119" s="523">
        <v>0</v>
      </c>
      <c r="DC119" s="524">
        <v>0</v>
      </c>
      <c r="DD119" s="524">
        <v>0</v>
      </c>
      <c r="DE119" s="524">
        <v>0</v>
      </c>
      <c r="DF119" s="524">
        <v>-5.0328029801074259E-2</v>
      </c>
      <c r="DG119" s="524">
        <v>2.12791663892411E-2</v>
      </c>
      <c r="DH119" s="524">
        <v>2.3446220648081828E-2</v>
      </c>
      <c r="DI119" s="524">
        <v>2.5832719173709912E-2</v>
      </c>
      <c r="DJ119" s="524">
        <v>2.8460816550680279E-2</v>
      </c>
      <c r="DK119" s="524">
        <v>1.0785221559306915</v>
      </c>
      <c r="DL119" s="524">
        <v>4.7148822642432142E-3</v>
      </c>
      <c r="DM119" s="524">
        <v>4.7088173372591968E-3</v>
      </c>
      <c r="DN119" s="524">
        <v>-6.3855012662491994E-2</v>
      </c>
      <c r="DO119" s="524">
        <v>5.8686325914769077E-3</v>
      </c>
      <c r="DP119" s="524">
        <v>5.9493404100594283E-3</v>
      </c>
      <c r="DQ119" s="524">
        <v>6.0255622661926633E-3</v>
      </c>
      <c r="DR119" s="524">
        <v>6.0961520454408391E-3</v>
      </c>
      <c r="DS119" s="524">
        <v>0.15019163731256679</v>
      </c>
      <c r="DT119" s="524">
        <v>6.9544518922891041E-3</v>
      </c>
      <c r="DU119" s="525">
        <v>7.0922716623571525E-3</v>
      </c>
      <c r="DV119" s="526">
        <v>3.4</v>
      </c>
      <c r="DW119" s="507">
        <v>1</v>
      </c>
      <c r="DX119" s="509">
        <v>7.7949999999999999</v>
      </c>
      <c r="DY119" s="507">
        <v>2</v>
      </c>
      <c r="DZ119" s="507">
        <v>10</v>
      </c>
      <c r="EA119" s="507">
        <v>0</v>
      </c>
      <c r="EB119" s="507">
        <v>0</v>
      </c>
      <c r="EC119" s="507">
        <v>111.62500000000001</v>
      </c>
      <c r="ED119" s="507">
        <v>102.18750000000001</v>
      </c>
      <c r="EE119" s="507">
        <v>0</v>
      </c>
      <c r="EF119" s="507">
        <v>25.062499999999996</v>
      </c>
      <c r="EG119" s="507">
        <v>29.3125</v>
      </c>
      <c r="EH119" s="507">
        <v>12.8125</v>
      </c>
      <c r="EI119" s="507">
        <v>16.6875</v>
      </c>
      <c r="EJ119" s="507">
        <v>56.4375</v>
      </c>
      <c r="EK119" s="507">
        <v>10.4375</v>
      </c>
      <c r="EL119" s="507">
        <v>10.4375</v>
      </c>
      <c r="EM119" s="508">
        <v>375</v>
      </c>
    </row>
    <row r="120" spans="2:143" x14ac:dyDescent="0.25">
      <c r="B120" s="506" t="str">
        <f>[1]RONET_Input!J91</f>
        <v>214TT00066</v>
      </c>
      <c r="C120" s="359">
        <f>[1]RONET_Input!B91</f>
        <v>89</v>
      </c>
      <c r="D120" s="397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442">
        <f>[1]RONET_Input!K91</f>
        <v>0.55459484454899999</v>
      </c>
      <c r="Q120" s="398">
        <f>[1]RONET_Input!Y91</f>
        <v>1</v>
      </c>
      <c r="R120" s="398">
        <f>[1]RONET_Input!X91</f>
        <v>3.4</v>
      </c>
      <c r="S120" s="398"/>
      <c r="T120" s="398"/>
      <c r="U120" s="398">
        <f>[1]RONET_Input!AA91</f>
        <v>8</v>
      </c>
      <c r="V120" s="398">
        <f>[1]RONET_Input!AC91</f>
        <v>1</v>
      </c>
      <c r="W120" s="398">
        <f>[1]RONET_Input!AD91</f>
        <v>1</v>
      </c>
      <c r="X120" s="398">
        <f>[1]RONET_Input!AE91</f>
        <v>4</v>
      </c>
      <c r="Y120" s="398">
        <f>[1]RONET_Input!AB91</f>
        <v>1</v>
      </c>
      <c r="Z120" s="438">
        <f>[1]RONET_Input!Z91</f>
        <v>1</v>
      </c>
      <c r="AA120" s="442"/>
      <c r="AB120" s="398"/>
      <c r="AC120" s="438"/>
      <c r="AD120" s="442">
        <f>[1]RONET_Input!AH91</f>
        <v>4</v>
      </c>
      <c r="AE120" s="398">
        <f>[1]RONET_Input!D91</f>
        <v>8.64</v>
      </c>
      <c r="AF120" s="398"/>
      <c r="AG120" s="398"/>
      <c r="AH120" s="398"/>
      <c r="AI120" s="438"/>
      <c r="AJ120" s="442">
        <v>1</v>
      </c>
      <c r="AK120" s="442">
        <f>[1]RONET_Input!AF91</f>
        <v>4</v>
      </c>
      <c r="AL120" s="507"/>
      <c r="AM120" s="507"/>
      <c r="AN120" s="507"/>
      <c r="AO120" s="507"/>
      <c r="AP120" s="507"/>
      <c r="AQ120" s="507"/>
      <c r="AR120" s="507"/>
      <c r="AS120" s="507"/>
      <c r="AT120" s="507"/>
      <c r="AU120" s="507"/>
      <c r="AV120" s="507"/>
      <c r="AW120" s="507"/>
      <c r="AX120" s="508"/>
      <c r="AY120" s="509">
        <f>[1]RONET_Input!AG91</f>
        <v>3</v>
      </c>
      <c r="AZ120" s="359" t="s">
        <v>321</v>
      </c>
      <c r="BA120" s="360" t="s">
        <v>502</v>
      </c>
      <c r="BB120" s="360" t="s">
        <v>443</v>
      </c>
      <c r="BC120" s="510">
        <v>2.696440134197238E-2</v>
      </c>
      <c r="BD120" s="510">
        <v>4.8620000000000003E-2</v>
      </c>
      <c r="BE120" s="438">
        <v>5</v>
      </c>
      <c r="BF120" s="511">
        <v>0.25735406919796</v>
      </c>
      <c r="BG120" s="512">
        <v>0.46403977917833322</v>
      </c>
      <c r="BH120" s="512">
        <v>9.5442159436103093</v>
      </c>
      <c r="BI120" s="513">
        <v>0</v>
      </c>
      <c r="BJ120" s="514">
        <v>375</v>
      </c>
      <c r="BK120" s="515">
        <v>0.22366666666666665</v>
      </c>
      <c r="BL120" s="512">
        <v>7.5910169347644399E-2</v>
      </c>
      <c r="BM120" s="516">
        <v>6.4108143749999999E-2</v>
      </c>
      <c r="BN120" s="517">
        <v>375</v>
      </c>
      <c r="BO120" s="518">
        <v>397.50000000000011</v>
      </c>
      <c r="BP120" s="518">
        <v>421.34999999999991</v>
      </c>
      <c r="BQ120" s="518">
        <v>446.63099999999997</v>
      </c>
      <c r="BR120" s="518">
        <v>473.42885999999999</v>
      </c>
      <c r="BS120" s="518">
        <v>501.83459160000012</v>
      </c>
      <c r="BT120" s="518">
        <v>531.9446670960001</v>
      </c>
      <c r="BU120" s="518">
        <v>563.86134712175999</v>
      </c>
      <c r="BV120" s="518">
        <v>597.69302794906582</v>
      </c>
      <c r="BW120" s="518">
        <v>633.55460962600955</v>
      </c>
      <c r="BX120" s="518">
        <v>671.56788620357008</v>
      </c>
      <c r="BY120" s="518">
        <v>711.86195937578441</v>
      </c>
      <c r="BZ120" s="518">
        <v>754.57367693833146</v>
      </c>
      <c r="CA120" s="518">
        <v>799.84809755463141</v>
      </c>
      <c r="CB120" s="518">
        <v>847.83898340790915</v>
      </c>
      <c r="CC120" s="518">
        <v>898.70932241238381</v>
      </c>
      <c r="CD120" s="518">
        <v>952.63188175712685</v>
      </c>
      <c r="CE120" s="518">
        <v>1009.7897946625544</v>
      </c>
      <c r="CF120" s="518">
        <v>1070.3771823423076</v>
      </c>
      <c r="CG120" s="519">
        <v>1134.5998132828461</v>
      </c>
      <c r="CH120" s="520">
        <v>8.64</v>
      </c>
      <c r="CI120" s="521">
        <v>8.8128000000000011</v>
      </c>
      <c r="CJ120" s="521">
        <v>8.9890560000000015</v>
      </c>
      <c r="CK120" s="521">
        <v>9.168837120000001</v>
      </c>
      <c r="CL120" s="521">
        <v>2.5</v>
      </c>
      <c r="CM120" s="521">
        <v>2.5499999999999998</v>
      </c>
      <c r="CN120" s="521">
        <v>2.601</v>
      </c>
      <c r="CO120" s="521">
        <v>2.6530200000000002</v>
      </c>
      <c r="CP120" s="521">
        <v>2.7060804000000003</v>
      </c>
      <c r="CQ120" s="521">
        <v>2.7602020080000003</v>
      </c>
      <c r="CR120" s="521">
        <v>2.8154060481600003</v>
      </c>
      <c r="CS120" s="521">
        <v>2.8717141691232002</v>
      </c>
      <c r="CT120" s="521">
        <v>2.5</v>
      </c>
      <c r="CU120" s="521">
        <v>2.5499999999999998</v>
      </c>
      <c r="CV120" s="521">
        <v>2.601</v>
      </c>
      <c r="CW120" s="521">
        <v>2.6530200000000002</v>
      </c>
      <c r="CX120" s="521">
        <v>2.7060804000000003</v>
      </c>
      <c r="CY120" s="521">
        <v>2.7602020080000003</v>
      </c>
      <c r="CZ120" s="521">
        <v>2.8154060481600003</v>
      </c>
      <c r="DA120" s="522">
        <v>2.8717141691232002</v>
      </c>
      <c r="DB120" s="523">
        <v>0</v>
      </c>
      <c r="DC120" s="524">
        <v>0</v>
      </c>
      <c r="DD120" s="524">
        <v>0</v>
      </c>
      <c r="DE120" s="524">
        <v>0</v>
      </c>
      <c r="DF120" s="524">
        <v>-1.6071264606096244E-2</v>
      </c>
      <c r="DG120" s="524">
        <v>9.3273960449533899E-3</v>
      </c>
      <c r="DH120" s="524">
        <v>1.0275597500615928E-2</v>
      </c>
      <c r="DI120" s="524">
        <v>1.1319740733687127E-2</v>
      </c>
      <c r="DJ120" s="524">
        <v>1.2469506419920895E-2</v>
      </c>
      <c r="DK120" s="524">
        <v>0.38001946473879894</v>
      </c>
      <c r="DL120" s="524">
        <v>1.6612983094612607E-3</v>
      </c>
      <c r="DM120" s="524">
        <v>1.6591613201620697E-3</v>
      </c>
      <c r="DN120" s="524">
        <v>-2.2499442964108066E-2</v>
      </c>
      <c r="DO120" s="524">
        <v>2.0678245726321737E-3</v>
      </c>
      <c r="DP120" s="524">
        <v>2.0962621358749101E-3</v>
      </c>
      <c r="DQ120" s="524">
        <v>2.1231190611683548E-3</v>
      </c>
      <c r="DR120" s="524">
        <v>2.1479915127711607E-3</v>
      </c>
      <c r="DS120" s="524">
        <v>5.2920327418320826E-2</v>
      </c>
      <c r="DT120" s="524">
        <v>2.4504152011405322E-3</v>
      </c>
      <c r="DU120" s="525">
        <v>2.4989762760926765E-3</v>
      </c>
      <c r="DV120" s="526">
        <v>3.4</v>
      </c>
      <c r="DW120" s="507">
        <v>1</v>
      </c>
      <c r="DX120" s="509">
        <v>8.64</v>
      </c>
      <c r="DY120" s="507">
        <v>2</v>
      </c>
      <c r="DZ120" s="507">
        <v>15</v>
      </c>
      <c r="EA120" s="507">
        <v>0</v>
      </c>
      <c r="EB120" s="507">
        <v>0</v>
      </c>
      <c r="EC120" s="507">
        <v>111.62500000000001</v>
      </c>
      <c r="ED120" s="507">
        <v>102.18750000000001</v>
      </c>
      <c r="EE120" s="507">
        <v>0</v>
      </c>
      <c r="EF120" s="507">
        <v>25.062499999999996</v>
      </c>
      <c r="EG120" s="507">
        <v>29.3125</v>
      </c>
      <c r="EH120" s="507">
        <v>12.8125</v>
      </c>
      <c r="EI120" s="507">
        <v>16.6875</v>
      </c>
      <c r="EJ120" s="507">
        <v>56.4375</v>
      </c>
      <c r="EK120" s="507">
        <v>10.4375</v>
      </c>
      <c r="EL120" s="507">
        <v>10.4375</v>
      </c>
      <c r="EM120" s="508">
        <v>375</v>
      </c>
    </row>
    <row r="121" spans="2:143" x14ac:dyDescent="0.25">
      <c r="B121" s="506" t="str">
        <f>[1]RONET_Input!J92</f>
        <v>214TT00066</v>
      </c>
      <c r="C121" s="359">
        <f>[1]RONET_Input!B92</f>
        <v>90</v>
      </c>
      <c r="D121" s="397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442">
        <f>[1]RONET_Input!K92</f>
        <v>0.76561762370900011</v>
      </c>
      <c r="Q121" s="398">
        <f>[1]RONET_Input!Y92</f>
        <v>1</v>
      </c>
      <c r="R121" s="398">
        <f>[1]RONET_Input!X92</f>
        <v>3.4</v>
      </c>
      <c r="S121" s="398"/>
      <c r="T121" s="398"/>
      <c r="U121" s="398">
        <f>[1]RONET_Input!AA92</f>
        <v>8</v>
      </c>
      <c r="V121" s="398">
        <f>[1]RONET_Input!AC92</f>
        <v>1</v>
      </c>
      <c r="W121" s="398">
        <f>[1]RONET_Input!AD92</f>
        <v>1</v>
      </c>
      <c r="X121" s="398">
        <f>[1]RONET_Input!AE92</f>
        <v>4</v>
      </c>
      <c r="Y121" s="398">
        <f>[1]RONET_Input!AB92</f>
        <v>1</v>
      </c>
      <c r="Z121" s="438">
        <f>[1]RONET_Input!Z92</f>
        <v>1</v>
      </c>
      <c r="AA121" s="442"/>
      <c r="AB121" s="398"/>
      <c r="AC121" s="438"/>
      <c r="AD121" s="442">
        <f>[1]RONET_Input!AH92</f>
        <v>4</v>
      </c>
      <c r="AE121" s="398">
        <f>[1]RONET_Input!D92</f>
        <v>8.2200000000000006</v>
      </c>
      <c r="AF121" s="398"/>
      <c r="AG121" s="398"/>
      <c r="AH121" s="398"/>
      <c r="AI121" s="438"/>
      <c r="AJ121" s="442">
        <v>1</v>
      </c>
      <c r="AK121" s="442">
        <f>[1]RONET_Input!AF92</f>
        <v>4</v>
      </c>
      <c r="AL121" s="507"/>
      <c r="AM121" s="507"/>
      <c r="AN121" s="507"/>
      <c r="AO121" s="507"/>
      <c r="AP121" s="507"/>
      <c r="AQ121" s="507"/>
      <c r="AR121" s="507"/>
      <c r="AS121" s="507"/>
      <c r="AT121" s="507"/>
      <c r="AU121" s="507"/>
      <c r="AV121" s="507"/>
      <c r="AW121" s="507"/>
      <c r="AX121" s="508"/>
      <c r="AY121" s="509">
        <f>[1]RONET_Input!AG92</f>
        <v>3</v>
      </c>
      <c r="AZ121" s="359" t="s">
        <v>321</v>
      </c>
      <c r="BA121" s="360" t="s">
        <v>502</v>
      </c>
      <c r="BB121" s="360" t="s">
        <v>443</v>
      </c>
      <c r="BC121" s="510">
        <v>3.7224328864731579E-2</v>
      </c>
      <c r="BD121" s="510">
        <v>4.861999999999999E-2</v>
      </c>
      <c r="BE121" s="438">
        <v>5</v>
      </c>
      <c r="BF121" s="511">
        <v>0.35028325385333969</v>
      </c>
      <c r="BG121" s="512">
        <v>0.45751722923567023</v>
      </c>
      <c r="BH121" s="512">
        <v>9.4100623043124294</v>
      </c>
      <c r="BI121" s="513">
        <v>0</v>
      </c>
      <c r="BJ121" s="514">
        <v>375</v>
      </c>
      <c r="BK121" s="515">
        <v>0.22366666666666665</v>
      </c>
      <c r="BL121" s="512">
        <v>0.10479391224516939</v>
      </c>
      <c r="BM121" s="516">
        <v>6.4108143749999999E-2</v>
      </c>
      <c r="BN121" s="517">
        <v>375</v>
      </c>
      <c r="BO121" s="518">
        <v>397.50000000000011</v>
      </c>
      <c r="BP121" s="518">
        <v>421.34999999999991</v>
      </c>
      <c r="BQ121" s="518">
        <v>446.63099999999997</v>
      </c>
      <c r="BR121" s="518">
        <v>473.42885999999999</v>
      </c>
      <c r="BS121" s="518">
        <v>501.83459160000012</v>
      </c>
      <c r="BT121" s="518">
        <v>531.9446670960001</v>
      </c>
      <c r="BU121" s="518">
        <v>563.86134712175999</v>
      </c>
      <c r="BV121" s="518">
        <v>597.69302794906582</v>
      </c>
      <c r="BW121" s="518">
        <v>633.55460962600955</v>
      </c>
      <c r="BX121" s="518">
        <v>671.56788620357008</v>
      </c>
      <c r="BY121" s="518">
        <v>711.86195937578441</v>
      </c>
      <c r="BZ121" s="518">
        <v>754.57367693833146</v>
      </c>
      <c r="CA121" s="518">
        <v>799.84809755463141</v>
      </c>
      <c r="CB121" s="518">
        <v>847.83898340790915</v>
      </c>
      <c r="CC121" s="518">
        <v>898.70932241238381</v>
      </c>
      <c r="CD121" s="518">
        <v>952.63188175712685</v>
      </c>
      <c r="CE121" s="518">
        <v>1009.7897946625544</v>
      </c>
      <c r="CF121" s="518">
        <v>1070.3771823423076</v>
      </c>
      <c r="CG121" s="519">
        <v>1134.5998132828461</v>
      </c>
      <c r="CH121" s="520">
        <v>8.2200000000000006</v>
      </c>
      <c r="CI121" s="521">
        <v>8.3844000000000012</v>
      </c>
      <c r="CJ121" s="521">
        <v>8.5520880000000012</v>
      </c>
      <c r="CK121" s="521">
        <v>8.7231297600000008</v>
      </c>
      <c r="CL121" s="521">
        <v>2.5</v>
      </c>
      <c r="CM121" s="521">
        <v>2.5499999999999998</v>
      </c>
      <c r="CN121" s="521">
        <v>2.601</v>
      </c>
      <c r="CO121" s="521">
        <v>2.6530200000000002</v>
      </c>
      <c r="CP121" s="521">
        <v>2.7060804000000003</v>
      </c>
      <c r="CQ121" s="521">
        <v>2.7602020080000003</v>
      </c>
      <c r="CR121" s="521">
        <v>2.8154060481600003</v>
      </c>
      <c r="CS121" s="521">
        <v>2.8717141691232002</v>
      </c>
      <c r="CT121" s="521">
        <v>2.5</v>
      </c>
      <c r="CU121" s="521">
        <v>2.5499999999999998</v>
      </c>
      <c r="CV121" s="521">
        <v>2.601</v>
      </c>
      <c r="CW121" s="521">
        <v>2.6530200000000002</v>
      </c>
      <c r="CX121" s="521">
        <v>2.7060804000000003</v>
      </c>
      <c r="CY121" s="521">
        <v>2.7602020080000003</v>
      </c>
      <c r="CZ121" s="521">
        <v>2.8154060481600003</v>
      </c>
      <c r="DA121" s="522">
        <v>2.8717141691232002</v>
      </c>
      <c r="DB121" s="523">
        <v>0</v>
      </c>
      <c r="DC121" s="524">
        <v>0</v>
      </c>
      <c r="DD121" s="524">
        <v>0</v>
      </c>
      <c r="DE121" s="524">
        <v>0</v>
      </c>
      <c r="DF121" s="524">
        <v>-2.3353635323509411E-2</v>
      </c>
      <c r="DG121" s="524">
        <v>1.1591398330700928E-2</v>
      </c>
      <c r="DH121" s="524">
        <v>1.277071802262543E-2</v>
      </c>
      <c r="DI121" s="524">
        <v>1.406940961843367E-2</v>
      </c>
      <c r="DJ121" s="524">
        <v>1.5499523113830335E-2</v>
      </c>
      <c r="DK121" s="524">
        <v>0.52461648790314208</v>
      </c>
      <c r="DL121" s="524">
        <v>2.2934206411454189E-3</v>
      </c>
      <c r="DM121" s="524">
        <v>2.2904705295725969E-3</v>
      </c>
      <c r="DN121" s="524">
        <v>-3.1060458326050353E-2</v>
      </c>
      <c r="DO121" s="524">
        <v>2.8546297375576513E-3</v>
      </c>
      <c r="DP121" s="524">
        <v>2.8938877649410111E-3</v>
      </c>
      <c r="DQ121" s="524">
        <v>2.9309637232291241E-3</v>
      </c>
      <c r="DR121" s="524">
        <v>2.9653001175881794E-3</v>
      </c>
      <c r="DS121" s="524">
        <v>7.3056458642102085E-2</v>
      </c>
      <c r="DT121" s="524">
        <v>3.3827957144521581E-3</v>
      </c>
      <c r="DU121" s="525">
        <v>3.4498342294600748E-3</v>
      </c>
      <c r="DV121" s="526">
        <v>3.4</v>
      </c>
      <c r="DW121" s="507">
        <v>1</v>
      </c>
      <c r="DX121" s="509">
        <v>8.2200000000000006</v>
      </c>
      <c r="DY121" s="507">
        <v>2</v>
      </c>
      <c r="DZ121" s="507">
        <v>15</v>
      </c>
      <c r="EA121" s="507">
        <v>0</v>
      </c>
      <c r="EB121" s="507">
        <v>0</v>
      </c>
      <c r="EC121" s="507">
        <v>111.62500000000001</v>
      </c>
      <c r="ED121" s="507">
        <v>102.18750000000001</v>
      </c>
      <c r="EE121" s="507">
        <v>0</v>
      </c>
      <c r="EF121" s="507">
        <v>25.062499999999996</v>
      </c>
      <c r="EG121" s="507">
        <v>29.3125</v>
      </c>
      <c r="EH121" s="507">
        <v>12.8125</v>
      </c>
      <c r="EI121" s="507">
        <v>16.6875</v>
      </c>
      <c r="EJ121" s="507">
        <v>56.4375</v>
      </c>
      <c r="EK121" s="507">
        <v>10.4375</v>
      </c>
      <c r="EL121" s="507">
        <v>10.4375</v>
      </c>
      <c r="EM121" s="508">
        <v>375</v>
      </c>
    </row>
    <row r="122" spans="2:143" x14ac:dyDescent="0.25">
      <c r="B122" s="506" t="str">
        <f>[1]RONET_Input!J93</f>
        <v xml:space="preserve">Input VPROMMS: QL45_2 (47.17 pct); ql45_1 (47.17 pct); 214tt00103 (3.77 pct); 214TT00010 (1.89 pct); </v>
      </c>
      <c r="C122" s="359">
        <f>[1]RONET_Input!B93</f>
        <v>91</v>
      </c>
      <c r="D122" s="397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442">
        <f>[1]RONET_Input!K93</f>
        <v>1.7491306369699999</v>
      </c>
      <c r="Q122" s="398">
        <f>[1]RONET_Input!Y93</f>
        <v>2</v>
      </c>
      <c r="R122" s="398">
        <f>[1]RONET_Input!X93</f>
        <v>3.5</v>
      </c>
      <c r="S122" s="398"/>
      <c r="T122" s="398"/>
      <c r="U122" s="398">
        <f>[1]RONET_Input!AA93</f>
        <v>8</v>
      </c>
      <c r="V122" s="398">
        <f>[1]RONET_Input!AC93</f>
        <v>1</v>
      </c>
      <c r="W122" s="398">
        <f>[1]RONET_Input!AD93</f>
        <v>1</v>
      </c>
      <c r="X122" s="398">
        <f>[1]RONET_Input!AE93</f>
        <v>4</v>
      </c>
      <c r="Y122" s="398">
        <f>[1]RONET_Input!AB93</f>
        <v>1</v>
      </c>
      <c r="Z122" s="438">
        <f>[1]RONET_Input!Z93</f>
        <v>1</v>
      </c>
      <c r="AA122" s="442"/>
      <c r="AB122" s="398"/>
      <c r="AC122" s="438"/>
      <c r="AD122" s="442">
        <f>[1]RONET_Input!AH93</f>
        <v>4</v>
      </c>
      <c r="AE122" s="398">
        <f>[1]RONET_Input!D93</f>
        <v>11.045</v>
      </c>
      <c r="AF122" s="398"/>
      <c r="AG122" s="398"/>
      <c r="AH122" s="398"/>
      <c r="AI122" s="438"/>
      <c r="AJ122" s="442">
        <v>1</v>
      </c>
      <c r="AK122" s="442">
        <f>[1]RONET_Input!AF93</f>
        <v>4</v>
      </c>
      <c r="AL122" s="507"/>
      <c r="AM122" s="507"/>
      <c r="AN122" s="507"/>
      <c r="AO122" s="507"/>
      <c r="AP122" s="507"/>
      <c r="AQ122" s="507"/>
      <c r="AR122" s="507"/>
      <c r="AS122" s="507"/>
      <c r="AT122" s="507"/>
      <c r="AU122" s="507"/>
      <c r="AV122" s="507"/>
      <c r="AW122" s="507"/>
      <c r="AX122" s="508"/>
      <c r="AY122" s="509">
        <f>[1]RONET_Input!AG93</f>
        <v>3</v>
      </c>
      <c r="AZ122" s="359" t="s">
        <v>321</v>
      </c>
      <c r="BA122" s="360" t="s">
        <v>502</v>
      </c>
      <c r="BB122" s="360" t="s">
        <v>443</v>
      </c>
      <c r="BC122" s="510">
        <v>8.7543988380348506E-2</v>
      </c>
      <c r="BD122" s="510">
        <v>5.0050000000000004E-2</v>
      </c>
      <c r="BE122" s="438">
        <v>5</v>
      </c>
      <c r="BF122" s="511">
        <v>0.85121450010881783</v>
      </c>
      <c r="BG122" s="512">
        <v>0.4866500432371178</v>
      </c>
      <c r="BH122" s="512">
        <v>9.7232775871551986</v>
      </c>
      <c r="BI122" s="513">
        <v>0</v>
      </c>
      <c r="BJ122" s="514">
        <v>375</v>
      </c>
      <c r="BK122" s="515">
        <v>0.22366666666666665</v>
      </c>
      <c r="BL122" s="512">
        <v>0.23941225593526874</v>
      </c>
      <c r="BM122" s="516">
        <v>3.2054071874999999E-2</v>
      </c>
      <c r="BN122" s="517">
        <v>375</v>
      </c>
      <c r="BO122" s="518">
        <v>397.50000000000011</v>
      </c>
      <c r="BP122" s="518">
        <v>421.34999999999991</v>
      </c>
      <c r="BQ122" s="518">
        <v>446.63099999999997</v>
      </c>
      <c r="BR122" s="518">
        <v>473.42885999999999</v>
      </c>
      <c r="BS122" s="518">
        <v>501.83459160000012</v>
      </c>
      <c r="BT122" s="518">
        <v>531.9446670960001</v>
      </c>
      <c r="BU122" s="518">
        <v>563.86134712175999</v>
      </c>
      <c r="BV122" s="518">
        <v>597.69302794906582</v>
      </c>
      <c r="BW122" s="518">
        <v>633.55460962600955</v>
      </c>
      <c r="BX122" s="518">
        <v>671.56788620357008</v>
      </c>
      <c r="BY122" s="518">
        <v>711.86195937578441</v>
      </c>
      <c r="BZ122" s="518">
        <v>754.57367693833146</v>
      </c>
      <c r="CA122" s="518">
        <v>799.84809755463141</v>
      </c>
      <c r="CB122" s="518">
        <v>847.83898340790915</v>
      </c>
      <c r="CC122" s="518">
        <v>898.70932241238381</v>
      </c>
      <c r="CD122" s="518">
        <v>952.63188175712685</v>
      </c>
      <c r="CE122" s="518">
        <v>1009.7897946625544</v>
      </c>
      <c r="CF122" s="518">
        <v>1070.3771823423076</v>
      </c>
      <c r="CG122" s="519">
        <v>1134.5998132828461</v>
      </c>
      <c r="CH122" s="520">
        <v>11.045</v>
      </c>
      <c r="CI122" s="521">
        <v>11.2659</v>
      </c>
      <c r="CJ122" s="521">
        <v>11.491218</v>
      </c>
      <c r="CK122" s="521">
        <v>11.72104236</v>
      </c>
      <c r="CL122" s="521">
        <v>2.5</v>
      </c>
      <c r="CM122" s="521">
        <v>2.5499999999999998</v>
      </c>
      <c r="CN122" s="521">
        <v>2.601</v>
      </c>
      <c r="CO122" s="521">
        <v>2.6530200000000002</v>
      </c>
      <c r="CP122" s="521">
        <v>2.7060804000000003</v>
      </c>
      <c r="CQ122" s="521">
        <v>2.7602020080000003</v>
      </c>
      <c r="CR122" s="521">
        <v>2.8154060481600003</v>
      </c>
      <c r="CS122" s="521">
        <v>2.8717141691232002</v>
      </c>
      <c r="CT122" s="521">
        <v>2.5</v>
      </c>
      <c r="CU122" s="521">
        <v>2.5499999999999998</v>
      </c>
      <c r="CV122" s="521">
        <v>2.601</v>
      </c>
      <c r="CW122" s="521">
        <v>2.6530200000000002</v>
      </c>
      <c r="CX122" s="521">
        <v>2.7060804000000003</v>
      </c>
      <c r="CY122" s="521">
        <v>2.7602020080000003</v>
      </c>
      <c r="CZ122" s="521">
        <v>2.8154060481600003</v>
      </c>
      <c r="DA122" s="522">
        <v>2.8717141691232002</v>
      </c>
      <c r="DB122" s="523">
        <v>0</v>
      </c>
      <c r="DC122" s="524">
        <v>0</v>
      </c>
      <c r="DD122" s="524">
        <v>0</v>
      </c>
      <c r="DE122" s="524">
        <v>0</v>
      </c>
      <c r="DF122" s="524">
        <v>-3.6929333848764456E-2</v>
      </c>
      <c r="DG122" s="524">
        <v>4.7159521036602509E-2</v>
      </c>
      <c r="DH122" s="524">
        <v>5.2036397234491799E-2</v>
      </c>
      <c r="DI122" s="524">
        <v>5.7411639038716183E-2</v>
      </c>
      <c r="DJ122" s="524">
        <v>6.3334726420294085E-2</v>
      </c>
      <c r="DK122" s="524">
        <v>1.193675622017607</v>
      </c>
      <c r="DL122" s="524">
        <v>3.0099387497009578E-4</v>
      </c>
      <c r="DM122" s="524">
        <v>2.1681038686219289E-4</v>
      </c>
      <c r="DN122" s="524">
        <v>-7.8560129431807735E-2</v>
      </c>
      <c r="DO122" s="524">
        <v>1.0985152801774034E-3</v>
      </c>
      <c r="DP122" s="524">
        <v>1.0844758661746889E-3</v>
      </c>
      <c r="DQ122" s="524">
        <v>1.0615974751360668E-3</v>
      </c>
      <c r="DR122" s="524">
        <v>1.0285527424130914E-3</v>
      </c>
      <c r="DS122" s="524">
        <v>0.16104342818153317</v>
      </c>
      <c r="DT122" s="524">
        <v>1.7474951244200176E-3</v>
      </c>
      <c r="DU122" s="525">
        <v>1.7772179398364285E-3</v>
      </c>
      <c r="DV122" s="526">
        <v>3.5</v>
      </c>
      <c r="DW122" s="507">
        <v>1</v>
      </c>
      <c r="DX122" s="509">
        <v>11.045</v>
      </c>
      <c r="DY122" s="507">
        <v>2</v>
      </c>
      <c r="DZ122" s="507">
        <v>15</v>
      </c>
      <c r="EA122" s="507">
        <v>0</v>
      </c>
      <c r="EB122" s="507">
        <v>0</v>
      </c>
      <c r="EC122" s="507">
        <v>111.62500000000001</v>
      </c>
      <c r="ED122" s="507">
        <v>102.18750000000001</v>
      </c>
      <c r="EE122" s="507">
        <v>0</v>
      </c>
      <c r="EF122" s="507">
        <v>25.062499999999996</v>
      </c>
      <c r="EG122" s="507">
        <v>29.3125</v>
      </c>
      <c r="EH122" s="507">
        <v>12.8125</v>
      </c>
      <c r="EI122" s="507">
        <v>16.6875</v>
      </c>
      <c r="EJ122" s="507">
        <v>56.4375</v>
      </c>
      <c r="EK122" s="507">
        <v>10.4375</v>
      </c>
      <c r="EL122" s="507">
        <v>10.4375</v>
      </c>
      <c r="EM122" s="508">
        <v>375</v>
      </c>
    </row>
    <row r="123" spans="2:143" x14ac:dyDescent="0.25">
      <c r="B123" s="506" t="str">
        <f>[1]RONET_Input!J94</f>
        <v xml:space="preserve">Input VPROMMS: ql45_1 (53.13 pct); QL45_2 (43.75 pct); 214TT00066 (3.13 pct); </v>
      </c>
      <c r="C123" s="359">
        <f>[1]RONET_Input!B94</f>
        <v>92</v>
      </c>
      <c r="D123" s="397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442">
        <f>[1]RONET_Input!K94</f>
        <v>1.1623483185600001</v>
      </c>
      <c r="Q123" s="398">
        <f>[1]RONET_Input!Y94</f>
        <v>2</v>
      </c>
      <c r="R123" s="398">
        <f>[1]RONET_Input!X94</f>
        <v>3.5</v>
      </c>
      <c r="S123" s="398"/>
      <c r="T123" s="398"/>
      <c r="U123" s="398">
        <f>[1]RONET_Input!AA94</f>
        <v>8</v>
      </c>
      <c r="V123" s="398">
        <f>[1]RONET_Input!AC94</f>
        <v>1</v>
      </c>
      <c r="W123" s="398">
        <f>[1]RONET_Input!AD94</f>
        <v>1</v>
      </c>
      <c r="X123" s="398">
        <f>[1]RONET_Input!AE94</f>
        <v>4</v>
      </c>
      <c r="Y123" s="398">
        <f>[1]RONET_Input!AB94</f>
        <v>1</v>
      </c>
      <c r="Z123" s="438">
        <f>[1]RONET_Input!Z94</f>
        <v>1</v>
      </c>
      <c r="AA123" s="442"/>
      <c r="AB123" s="398"/>
      <c r="AC123" s="438"/>
      <c r="AD123" s="442">
        <f>[1]RONET_Input!AH94</f>
        <v>4</v>
      </c>
      <c r="AE123" s="398">
        <f>[1]RONET_Input!D94</f>
        <v>11.27</v>
      </c>
      <c r="AF123" s="398"/>
      <c r="AG123" s="398"/>
      <c r="AH123" s="398"/>
      <c r="AI123" s="438"/>
      <c r="AJ123" s="442">
        <v>1</v>
      </c>
      <c r="AK123" s="442">
        <f>[1]RONET_Input!AF94</f>
        <v>4</v>
      </c>
      <c r="AL123" s="507"/>
      <c r="AM123" s="507"/>
      <c r="AN123" s="507"/>
      <c r="AO123" s="507"/>
      <c r="AP123" s="507"/>
      <c r="AQ123" s="507"/>
      <c r="AR123" s="507"/>
      <c r="AS123" s="507"/>
      <c r="AT123" s="507"/>
      <c r="AU123" s="507"/>
      <c r="AV123" s="507"/>
      <c r="AW123" s="507"/>
      <c r="AX123" s="508"/>
      <c r="AY123" s="509">
        <f>[1]RONET_Input!AG94</f>
        <v>3</v>
      </c>
      <c r="AZ123" s="359" t="s">
        <v>321</v>
      </c>
      <c r="BA123" s="360" t="s">
        <v>502</v>
      </c>
      <c r="BB123" s="360" t="s">
        <v>443</v>
      </c>
      <c r="BC123" s="510">
        <v>5.8175533343928013E-2</v>
      </c>
      <c r="BD123" s="510">
        <v>5.0050000000000004E-2</v>
      </c>
      <c r="BE123" s="438">
        <v>1</v>
      </c>
      <c r="BF123" s="511">
        <v>0.61661674955711687</v>
      </c>
      <c r="BG123" s="512">
        <v>0.5304922282857738</v>
      </c>
      <c r="BH123" s="512">
        <v>10.599245320395079</v>
      </c>
      <c r="BI123" s="513">
        <v>0</v>
      </c>
      <c r="BJ123" s="514">
        <v>375</v>
      </c>
      <c r="BK123" s="515">
        <v>0.22366666666666665</v>
      </c>
      <c r="BL123" s="512">
        <v>0.15909642610290001</v>
      </c>
      <c r="BM123" s="516">
        <v>3.2054071874999999E-2</v>
      </c>
      <c r="BN123" s="517">
        <v>375</v>
      </c>
      <c r="BO123" s="518">
        <v>397.50000000000011</v>
      </c>
      <c r="BP123" s="518">
        <v>421.34999999999991</v>
      </c>
      <c r="BQ123" s="518">
        <v>446.63099999999997</v>
      </c>
      <c r="BR123" s="518">
        <v>473.42885999999999</v>
      </c>
      <c r="BS123" s="518">
        <v>501.83459160000012</v>
      </c>
      <c r="BT123" s="518">
        <v>531.9446670960001</v>
      </c>
      <c r="BU123" s="518">
        <v>563.86134712175999</v>
      </c>
      <c r="BV123" s="518">
        <v>597.69302794906582</v>
      </c>
      <c r="BW123" s="518">
        <v>633.55460962600955</v>
      </c>
      <c r="BX123" s="518">
        <v>671.56788620357008</v>
      </c>
      <c r="BY123" s="518">
        <v>711.86195937578441</v>
      </c>
      <c r="BZ123" s="518">
        <v>754.57367693833146</v>
      </c>
      <c r="CA123" s="518">
        <v>799.84809755463141</v>
      </c>
      <c r="CB123" s="518">
        <v>847.83898340790915</v>
      </c>
      <c r="CC123" s="518">
        <v>898.70932241238381</v>
      </c>
      <c r="CD123" s="518">
        <v>952.63188175712685</v>
      </c>
      <c r="CE123" s="518">
        <v>1009.7897946625544</v>
      </c>
      <c r="CF123" s="518">
        <v>1070.3771823423076</v>
      </c>
      <c r="CG123" s="519">
        <v>1134.5998132828461</v>
      </c>
      <c r="CH123" s="520">
        <v>2.5</v>
      </c>
      <c r="CI123" s="521">
        <v>2.5499999999999998</v>
      </c>
      <c r="CJ123" s="521">
        <v>2.601</v>
      </c>
      <c r="CK123" s="521">
        <v>2.6530200000000002</v>
      </c>
      <c r="CL123" s="521">
        <v>2.7060804000000003</v>
      </c>
      <c r="CM123" s="521">
        <v>2.7602020080000003</v>
      </c>
      <c r="CN123" s="521">
        <v>2.8154060481600003</v>
      </c>
      <c r="CO123" s="521">
        <v>2.8717141691232002</v>
      </c>
      <c r="CP123" s="521">
        <v>2.5</v>
      </c>
      <c r="CQ123" s="521">
        <v>2.5499999999999998</v>
      </c>
      <c r="CR123" s="521">
        <v>2.601</v>
      </c>
      <c r="CS123" s="521">
        <v>2.6530200000000002</v>
      </c>
      <c r="CT123" s="521">
        <v>2.7060804000000003</v>
      </c>
      <c r="CU123" s="521">
        <v>2.7602020080000003</v>
      </c>
      <c r="CV123" s="521">
        <v>2.8154060481600003</v>
      </c>
      <c r="CW123" s="521">
        <v>2.8717141691232002</v>
      </c>
      <c r="CX123" s="521">
        <v>2.5</v>
      </c>
      <c r="CY123" s="521">
        <v>2.5499999999999998</v>
      </c>
      <c r="CZ123" s="521">
        <v>2.601</v>
      </c>
      <c r="DA123" s="522">
        <v>2.6530200000000002</v>
      </c>
      <c r="DB123" s="523">
        <v>-3.3090063962915181E-2</v>
      </c>
      <c r="DC123" s="524">
        <v>2.190878481119142E-2</v>
      </c>
      <c r="DD123" s="524">
        <v>2.417965232840924E-2</v>
      </c>
      <c r="DE123" s="524">
        <v>2.6683758807135485E-2</v>
      </c>
      <c r="DF123" s="524">
        <v>2.9444676748723003E-2</v>
      </c>
      <c r="DG123" s="524">
        <v>3.2488235328453588E-2</v>
      </c>
      <c r="DH123" s="524">
        <v>3.5842690802049937E-2</v>
      </c>
      <c r="DI123" s="524">
        <v>3.9538893183743734E-2</v>
      </c>
      <c r="DJ123" s="524">
        <v>-8.8093678260828812E-3</v>
      </c>
      <c r="DK123" s="524">
        <v>0.79349376761741586</v>
      </c>
      <c r="DL123" s="524">
        <v>4.9095457859063552E-4</v>
      </c>
      <c r="DM123" s="524">
        <v>4.6764631954754332E-4</v>
      </c>
      <c r="DN123" s="524">
        <v>4.3759288569261701E-4</v>
      </c>
      <c r="DO123" s="524">
        <v>3.9985095577765861E-4</v>
      </c>
      <c r="DP123" s="524">
        <v>3.5336663750520914E-4</v>
      </c>
      <c r="DQ123" s="524">
        <v>2.9696344996066326E-4</v>
      </c>
      <c r="DR123" s="524">
        <v>-5.1881724088427617E-2</v>
      </c>
      <c r="DS123" s="524">
        <v>0.10743485437735747</v>
      </c>
      <c r="DT123" s="524">
        <v>1.6249682532092913E-3</v>
      </c>
      <c r="DU123" s="525">
        <v>1.6967337663557625E-3</v>
      </c>
      <c r="DV123" s="526">
        <v>3.5</v>
      </c>
      <c r="DW123" s="507">
        <v>1</v>
      </c>
      <c r="DX123" s="509">
        <v>11.27</v>
      </c>
      <c r="DY123" s="507">
        <v>2</v>
      </c>
      <c r="DZ123" s="507">
        <v>15</v>
      </c>
      <c r="EA123" s="507">
        <v>0</v>
      </c>
      <c r="EB123" s="507">
        <v>0</v>
      </c>
      <c r="EC123" s="507">
        <v>111.62500000000001</v>
      </c>
      <c r="ED123" s="507">
        <v>102.18750000000001</v>
      </c>
      <c r="EE123" s="507">
        <v>0</v>
      </c>
      <c r="EF123" s="507">
        <v>25.062499999999996</v>
      </c>
      <c r="EG123" s="507">
        <v>29.3125</v>
      </c>
      <c r="EH123" s="507">
        <v>12.8125</v>
      </c>
      <c r="EI123" s="507">
        <v>16.6875</v>
      </c>
      <c r="EJ123" s="507">
        <v>56.4375</v>
      </c>
      <c r="EK123" s="507">
        <v>10.4375</v>
      </c>
      <c r="EL123" s="507">
        <v>10.4375</v>
      </c>
      <c r="EM123" s="508">
        <v>375</v>
      </c>
    </row>
    <row r="124" spans="2:143" x14ac:dyDescent="0.25">
      <c r="B124" s="506" t="str">
        <f>[1]RONET_Input!J95</f>
        <v>214TT00060</v>
      </c>
      <c r="C124" s="359">
        <f>[1]RONET_Input!B95</f>
        <v>93</v>
      </c>
      <c r="D124" s="397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442">
        <f>[1]RONET_Input!K95</f>
        <v>1.31027731492</v>
      </c>
      <c r="Q124" s="398">
        <f>[1]RONET_Input!Y95</f>
        <v>1</v>
      </c>
      <c r="R124" s="398">
        <f>[1]RONET_Input!X95</f>
        <v>3.4</v>
      </c>
      <c r="S124" s="398"/>
      <c r="T124" s="398"/>
      <c r="U124" s="398">
        <f>[1]RONET_Input!AA95</f>
        <v>8</v>
      </c>
      <c r="V124" s="398">
        <f>[1]RONET_Input!AC95</f>
        <v>1</v>
      </c>
      <c r="W124" s="398">
        <f>[1]RONET_Input!AD95</f>
        <v>1</v>
      </c>
      <c r="X124" s="398">
        <f>[1]RONET_Input!AE95</f>
        <v>4</v>
      </c>
      <c r="Y124" s="398">
        <f>[1]RONET_Input!AB95</f>
        <v>1</v>
      </c>
      <c r="Z124" s="438">
        <f>[1]RONET_Input!Z95</f>
        <v>1</v>
      </c>
      <c r="AA124" s="442"/>
      <c r="AB124" s="398"/>
      <c r="AC124" s="438"/>
      <c r="AD124" s="442">
        <f>[1]RONET_Input!AH95</f>
        <v>3</v>
      </c>
      <c r="AE124" s="398">
        <f>[1]RONET_Input!D95</f>
        <v>7.07</v>
      </c>
      <c r="AF124" s="398"/>
      <c r="AG124" s="398"/>
      <c r="AH124" s="398"/>
      <c r="AI124" s="438"/>
      <c r="AJ124" s="442">
        <v>1</v>
      </c>
      <c r="AK124" s="442">
        <f>[1]RONET_Input!AF95</f>
        <v>4</v>
      </c>
      <c r="AL124" s="507"/>
      <c r="AM124" s="507"/>
      <c r="AN124" s="507"/>
      <c r="AO124" s="507"/>
      <c r="AP124" s="507"/>
      <c r="AQ124" s="507"/>
      <c r="AR124" s="507"/>
      <c r="AS124" s="507"/>
      <c r="AT124" s="507"/>
      <c r="AU124" s="507"/>
      <c r="AV124" s="507"/>
      <c r="AW124" s="507"/>
      <c r="AX124" s="508"/>
      <c r="AY124" s="509">
        <f>[1]RONET_Input!AG95</f>
        <v>3</v>
      </c>
      <c r="AZ124" s="359" t="s">
        <v>321</v>
      </c>
      <c r="BA124" s="360" t="s">
        <v>502</v>
      </c>
      <c r="BB124" s="360" t="s">
        <v>443</v>
      </c>
      <c r="BC124" s="510">
        <v>6.3705683051410403E-2</v>
      </c>
      <c r="BD124" s="510">
        <v>4.8620000000000003E-2</v>
      </c>
      <c r="BE124" s="438">
        <v>5</v>
      </c>
      <c r="BF124" s="511">
        <v>0.57807259386681353</v>
      </c>
      <c r="BG124" s="512">
        <v>0.44118339475495555</v>
      </c>
      <c r="BH124" s="512">
        <v>9.0741134256469671</v>
      </c>
      <c r="BI124" s="513">
        <v>0</v>
      </c>
      <c r="BJ124" s="514">
        <v>375</v>
      </c>
      <c r="BK124" s="515">
        <v>0.22366666666666665</v>
      </c>
      <c r="BL124" s="512">
        <v>0.179344207479675</v>
      </c>
      <c r="BM124" s="516">
        <v>6.4108143749999999E-2</v>
      </c>
      <c r="BN124" s="517">
        <v>375</v>
      </c>
      <c r="BO124" s="518">
        <v>397.50000000000011</v>
      </c>
      <c r="BP124" s="518">
        <v>421.34999999999991</v>
      </c>
      <c r="BQ124" s="518">
        <v>446.63099999999997</v>
      </c>
      <c r="BR124" s="518">
        <v>473.42885999999999</v>
      </c>
      <c r="BS124" s="518">
        <v>501.83459160000012</v>
      </c>
      <c r="BT124" s="518">
        <v>531.9446670960001</v>
      </c>
      <c r="BU124" s="518">
        <v>563.86134712175999</v>
      </c>
      <c r="BV124" s="518">
        <v>597.69302794906582</v>
      </c>
      <c r="BW124" s="518">
        <v>633.55460962600955</v>
      </c>
      <c r="BX124" s="518">
        <v>671.56788620357008</v>
      </c>
      <c r="BY124" s="518">
        <v>711.86195937578441</v>
      </c>
      <c r="BZ124" s="518">
        <v>754.57367693833146</v>
      </c>
      <c r="CA124" s="518">
        <v>799.84809755463141</v>
      </c>
      <c r="CB124" s="518">
        <v>847.83898340790915</v>
      </c>
      <c r="CC124" s="518">
        <v>898.70932241238381</v>
      </c>
      <c r="CD124" s="518">
        <v>952.63188175712685</v>
      </c>
      <c r="CE124" s="518">
        <v>1009.7897946625544</v>
      </c>
      <c r="CF124" s="518">
        <v>1070.3771823423076</v>
      </c>
      <c r="CG124" s="519">
        <v>1134.5998132828461</v>
      </c>
      <c r="CH124" s="520">
        <v>7.07</v>
      </c>
      <c r="CI124" s="521">
        <v>7.2114000000000003</v>
      </c>
      <c r="CJ124" s="521">
        <v>7.3556280000000003</v>
      </c>
      <c r="CK124" s="521">
        <v>7.5027405600000003</v>
      </c>
      <c r="CL124" s="521">
        <v>2.5</v>
      </c>
      <c r="CM124" s="521">
        <v>2.5499999999999998</v>
      </c>
      <c r="CN124" s="521">
        <v>2.601</v>
      </c>
      <c r="CO124" s="521">
        <v>2.6530200000000002</v>
      </c>
      <c r="CP124" s="521">
        <v>2.7060804000000003</v>
      </c>
      <c r="CQ124" s="521">
        <v>2.7602020080000003</v>
      </c>
      <c r="CR124" s="521">
        <v>2.8154060481600003</v>
      </c>
      <c r="CS124" s="521">
        <v>2.8717141691232002</v>
      </c>
      <c r="CT124" s="521">
        <v>2.5</v>
      </c>
      <c r="CU124" s="521">
        <v>2.5499999999999998</v>
      </c>
      <c r="CV124" s="521">
        <v>2.601</v>
      </c>
      <c r="CW124" s="521">
        <v>2.6530200000000002</v>
      </c>
      <c r="CX124" s="521">
        <v>2.7060804000000003</v>
      </c>
      <c r="CY124" s="521">
        <v>2.7602020080000003</v>
      </c>
      <c r="CZ124" s="521">
        <v>2.8154060481600003</v>
      </c>
      <c r="DA124" s="522">
        <v>2.8717141691232002</v>
      </c>
      <c r="DB124" s="523">
        <v>0</v>
      </c>
      <c r="DC124" s="524">
        <v>0</v>
      </c>
      <c r="DD124" s="524">
        <v>0</v>
      </c>
      <c r="DE124" s="524">
        <v>0</v>
      </c>
      <c r="DF124" s="524">
        <v>-4.4969618348937451E-2</v>
      </c>
      <c r="DG124" s="524">
        <v>1.4330290047687516E-2</v>
      </c>
      <c r="DH124" s="524">
        <v>1.5792666161877439E-2</v>
      </c>
      <c r="DI124" s="524">
        <v>1.7403276612111676E-2</v>
      </c>
      <c r="DJ124" s="524">
        <v>1.9177087275200899E-2</v>
      </c>
      <c r="DK124" s="524">
        <v>0.89782818713399626</v>
      </c>
      <c r="DL124" s="524">
        <v>3.9249580294461184E-3</v>
      </c>
      <c r="DM124" s="524">
        <v>3.9199092111448786E-3</v>
      </c>
      <c r="DN124" s="524">
        <v>-5.3156840536772249E-2</v>
      </c>
      <c r="DO124" s="524">
        <v>4.8854107739811359E-3</v>
      </c>
      <c r="DP124" s="524">
        <v>4.9525969268543746E-3</v>
      </c>
      <c r="DQ124" s="524">
        <v>5.0160486886338951E-3</v>
      </c>
      <c r="DR124" s="524">
        <v>5.0748119631610911E-3</v>
      </c>
      <c r="DS124" s="524">
        <v>0.12502875783267084</v>
      </c>
      <c r="DT124" s="524">
        <v>5.789313553393266E-3</v>
      </c>
      <c r="DU124" s="525">
        <v>5.9040432078848737E-3</v>
      </c>
      <c r="DV124" s="526">
        <v>3.4</v>
      </c>
      <c r="DW124" s="507">
        <v>1</v>
      </c>
      <c r="DX124" s="509">
        <v>7.07</v>
      </c>
      <c r="DY124" s="507">
        <v>2</v>
      </c>
      <c r="DZ124" s="507">
        <v>10</v>
      </c>
      <c r="EA124" s="507">
        <v>0</v>
      </c>
      <c r="EB124" s="507">
        <v>0</v>
      </c>
      <c r="EC124" s="507">
        <v>111.62500000000001</v>
      </c>
      <c r="ED124" s="507">
        <v>102.18750000000001</v>
      </c>
      <c r="EE124" s="507">
        <v>0</v>
      </c>
      <c r="EF124" s="507">
        <v>25.062499999999996</v>
      </c>
      <c r="EG124" s="507">
        <v>29.3125</v>
      </c>
      <c r="EH124" s="507">
        <v>12.8125</v>
      </c>
      <c r="EI124" s="507">
        <v>16.6875</v>
      </c>
      <c r="EJ124" s="507">
        <v>56.4375</v>
      </c>
      <c r="EK124" s="507">
        <v>10.4375</v>
      </c>
      <c r="EL124" s="507">
        <v>10.4375</v>
      </c>
      <c r="EM124" s="508">
        <v>375</v>
      </c>
    </row>
    <row r="125" spans="2:143" x14ac:dyDescent="0.25">
      <c r="B125" s="506" t="str">
        <f>[1]RONET_Input!J96</f>
        <v>214tt00102</v>
      </c>
      <c r="C125" s="359">
        <f>[1]RONET_Input!B96</f>
        <v>94</v>
      </c>
      <c r="D125" s="397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442">
        <f>[1]RONET_Input!K96</f>
        <v>1.8913737551300001</v>
      </c>
      <c r="Q125" s="398">
        <f>[1]RONET_Input!Y96</f>
        <v>1</v>
      </c>
      <c r="R125" s="398">
        <f>[1]RONET_Input!X96</f>
        <v>3.4</v>
      </c>
      <c r="S125" s="398"/>
      <c r="T125" s="398"/>
      <c r="U125" s="398">
        <f>[1]RONET_Input!AA96</f>
        <v>8</v>
      </c>
      <c r="V125" s="398">
        <f>[1]RONET_Input!AC96</f>
        <v>1</v>
      </c>
      <c r="W125" s="398">
        <f>[1]RONET_Input!AD96</f>
        <v>1</v>
      </c>
      <c r="X125" s="398">
        <f>[1]RONET_Input!AE96</f>
        <v>4</v>
      </c>
      <c r="Y125" s="398">
        <f>[1]RONET_Input!AB96</f>
        <v>1</v>
      </c>
      <c r="Z125" s="438">
        <f>[1]RONET_Input!Z96</f>
        <v>1</v>
      </c>
      <c r="AA125" s="442"/>
      <c r="AB125" s="398"/>
      <c r="AC125" s="438"/>
      <c r="AD125" s="442">
        <f>[1]RONET_Input!AH96</f>
        <v>4</v>
      </c>
      <c r="AE125" s="398">
        <f>[1]RONET_Input!D96</f>
        <v>8.2050000000000001</v>
      </c>
      <c r="AF125" s="398"/>
      <c r="AG125" s="398"/>
      <c r="AH125" s="398"/>
      <c r="AI125" s="438"/>
      <c r="AJ125" s="442">
        <v>1</v>
      </c>
      <c r="AK125" s="442">
        <f>[1]RONET_Input!AF96</f>
        <v>4</v>
      </c>
      <c r="AL125" s="507"/>
      <c r="AM125" s="507"/>
      <c r="AN125" s="507"/>
      <c r="AO125" s="507"/>
      <c r="AP125" s="507"/>
      <c r="AQ125" s="507"/>
      <c r="AR125" s="507"/>
      <c r="AS125" s="507"/>
      <c r="AT125" s="507"/>
      <c r="AU125" s="507"/>
      <c r="AV125" s="507"/>
      <c r="AW125" s="507"/>
      <c r="AX125" s="508"/>
      <c r="AY125" s="509">
        <f>[1]RONET_Input!AG96</f>
        <v>3</v>
      </c>
      <c r="AZ125" s="359" t="s">
        <v>321</v>
      </c>
      <c r="BA125" s="360" t="s">
        <v>502</v>
      </c>
      <c r="BB125" s="360" t="s">
        <v>443</v>
      </c>
      <c r="BC125" s="510">
        <v>9.195859197442062E-2</v>
      </c>
      <c r="BD125" s="510">
        <v>4.862000000000001E-2</v>
      </c>
      <c r="BE125" s="438">
        <v>5</v>
      </c>
      <c r="BF125" s="511">
        <v>0.86490586393427971</v>
      </c>
      <c r="BG125" s="512">
        <v>0.45728976707453151</v>
      </c>
      <c r="BH125" s="512">
        <v>9.4053839381845208</v>
      </c>
      <c r="BI125" s="513">
        <v>0</v>
      </c>
      <c r="BJ125" s="514">
        <v>375</v>
      </c>
      <c r="BK125" s="515">
        <v>0.22366666666666665</v>
      </c>
      <c r="BL125" s="512">
        <v>0.25888178273341877</v>
      </c>
      <c r="BM125" s="516">
        <v>6.4108143749999999E-2</v>
      </c>
      <c r="BN125" s="517">
        <v>375</v>
      </c>
      <c r="BO125" s="518">
        <v>397.50000000000011</v>
      </c>
      <c r="BP125" s="518">
        <v>421.34999999999991</v>
      </c>
      <c r="BQ125" s="518">
        <v>446.63099999999997</v>
      </c>
      <c r="BR125" s="518">
        <v>473.42885999999999</v>
      </c>
      <c r="BS125" s="518">
        <v>501.83459160000012</v>
      </c>
      <c r="BT125" s="518">
        <v>531.9446670960001</v>
      </c>
      <c r="BU125" s="518">
        <v>563.86134712175999</v>
      </c>
      <c r="BV125" s="518">
        <v>597.69302794906582</v>
      </c>
      <c r="BW125" s="518">
        <v>633.55460962600955</v>
      </c>
      <c r="BX125" s="518">
        <v>671.56788620357008</v>
      </c>
      <c r="BY125" s="518">
        <v>711.86195937578441</v>
      </c>
      <c r="BZ125" s="518">
        <v>754.57367693833146</v>
      </c>
      <c r="CA125" s="518">
        <v>799.84809755463141</v>
      </c>
      <c r="CB125" s="518">
        <v>847.83898340790915</v>
      </c>
      <c r="CC125" s="518">
        <v>898.70932241238381</v>
      </c>
      <c r="CD125" s="518">
        <v>952.63188175712685</v>
      </c>
      <c r="CE125" s="518">
        <v>1009.7897946625544</v>
      </c>
      <c r="CF125" s="518">
        <v>1070.3771823423076</v>
      </c>
      <c r="CG125" s="519">
        <v>1134.5998132828461</v>
      </c>
      <c r="CH125" s="520">
        <v>8.2050000000000001</v>
      </c>
      <c r="CI125" s="521">
        <v>8.3690999999999995</v>
      </c>
      <c r="CJ125" s="521">
        <v>8.5364819999999995</v>
      </c>
      <c r="CK125" s="521">
        <v>8.7072116399999988</v>
      </c>
      <c r="CL125" s="521">
        <v>2.5</v>
      </c>
      <c r="CM125" s="521">
        <v>2.5499999999999998</v>
      </c>
      <c r="CN125" s="521">
        <v>2.601</v>
      </c>
      <c r="CO125" s="521">
        <v>2.6530200000000002</v>
      </c>
      <c r="CP125" s="521">
        <v>2.7060804000000003</v>
      </c>
      <c r="CQ125" s="521">
        <v>2.7602020080000003</v>
      </c>
      <c r="CR125" s="521">
        <v>2.8154060481600003</v>
      </c>
      <c r="CS125" s="521">
        <v>2.8717141691232002</v>
      </c>
      <c r="CT125" s="521">
        <v>2.5</v>
      </c>
      <c r="CU125" s="521">
        <v>2.5499999999999998</v>
      </c>
      <c r="CV125" s="521">
        <v>2.601</v>
      </c>
      <c r="CW125" s="521">
        <v>2.6530200000000002</v>
      </c>
      <c r="CX125" s="521">
        <v>2.7060804000000003</v>
      </c>
      <c r="CY125" s="521">
        <v>2.7602020080000003</v>
      </c>
      <c r="CZ125" s="521">
        <v>2.8154060481600003</v>
      </c>
      <c r="DA125" s="522">
        <v>2.8717141691232002</v>
      </c>
      <c r="DB125" s="523">
        <v>0</v>
      </c>
      <c r="DC125" s="524">
        <v>0</v>
      </c>
      <c r="DD125" s="524">
        <v>0</v>
      </c>
      <c r="DE125" s="524">
        <v>0</v>
      </c>
      <c r="DF125" s="524">
        <v>-5.7793135351851738E-2</v>
      </c>
      <c r="DG125" s="524">
        <v>2.8524561272391669E-2</v>
      </c>
      <c r="DH125" s="524">
        <v>3.1426768351983214E-2</v>
      </c>
      <c r="DI125" s="524">
        <v>3.4622743743889878E-2</v>
      </c>
      <c r="DJ125" s="524">
        <v>3.8142142136629753E-2</v>
      </c>
      <c r="DK125" s="524">
        <v>1.2960070745518995</v>
      </c>
      <c r="DL125" s="524">
        <v>5.6656423204079209E-3</v>
      </c>
      <c r="DM125" s="524">
        <v>5.6583543956909843E-3</v>
      </c>
      <c r="DN125" s="524">
        <v>-7.67314307834292E-2</v>
      </c>
      <c r="DO125" s="524">
        <v>7.0520473915870463E-3</v>
      </c>
      <c r="DP125" s="524">
        <v>7.1490300110718663E-3</v>
      </c>
      <c r="DQ125" s="524">
        <v>7.2406220699284818E-3</v>
      </c>
      <c r="DR125" s="524">
        <v>7.3254463387612545E-3</v>
      </c>
      <c r="DS125" s="524">
        <v>0.18047790991150331</v>
      </c>
      <c r="DT125" s="524">
        <v>8.3568230865501691E-3</v>
      </c>
      <c r="DU125" s="525">
        <v>8.5224343315665196E-3</v>
      </c>
      <c r="DV125" s="526">
        <v>3.4</v>
      </c>
      <c r="DW125" s="507">
        <v>1</v>
      </c>
      <c r="DX125" s="509">
        <v>8.2050000000000001</v>
      </c>
      <c r="DY125" s="507">
        <v>2</v>
      </c>
      <c r="DZ125" s="507">
        <v>15</v>
      </c>
      <c r="EA125" s="507">
        <v>0</v>
      </c>
      <c r="EB125" s="507">
        <v>0</v>
      </c>
      <c r="EC125" s="507">
        <v>111.62500000000001</v>
      </c>
      <c r="ED125" s="507">
        <v>102.18750000000001</v>
      </c>
      <c r="EE125" s="507">
        <v>0</v>
      </c>
      <c r="EF125" s="507">
        <v>25.062499999999996</v>
      </c>
      <c r="EG125" s="507">
        <v>29.3125</v>
      </c>
      <c r="EH125" s="507">
        <v>12.8125</v>
      </c>
      <c r="EI125" s="507">
        <v>16.6875</v>
      </c>
      <c r="EJ125" s="507">
        <v>56.4375</v>
      </c>
      <c r="EK125" s="507">
        <v>10.4375</v>
      </c>
      <c r="EL125" s="507">
        <v>10.4375</v>
      </c>
      <c r="EM125" s="508">
        <v>375</v>
      </c>
    </row>
    <row r="126" spans="2:143" x14ac:dyDescent="0.25">
      <c r="B126" s="506" t="str">
        <f>[1]RONET_Input!J97</f>
        <v>214TT00060</v>
      </c>
      <c r="C126" s="359">
        <f>[1]RONET_Input!B97</f>
        <v>95</v>
      </c>
      <c r="D126" s="397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442">
        <f>[1]RONET_Input!K97</f>
        <v>1.70839084459</v>
      </c>
      <c r="Q126" s="398">
        <f>[1]RONET_Input!Y97</f>
        <v>1</v>
      </c>
      <c r="R126" s="398">
        <f>[1]RONET_Input!X97</f>
        <v>3.4</v>
      </c>
      <c r="S126" s="398"/>
      <c r="T126" s="398"/>
      <c r="U126" s="398">
        <f>[1]RONET_Input!AA97</f>
        <v>8</v>
      </c>
      <c r="V126" s="398">
        <f>[1]RONET_Input!AC97</f>
        <v>1</v>
      </c>
      <c r="W126" s="398">
        <f>[1]RONET_Input!AD97</f>
        <v>1</v>
      </c>
      <c r="X126" s="398">
        <f>[1]RONET_Input!AE97</f>
        <v>4</v>
      </c>
      <c r="Y126" s="398">
        <f>[1]RONET_Input!AB97</f>
        <v>1</v>
      </c>
      <c r="Z126" s="438">
        <f>[1]RONET_Input!Z97</f>
        <v>1</v>
      </c>
      <c r="AA126" s="442"/>
      <c r="AB126" s="398"/>
      <c r="AC126" s="438"/>
      <c r="AD126" s="442">
        <f>[1]RONET_Input!AH97</f>
        <v>4</v>
      </c>
      <c r="AE126" s="398">
        <f>[1]RONET_Input!D97</f>
        <v>9.4250000000000007</v>
      </c>
      <c r="AF126" s="398"/>
      <c r="AG126" s="398"/>
      <c r="AH126" s="398"/>
      <c r="AI126" s="438"/>
      <c r="AJ126" s="442">
        <v>1</v>
      </c>
      <c r="AK126" s="442">
        <f>[1]RONET_Input!AF97</f>
        <v>4</v>
      </c>
      <c r="AL126" s="507"/>
      <c r="AM126" s="507"/>
      <c r="AN126" s="507"/>
      <c r="AO126" s="507"/>
      <c r="AP126" s="507"/>
      <c r="AQ126" s="507"/>
      <c r="AR126" s="507"/>
      <c r="AS126" s="507"/>
      <c r="AT126" s="507"/>
      <c r="AU126" s="507"/>
      <c r="AV126" s="507"/>
      <c r="AW126" s="507"/>
      <c r="AX126" s="508"/>
      <c r="AY126" s="509">
        <f>[1]RONET_Input!AG97</f>
        <v>3</v>
      </c>
      <c r="AZ126" s="359" t="s">
        <v>321</v>
      </c>
      <c r="BA126" s="360" t="s">
        <v>502</v>
      </c>
      <c r="BB126" s="360" t="s">
        <v>443</v>
      </c>
      <c r="BC126" s="510">
        <v>8.3061962863965805E-2</v>
      </c>
      <c r="BD126" s="510">
        <v>4.8620000000000003E-2</v>
      </c>
      <c r="BE126" s="438">
        <v>5</v>
      </c>
      <c r="BF126" s="511">
        <v>0.81493942006135511</v>
      </c>
      <c r="BG126" s="512">
        <v>0.47702165031031524</v>
      </c>
      <c r="BH126" s="512">
        <v>9.8112227542228556</v>
      </c>
      <c r="BI126" s="513">
        <v>0</v>
      </c>
      <c r="BJ126" s="514">
        <v>375</v>
      </c>
      <c r="BK126" s="515">
        <v>0.22366666666666665</v>
      </c>
      <c r="BL126" s="512">
        <v>0.23383599685325626</v>
      </c>
      <c r="BM126" s="516">
        <v>6.4108143749999999E-2</v>
      </c>
      <c r="BN126" s="517">
        <v>375</v>
      </c>
      <c r="BO126" s="518">
        <v>397.50000000000011</v>
      </c>
      <c r="BP126" s="518">
        <v>421.34999999999991</v>
      </c>
      <c r="BQ126" s="518">
        <v>446.63099999999997</v>
      </c>
      <c r="BR126" s="518">
        <v>473.42885999999999</v>
      </c>
      <c r="BS126" s="518">
        <v>501.83459160000012</v>
      </c>
      <c r="BT126" s="518">
        <v>531.9446670960001</v>
      </c>
      <c r="BU126" s="518">
        <v>563.86134712175999</v>
      </c>
      <c r="BV126" s="518">
        <v>597.69302794906582</v>
      </c>
      <c r="BW126" s="518">
        <v>633.55460962600955</v>
      </c>
      <c r="BX126" s="518">
        <v>671.56788620357008</v>
      </c>
      <c r="BY126" s="518">
        <v>711.86195937578441</v>
      </c>
      <c r="BZ126" s="518">
        <v>754.57367693833146</v>
      </c>
      <c r="CA126" s="518">
        <v>799.84809755463141</v>
      </c>
      <c r="CB126" s="518">
        <v>847.83898340790915</v>
      </c>
      <c r="CC126" s="518">
        <v>898.70932241238381</v>
      </c>
      <c r="CD126" s="518">
        <v>952.63188175712685</v>
      </c>
      <c r="CE126" s="518">
        <v>1009.7897946625544</v>
      </c>
      <c r="CF126" s="518">
        <v>1070.3771823423076</v>
      </c>
      <c r="CG126" s="519">
        <v>1134.5998132828461</v>
      </c>
      <c r="CH126" s="520">
        <v>9.4250000000000007</v>
      </c>
      <c r="CI126" s="521">
        <v>9.6135000000000002</v>
      </c>
      <c r="CJ126" s="521">
        <v>9.8057700000000008</v>
      </c>
      <c r="CK126" s="521">
        <v>10.001885400000001</v>
      </c>
      <c r="CL126" s="521">
        <v>2.5</v>
      </c>
      <c r="CM126" s="521">
        <v>2.5499999999999998</v>
      </c>
      <c r="CN126" s="521">
        <v>2.601</v>
      </c>
      <c r="CO126" s="521">
        <v>2.6530200000000002</v>
      </c>
      <c r="CP126" s="521">
        <v>2.7060804000000003</v>
      </c>
      <c r="CQ126" s="521">
        <v>2.7602020080000003</v>
      </c>
      <c r="CR126" s="521">
        <v>2.8154060481600003</v>
      </c>
      <c r="CS126" s="521">
        <v>2.8717141691232002</v>
      </c>
      <c r="CT126" s="521">
        <v>2.5</v>
      </c>
      <c r="CU126" s="521">
        <v>2.5499999999999998</v>
      </c>
      <c r="CV126" s="521">
        <v>2.601</v>
      </c>
      <c r="CW126" s="521">
        <v>2.6530200000000002</v>
      </c>
      <c r="CX126" s="521">
        <v>2.7060804000000003</v>
      </c>
      <c r="CY126" s="521">
        <v>2.7602020080000003</v>
      </c>
      <c r="CZ126" s="521">
        <v>2.8154060481600003</v>
      </c>
      <c r="DA126" s="522">
        <v>2.8717141691232002</v>
      </c>
      <c r="DB126" s="523">
        <v>0</v>
      </c>
      <c r="DC126" s="524">
        <v>0</v>
      </c>
      <c r="DD126" s="524">
        <v>0</v>
      </c>
      <c r="DE126" s="524">
        <v>0</v>
      </c>
      <c r="DF126" s="524">
        <v>-4.4321982881191851E-2</v>
      </c>
      <c r="DG126" s="524">
        <v>3.4439849792526955E-2</v>
      </c>
      <c r="DH126" s="524">
        <v>3.7936418784923043E-2</v>
      </c>
      <c r="DI126" s="524">
        <v>4.1786459516851365E-2</v>
      </c>
      <c r="DJ126" s="524">
        <v>4.6025545179459171E-2</v>
      </c>
      <c r="DK126" s="524">
        <v>1.1706235294230112</v>
      </c>
      <c r="DL126" s="524">
        <v>5.1175138930915631E-3</v>
      </c>
      <c r="DM126" s="524">
        <v>5.1109310461906199E-3</v>
      </c>
      <c r="DN126" s="524">
        <v>-6.9307969134684205E-2</v>
      </c>
      <c r="DO126" s="524">
        <v>6.3697897714426743E-3</v>
      </c>
      <c r="DP126" s="524">
        <v>6.4573897070782649E-3</v>
      </c>
      <c r="DQ126" s="524">
        <v>6.540120597450072E-3</v>
      </c>
      <c r="DR126" s="524">
        <v>6.6167384546451102E-3</v>
      </c>
      <c r="DS126" s="524">
        <v>0.16301738781521724</v>
      </c>
      <c r="DT126" s="524">
        <v>7.5483335920242256E-3</v>
      </c>
      <c r="DU126" s="525">
        <v>7.6979226058189187E-3</v>
      </c>
      <c r="DV126" s="526">
        <v>3.4</v>
      </c>
      <c r="DW126" s="507">
        <v>1</v>
      </c>
      <c r="DX126" s="509">
        <v>9.4250000000000007</v>
      </c>
      <c r="DY126" s="507">
        <v>2</v>
      </c>
      <c r="DZ126" s="507">
        <v>15</v>
      </c>
      <c r="EA126" s="507">
        <v>0</v>
      </c>
      <c r="EB126" s="507">
        <v>0</v>
      </c>
      <c r="EC126" s="507">
        <v>111.62500000000001</v>
      </c>
      <c r="ED126" s="507">
        <v>102.18750000000001</v>
      </c>
      <c r="EE126" s="507">
        <v>0</v>
      </c>
      <c r="EF126" s="507">
        <v>25.062499999999996</v>
      </c>
      <c r="EG126" s="507">
        <v>29.3125</v>
      </c>
      <c r="EH126" s="507">
        <v>12.8125</v>
      </c>
      <c r="EI126" s="507">
        <v>16.6875</v>
      </c>
      <c r="EJ126" s="507">
        <v>56.4375</v>
      </c>
      <c r="EK126" s="507">
        <v>10.4375</v>
      </c>
      <c r="EL126" s="507">
        <v>10.4375</v>
      </c>
      <c r="EM126" s="508">
        <v>375</v>
      </c>
    </row>
    <row r="127" spans="2:143" x14ac:dyDescent="0.25">
      <c r="B127" s="506" t="str">
        <f>[1]RONET_Input!J98</f>
        <v xml:space="preserve">Input VPROMMS: 212th00023 (63.64 pct); 212TH00023 (31.82 pct); 214TT00060 (4.55 pct); </v>
      </c>
      <c r="C127" s="359">
        <f>[1]RONET_Input!B98</f>
        <v>96</v>
      </c>
      <c r="D127" s="397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442">
        <f>[1]RONET_Input!K98</f>
        <v>0.31156169267400002</v>
      </c>
      <c r="Q127" s="398">
        <f>[1]RONET_Input!Y98</f>
        <v>2</v>
      </c>
      <c r="R127" s="398">
        <f>[1]RONET_Input!X98</f>
        <v>3.5</v>
      </c>
      <c r="S127" s="398"/>
      <c r="T127" s="398"/>
      <c r="U127" s="398">
        <f>[1]RONET_Input!AA98</f>
        <v>8</v>
      </c>
      <c r="V127" s="398">
        <f>[1]RONET_Input!AC98</f>
        <v>1</v>
      </c>
      <c r="W127" s="398">
        <f>[1]RONET_Input!AD98</f>
        <v>1</v>
      </c>
      <c r="X127" s="398">
        <f>[1]RONET_Input!AE98</f>
        <v>4</v>
      </c>
      <c r="Y127" s="398">
        <f>[1]RONET_Input!AB98</f>
        <v>1</v>
      </c>
      <c r="Z127" s="438">
        <f>[1]RONET_Input!Z98</f>
        <v>1</v>
      </c>
      <c r="AA127" s="442"/>
      <c r="AB127" s="398"/>
      <c r="AC127" s="438"/>
      <c r="AD127" s="442">
        <f>[1]RONET_Input!AH98</f>
        <v>3</v>
      </c>
      <c r="AE127" s="398">
        <f>[1]RONET_Input!D98</f>
        <v>6.87</v>
      </c>
      <c r="AF127" s="398"/>
      <c r="AG127" s="398"/>
      <c r="AH127" s="398"/>
      <c r="AI127" s="438"/>
      <c r="AJ127" s="442">
        <v>1</v>
      </c>
      <c r="AK127" s="442">
        <f>[1]RONET_Input!AF98</f>
        <v>4</v>
      </c>
      <c r="AL127" s="507"/>
      <c r="AM127" s="507"/>
      <c r="AN127" s="507"/>
      <c r="AO127" s="507"/>
      <c r="AP127" s="507"/>
      <c r="AQ127" s="507"/>
      <c r="AR127" s="507"/>
      <c r="AS127" s="507"/>
      <c r="AT127" s="507"/>
      <c r="AU127" s="507"/>
      <c r="AV127" s="507"/>
      <c r="AW127" s="507"/>
      <c r="AX127" s="508"/>
      <c r="AY127" s="509">
        <f>[1]RONET_Input!AG98</f>
        <v>3</v>
      </c>
      <c r="AZ127" s="359" t="s">
        <v>321</v>
      </c>
      <c r="BA127" s="360" t="s">
        <v>502</v>
      </c>
      <c r="BB127" s="360" t="s">
        <v>443</v>
      </c>
      <c r="BC127" s="510">
        <v>1.5593662718333704E-2</v>
      </c>
      <c r="BD127" s="510">
        <v>5.0050000000000011E-2</v>
      </c>
      <c r="BE127" s="438">
        <v>5</v>
      </c>
      <c r="BF127" s="511">
        <v>0.1304372721482828</v>
      </c>
      <c r="BG127" s="512">
        <v>0.41865632141357234</v>
      </c>
      <c r="BH127" s="512">
        <v>8.3647616666048403</v>
      </c>
      <c r="BI127" s="513">
        <v>0</v>
      </c>
      <c r="BJ127" s="514">
        <v>375</v>
      </c>
      <c r="BK127" s="515">
        <v>0.22366666666666665</v>
      </c>
      <c r="BL127" s="512">
        <v>4.2645006684753753E-2</v>
      </c>
      <c r="BM127" s="516">
        <v>3.2054071874999999E-2</v>
      </c>
      <c r="BN127" s="517">
        <v>375</v>
      </c>
      <c r="BO127" s="518">
        <v>397.50000000000011</v>
      </c>
      <c r="BP127" s="518">
        <v>421.34999999999991</v>
      </c>
      <c r="BQ127" s="518">
        <v>446.63099999999997</v>
      </c>
      <c r="BR127" s="518">
        <v>473.42885999999999</v>
      </c>
      <c r="BS127" s="518">
        <v>501.83459160000012</v>
      </c>
      <c r="BT127" s="518">
        <v>531.9446670960001</v>
      </c>
      <c r="BU127" s="518">
        <v>563.86134712175999</v>
      </c>
      <c r="BV127" s="518">
        <v>597.69302794906582</v>
      </c>
      <c r="BW127" s="518">
        <v>633.55460962600955</v>
      </c>
      <c r="BX127" s="518">
        <v>671.56788620357008</v>
      </c>
      <c r="BY127" s="518">
        <v>711.86195937578441</v>
      </c>
      <c r="BZ127" s="518">
        <v>754.57367693833146</v>
      </c>
      <c r="CA127" s="518">
        <v>799.84809755463141</v>
      </c>
      <c r="CB127" s="518">
        <v>847.83898340790915</v>
      </c>
      <c r="CC127" s="518">
        <v>898.70932241238381</v>
      </c>
      <c r="CD127" s="518">
        <v>952.63188175712685</v>
      </c>
      <c r="CE127" s="518">
        <v>1009.7897946625544</v>
      </c>
      <c r="CF127" s="518">
        <v>1070.3771823423076</v>
      </c>
      <c r="CG127" s="519">
        <v>1134.5998132828461</v>
      </c>
      <c r="CH127" s="520">
        <v>6.87</v>
      </c>
      <c r="CI127" s="521">
        <v>7.0074000000000005</v>
      </c>
      <c r="CJ127" s="521">
        <v>7.1475480000000005</v>
      </c>
      <c r="CK127" s="521">
        <v>7.2904989600000007</v>
      </c>
      <c r="CL127" s="521">
        <v>2.5</v>
      </c>
      <c r="CM127" s="521">
        <v>2.5499999999999998</v>
      </c>
      <c r="CN127" s="521">
        <v>2.601</v>
      </c>
      <c r="CO127" s="521">
        <v>2.6530200000000002</v>
      </c>
      <c r="CP127" s="521">
        <v>2.7060804000000003</v>
      </c>
      <c r="CQ127" s="521">
        <v>2.7602020080000003</v>
      </c>
      <c r="CR127" s="521">
        <v>2.8154060481600003</v>
      </c>
      <c r="CS127" s="521">
        <v>2.8717141691232002</v>
      </c>
      <c r="CT127" s="521">
        <v>2.5</v>
      </c>
      <c r="CU127" s="521">
        <v>2.5499999999999998</v>
      </c>
      <c r="CV127" s="521">
        <v>2.601</v>
      </c>
      <c r="CW127" s="521">
        <v>2.6530200000000002</v>
      </c>
      <c r="CX127" s="521">
        <v>2.7060804000000003</v>
      </c>
      <c r="CY127" s="521">
        <v>2.7602020080000003</v>
      </c>
      <c r="CZ127" s="521">
        <v>2.8154060481600003</v>
      </c>
      <c r="DA127" s="522">
        <v>2.8717141691232002</v>
      </c>
      <c r="DB127" s="523">
        <v>0</v>
      </c>
      <c r="DC127" s="524">
        <v>0</v>
      </c>
      <c r="DD127" s="524">
        <v>0</v>
      </c>
      <c r="DE127" s="524">
        <v>0</v>
      </c>
      <c r="DF127" s="524">
        <v>-1.1515205386021504E-2</v>
      </c>
      <c r="DG127" s="524">
        <v>2.9566287348193124E-3</v>
      </c>
      <c r="DH127" s="524">
        <v>3.2674930015524628E-3</v>
      </c>
      <c r="DI127" s="524">
        <v>3.6106356532437829E-3</v>
      </c>
      <c r="DJ127" s="524">
        <v>3.9893811637235141E-3</v>
      </c>
      <c r="DK127" s="524">
        <v>0.21262196741561856</v>
      </c>
      <c r="DL127" s="524">
        <v>5.3614155048273271E-5</v>
      </c>
      <c r="DM127" s="524">
        <v>3.8619077210318153E-5</v>
      </c>
      <c r="DN127" s="524">
        <v>-1.3993424153191117E-2</v>
      </c>
      <c r="DO127" s="524">
        <v>1.9567165132571701E-4</v>
      </c>
      <c r="DP127" s="524">
        <v>1.9317089838114671E-4</v>
      </c>
      <c r="DQ127" s="524">
        <v>1.8909571377973E-4</v>
      </c>
      <c r="DR127" s="524">
        <v>1.8320966236452102E-4</v>
      </c>
      <c r="DS127" s="524">
        <v>2.8685657902133475E-2</v>
      </c>
      <c r="DT127" s="524">
        <v>3.1127036906002797E-4</v>
      </c>
      <c r="DU127" s="525">
        <v>3.165647081370751E-4</v>
      </c>
      <c r="DV127" s="526">
        <v>3.5</v>
      </c>
      <c r="DW127" s="507">
        <v>1</v>
      </c>
      <c r="DX127" s="509">
        <v>6.87</v>
      </c>
      <c r="DY127" s="507">
        <v>2</v>
      </c>
      <c r="DZ127" s="507">
        <v>10</v>
      </c>
      <c r="EA127" s="507">
        <v>0</v>
      </c>
      <c r="EB127" s="507">
        <v>0</v>
      </c>
      <c r="EC127" s="507">
        <v>111.62500000000001</v>
      </c>
      <c r="ED127" s="507">
        <v>102.18750000000001</v>
      </c>
      <c r="EE127" s="507">
        <v>0</v>
      </c>
      <c r="EF127" s="507">
        <v>25.062499999999996</v>
      </c>
      <c r="EG127" s="507">
        <v>29.3125</v>
      </c>
      <c r="EH127" s="507">
        <v>12.8125</v>
      </c>
      <c r="EI127" s="507">
        <v>16.6875</v>
      </c>
      <c r="EJ127" s="507">
        <v>56.4375</v>
      </c>
      <c r="EK127" s="507">
        <v>10.4375</v>
      </c>
      <c r="EL127" s="507">
        <v>10.4375</v>
      </c>
      <c r="EM127" s="508">
        <v>375</v>
      </c>
    </row>
    <row r="128" spans="2:143" x14ac:dyDescent="0.25">
      <c r="B128" s="506" t="str">
        <f>[1]RONET_Input!J99</f>
        <v>214tt00102</v>
      </c>
      <c r="C128" s="359">
        <f>[1]RONET_Input!B99</f>
        <v>97</v>
      </c>
      <c r="D128" s="397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442">
        <f>[1]RONET_Input!K99</f>
        <v>0.68149930172900008</v>
      </c>
      <c r="Q128" s="398">
        <f>[1]RONET_Input!Y99</f>
        <v>1</v>
      </c>
      <c r="R128" s="398">
        <f>[1]RONET_Input!X99</f>
        <v>3.4</v>
      </c>
      <c r="S128" s="398"/>
      <c r="T128" s="398"/>
      <c r="U128" s="398">
        <f>[1]RONET_Input!AA99</f>
        <v>8</v>
      </c>
      <c r="V128" s="398">
        <f>[1]RONET_Input!AC99</f>
        <v>1</v>
      </c>
      <c r="W128" s="398">
        <f>[1]RONET_Input!AD99</f>
        <v>1</v>
      </c>
      <c r="X128" s="398">
        <f>[1]RONET_Input!AE99</f>
        <v>4</v>
      </c>
      <c r="Y128" s="398">
        <f>[1]RONET_Input!AB99</f>
        <v>1</v>
      </c>
      <c r="Z128" s="438">
        <f>[1]RONET_Input!Z99</f>
        <v>1</v>
      </c>
      <c r="AA128" s="442"/>
      <c r="AB128" s="398"/>
      <c r="AC128" s="438"/>
      <c r="AD128" s="442">
        <f>[1]RONET_Input!AH99</f>
        <v>3</v>
      </c>
      <c r="AE128" s="398">
        <f>[1]RONET_Input!D99</f>
        <v>6.62</v>
      </c>
      <c r="AF128" s="398"/>
      <c r="AG128" s="398"/>
      <c r="AH128" s="398"/>
      <c r="AI128" s="438"/>
      <c r="AJ128" s="442">
        <v>1</v>
      </c>
      <c r="AK128" s="442">
        <f>[1]RONET_Input!AF99</f>
        <v>4</v>
      </c>
      <c r="AL128" s="507"/>
      <c r="AM128" s="507"/>
      <c r="AN128" s="507"/>
      <c r="AO128" s="507"/>
      <c r="AP128" s="507"/>
      <c r="AQ128" s="507"/>
      <c r="AR128" s="507"/>
      <c r="AS128" s="507"/>
      <c r="AT128" s="507"/>
      <c r="AU128" s="507"/>
      <c r="AV128" s="507"/>
      <c r="AW128" s="507"/>
      <c r="AX128" s="508"/>
      <c r="AY128" s="509">
        <f>[1]RONET_Input!AG99</f>
        <v>3</v>
      </c>
      <c r="AZ128" s="359" t="s">
        <v>321</v>
      </c>
      <c r="BA128" s="360" t="s">
        <v>502</v>
      </c>
      <c r="BB128" s="360" t="s">
        <v>443</v>
      </c>
      <c r="BC128" s="510">
        <v>3.3134496050063987E-2</v>
      </c>
      <c r="BD128" s="510">
        <v>4.8620000000000003E-2</v>
      </c>
      <c r="BE128" s="438">
        <v>5</v>
      </c>
      <c r="BF128" s="511">
        <v>0.29672908999689407</v>
      </c>
      <c r="BG128" s="512">
        <v>0.43540630084884391</v>
      </c>
      <c r="BH128" s="512">
        <v>8.9552920783390348</v>
      </c>
      <c r="BI128" s="513">
        <v>0</v>
      </c>
      <c r="BJ128" s="514">
        <v>375</v>
      </c>
      <c r="BK128" s="515">
        <v>0.22366666666666665</v>
      </c>
      <c r="BL128" s="512">
        <v>9.3280216924156875E-2</v>
      </c>
      <c r="BM128" s="516">
        <v>6.4108143749999999E-2</v>
      </c>
      <c r="BN128" s="517">
        <v>375</v>
      </c>
      <c r="BO128" s="518">
        <v>397.50000000000011</v>
      </c>
      <c r="BP128" s="518">
        <v>421.34999999999991</v>
      </c>
      <c r="BQ128" s="518">
        <v>446.63099999999997</v>
      </c>
      <c r="BR128" s="518">
        <v>473.42885999999999</v>
      </c>
      <c r="BS128" s="518">
        <v>501.83459160000012</v>
      </c>
      <c r="BT128" s="518">
        <v>531.9446670960001</v>
      </c>
      <c r="BU128" s="518">
        <v>563.86134712175999</v>
      </c>
      <c r="BV128" s="518">
        <v>597.69302794906582</v>
      </c>
      <c r="BW128" s="518">
        <v>633.55460962600955</v>
      </c>
      <c r="BX128" s="518">
        <v>671.56788620357008</v>
      </c>
      <c r="BY128" s="518">
        <v>711.86195937578441</v>
      </c>
      <c r="BZ128" s="518">
        <v>754.57367693833146</v>
      </c>
      <c r="CA128" s="518">
        <v>799.84809755463141</v>
      </c>
      <c r="CB128" s="518">
        <v>847.83898340790915</v>
      </c>
      <c r="CC128" s="518">
        <v>898.70932241238381</v>
      </c>
      <c r="CD128" s="518">
        <v>952.63188175712685</v>
      </c>
      <c r="CE128" s="518">
        <v>1009.7897946625544</v>
      </c>
      <c r="CF128" s="518">
        <v>1070.3771823423076</v>
      </c>
      <c r="CG128" s="519">
        <v>1134.5998132828461</v>
      </c>
      <c r="CH128" s="520">
        <v>6.62</v>
      </c>
      <c r="CI128" s="521">
        <v>6.7523999999999997</v>
      </c>
      <c r="CJ128" s="521">
        <v>6.887448</v>
      </c>
      <c r="CK128" s="521">
        <v>7.0251969599999997</v>
      </c>
      <c r="CL128" s="521">
        <v>2.5</v>
      </c>
      <c r="CM128" s="521">
        <v>2.5499999999999998</v>
      </c>
      <c r="CN128" s="521">
        <v>2.601</v>
      </c>
      <c r="CO128" s="521">
        <v>2.6530200000000002</v>
      </c>
      <c r="CP128" s="521">
        <v>2.7060804000000003</v>
      </c>
      <c r="CQ128" s="521">
        <v>2.7602020080000003</v>
      </c>
      <c r="CR128" s="521">
        <v>2.8154060481600003</v>
      </c>
      <c r="CS128" s="521">
        <v>2.8717141691232002</v>
      </c>
      <c r="CT128" s="521">
        <v>2.5</v>
      </c>
      <c r="CU128" s="521">
        <v>2.5499999999999998</v>
      </c>
      <c r="CV128" s="521">
        <v>2.601</v>
      </c>
      <c r="CW128" s="521">
        <v>2.6530200000000002</v>
      </c>
      <c r="CX128" s="521">
        <v>2.7060804000000003</v>
      </c>
      <c r="CY128" s="521">
        <v>2.7602020080000003</v>
      </c>
      <c r="CZ128" s="521">
        <v>2.8154060481600003</v>
      </c>
      <c r="DA128" s="522">
        <v>2.8717141691232002</v>
      </c>
      <c r="DB128" s="523">
        <v>0</v>
      </c>
      <c r="DC128" s="524">
        <v>0</v>
      </c>
      <c r="DD128" s="524">
        <v>0</v>
      </c>
      <c r="DE128" s="524">
        <v>0</v>
      </c>
      <c r="DF128" s="524">
        <v>-2.4309584038174521E-2</v>
      </c>
      <c r="DG128" s="524">
        <v>6.4404125069385323E-3</v>
      </c>
      <c r="DH128" s="524">
        <v>7.098675671984786E-3</v>
      </c>
      <c r="DI128" s="524">
        <v>7.8237229864011049E-3</v>
      </c>
      <c r="DJ128" s="524">
        <v>8.6222979767997948E-3</v>
      </c>
      <c r="DK128" s="524">
        <v>0.46697693353699754</v>
      </c>
      <c r="DL128" s="524">
        <v>2.0414427739264551E-3</v>
      </c>
      <c r="DM128" s="524">
        <v>2.0388167907794547E-3</v>
      </c>
      <c r="DN128" s="524">
        <v>-2.7647849272382397E-2</v>
      </c>
      <c r="DO128" s="524">
        <v>2.540991890202085E-3</v>
      </c>
      <c r="DP128" s="524">
        <v>2.575936642543894E-3</v>
      </c>
      <c r="DQ128" s="524">
        <v>2.6089390694758463E-3</v>
      </c>
      <c r="DR128" s="524">
        <v>2.6395029280587151E-3</v>
      </c>
      <c r="DS128" s="524">
        <v>6.5029753769500181E-2</v>
      </c>
      <c r="DT128" s="524">
        <v>3.0111283307752701E-3</v>
      </c>
      <c r="DU128" s="525">
        <v>3.070801331699069E-3</v>
      </c>
      <c r="DV128" s="526">
        <v>3.4</v>
      </c>
      <c r="DW128" s="507">
        <v>1</v>
      </c>
      <c r="DX128" s="509">
        <v>6.62</v>
      </c>
      <c r="DY128" s="507">
        <v>2</v>
      </c>
      <c r="DZ128" s="507">
        <v>10</v>
      </c>
      <c r="EA128" s="507">
        <v>0</v>
      </c>
      <c r="EB128" s="507">
        <v>0</v>
      </c>
      <c r="EC128" s="507">
        <v>111.62500000000001</v>
      </c>
      <c r="ED128" s="507">
        <v>102.18750000000001</v>
      </c>
      <c r="EE128" s="507">
        <v>0</v>
      </c>
      <c r="EF128" s="507">
        <v>25.062499999999996</v>
      </c>
      <c r="EG128" s="507">
        <v>29.3125</v>
      </c>
      <c r="EH128" s="507">
        <v>12.8125</v>
      </c>
      <c r="EI128" s="507">
        <v>16.6875</v>
      </c>
      <c r="EJ128" s="507">
        <v>56.4375</v>
      </c>
      <c r="EK128" s="507">
        <v>10.4375</v>
      </c>
      <c r="EL128" s="507">
        <v>10.4375</v>
      </c>
      <c r="EM128" s="508">
        <v>375</v>
      </c>
    </row>
    <row r="129" spans="2:143" x14ac:dyDescent="0.25">
      <c r="B129" s="506" t="str">
        <f>[1]RONET_Input!J100</f>
        <v>214TT00059</v>
      </c>
      <c r="C129" s="359">
        <f>[1]RONET_Input!B100</f>
        <v>98</v>
      </c>
      <c r="D129" s="397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442">
        <f>[1]RONET_Input!K100</f>
        <v>1.1772748098200001</v>
      </c>
      <c r="Q129" s="398">
        <f>[1]RONET_Input!Y100</f>
        <v>1</v>
      </c>
      <c r="R129" s="398">
        <f>[1]RONET_Input!X100</f>
        <v>3.4</v>
      </c>
      <c r="S129" s="398"/>
      <c r="T129" s="398"/>
      <c r="U129" s="398">
        <f>[1]RONET_Input!AA100</f>
        <v>8</v>
      </c>
      <c r="V129" s="398">
        <f>[1]RONET_Input!AC100</f>
        <v>1</v>
      </c>
      <c r="W129" s="398">
        <f>[1]RONET_Input!AD100</f>
        <v>1</v>
      </c>
      <c r="X129" s="398">
        <f>[1]RONET_Input!AE100</f>
        <v>4</v>
      </c>
      <c r="Y129" s="398">
        <f>[1]RONET_Input!AB100</f>
        <v>1</v>
      </c>
      <c r="Z129" s="438">
        <f>[1]RONET_Input!Z100</f>
        <v>1</v>
      </c>
      <c r="AA129" s="442"/>
      <c r="AB129" s="398"/>
      <c r="AC129" s="438"/>
      <c r="AD129" s="442">
        <f>[1]RONET_Input!AH100</f>
        <v>4</v>
      </c>
      <c r="AE129" s="398">
        <f>[1]RONET_Input!D100</f>
        <v>9.8550000000000004</v>
      </c>
      <c r="AF129" s="398"/>
      <c r="AG129" s="398"/>
      <c r="AH129" s="398"/>
      <c r="AI129" s="438"/>
      <c r="AJ129" s="442">
        <v>1</v>
      </c>
      <c r="AK129" s="442">
        <f>[1]RONET_Input!AF100</f>
        <v>4</v>
      </c>
      <c r="AL129" s="507"/>
      <c r="AM129" s="507"/>
      <c r="AN129" s="507"/>
      <c r="AO129" s="507"/>
      <c r="AP129" s="507"/>
      <c r="AQ129" s="507"/>
      <c r="AR129" s="507"/>
      <c r="AS129" s="507"/>
      <c r="AT129" s="507"/>
      <c r="AU129" s="507"/>
      <c r="AV129" s="507"/>
      <c r="AW129" s="507"/>
      <c r="AX129" s="508"/>
      <c r="AY129" s="509">
        <f>[1]RONET_Input!AG100</f>
        <v>3</v>
      </c>
      <c r="AZ129" s="359" t="s">
        <v>321</v>
      </c>
      <c r="BA129" s="360" t="s">
        <v>502</v>
      </c>
      <c r="BB129" s="360" t="s">
        <v>443</v>
      </c>
      <c r="BC129" s="510">
        <v>5.7239101253448402E-2</v>
      </c>
      <c r="BD129" s="510">
        <v>4.8619999999999997E-2</v>
      </c>
      <c r="BE129" s="438">
        <v>5</v>
      </c>
      <c r="BF129" s="511">
        <v>0.57046672779117058</v>
      </c>
      <c r="BG129" s="512">
        <v>0.48456547531021438</v>
      </c>
      <c r="BH129" s="512">
        <v>9.9663816394531963</v>
      </c>
      <c r="BI129" s="513">
        <v>0</v>
      </c>
      <c r="BJ129" s="514">
        <v>375</v>
      </c>
      <c r="BK129" s="515">
        <v>0.22366666666666665</v>
      </c>
      <c r="BL129" s="512">
        <v>0.16113948959411251</v>
      </c>
      <c r="BM129" s="516">
        <v>6.4108143749999999E-2</v>
      </c>
      <c r="BN129" s="517">
        <v>375</v>
      </c>
      <c r="BO129" s="518">
        <v>397.50000000000011</v>
      </c>
      <c r="BP129" s="518">
        <v>421.34999999999991</v>
      </c>
      <c r="BQ129" s="518">
        <v>446.63099999999997</v>
      </c>
      <c r="BR129" s="518">
        <v>473.42885999999999</v>
      </c>
      <c r="BS129" s="518">
        <v>501.83459160000012</v>
      </c>
      <c r="BT129" s="518">
        <v>531.9446670960001</v>
      </c>
      <c r="BU129" s="518">
        <v>563.86134712175999</v>
      </c>
      <c r="BV129" s="518">
        <v>597.69302794906582</v>
      </c>
      <c r="BW129" s="518">
        <v>633.55460962600955</v>
      </c>
      <c r="BX129" s="518">
        <v>671.56788620357008</v>
      </c>
      <c r="BY129" s="518">
        <v>711.86195937578441</v>
      </c>
      <c r="BZ129" s="518">
        <v>754.57367693833146</v>
      </c>
      <c r="CA129" s="518">
        <v>799.84809755463141</v>
      </c>
      <c r="CB129" s="518">
        <v>847.83898340790915</v>
      </c>
      <c r="CC129" s="518">
        <v>898.70932241238381</v>
      </c>
      <c r="CD129" s="518">
        <v>952.63188175712685</v>
      </c>
      <c r="CE129" s="518">
        <v>1009.7897946625544</v>
      </c>
      <c r="CF129" s="518">
        <v>1070.3771823423076</v>
      </c>
      <c r="CG129" s="519">
        <v>1134.5998132828461</v>
      </c>
      <c r="CH129" s="520">
        <v>9.8550000000000004</v>
      </c>
      <c r="CI129" s="521">
        <v>10.052100000000001</v>
      </c>
      <c r="CJ129" s="521">
        <v>10.253142</v>
      </c>
      <c r="CK129" s="521">
        <v>10.458204840000001</v>
      </c>
      <c r="CL129" s="521">
        <v>2.5</v>
      </c>
      <c r="CM129" s="521">
        <v>2.5499999999999998</v>
      </c>
      <c r="CN129" s="521">
        <v>2.601</v>
      </c>
      <c r="CO129" s="521">
        <v>2.6530200000000002</v>
      </c>
      <c r="CP129" s="521">
        <v>2.7060804000000003</v>
      </c>
      <c r="CQ129" s="521">
        <v>2.7602020080000003</v>
      </c>
      <c r="CR129" s="521">
        <v>2.8154060481600003</v>
      </c>
      <c r="CS129" s="521">
        <v>2.8717141691232002</v>
      </c>
      <c r="CT129" s="521">
        <v>2.5</v>
      </c>
      <c r="CU129" s="521">
        <v>2.5499999999999998</v>
      </c>
      <c r="CV129" s="521">
        <v>2.601</v>
      </c>
      <c r="CW129" s="521">
        <v>2.6530200000000002</v>
      </c>
      <c r="CX129" s="521">
        <v>2.7060804000000003</v>
      </c>
      <c r="CY129" s="521">
        <v>2.7602020080000003</v>
      </c>
      <c r="CZ129" s="521">
        <v>2.8154060481600003</v>
      </c>
      <c r="DA129" s="522">
        <v>2.8717141691232002</v>
      </c>
      <c r="DB129" s="523">
        <v>0</v>
      </c>
      <c r="DC129" s="524">
        <v>0</v>
      </c>
      <c r="DD129" s="524">
        <v>0</v>
      </c>
      <c r="DE129" s="524">
        <v>0</v>
      </c>
      <c r="DF129" s="524">
        <v>-2.8466356118461933E-2</v>
      </c>
      <c r="DG129" s="524">
        <v>2.6018803868798165E-2</v>
      </c>
      <c r="DH129" s="524">
        <v>2.8658671863486251E-2</v>
      </c>
      <c r="DI129" s="524">
        <v>3.1565177642626382E-2</v>
      </c>
      <c r="DJ129" s="524">
        <v>3.4765069670344317E-2</v>
      </c>
      <c r="DK129" s="524">
        <v>0.8066922141010634</v>
      </c>
      <c r="DL129" s="524">
        <v>3.5265467585003929E-3</v>
      </c>
      <c r="DM129" s="524">
        <v>3.5220104313139489E-3</v>
      </c>
      <c r="DN129" s="524">
        <v>-4.7761041590940995E-2</v>
      </c>
      <c r="DO129" s="524">
        <v>4.3895066901790958E-3</v>
      </c>
      <c r="DP129" s="524">
        <v>4.4498729687108829E-3</v>
      </c>
      <c r="DQ129" s="524">
        <v>4.5068839235150315E-3</v>
      </c>
      <c r="DR129" s="524">
        <v>4.5596823060067571E-3</v>
      </c>
      <c r="DS129" s="524">
        <v>0.11233744599209169</v>
      </c>
      <c r="DT129" s="524">
        <v>5.2016568820590636E-3</v>
      </c>
      <c r="DU129" s="525">
        <v>5.3047406572524769E-3</v>
      </c>
      <c r="DV129" s="526">
        <v>3.4</v>
      </c>
      <c r="DW129" s="507">
        <v>1</v>
      </c>
      <c r="DX129" s="509">
        <v>9.8550000000000004</v>
      </c>
      <c r="DY129" s="507">
        <v>2</v>
      </c>
      <c r="DZ129" s="507">
        <v>15</v>
      </c>
      <c r="EA129" s="507">
        <v>0</v>
      </c>
      <c r="EB129" s="507">
        <v>0</v>
      </c>
      <c r="EC129" s="507">
        <v>111.62500000000001</v>
      </c>
      <c r="ED129" s="507">
        <v>102.18750000000001</v>
      </c>
      <c r="EE129" s="507">
        <v>0</v>
      </c>
      <c r="EF129" s="507">
        <v>25.062499999999996</v>
      </c>
      <c r="EG129" s="507">
        <v>29.3125</v>
      </c>
      <c r="EH129" s="507">
        <v>12.8125</v>
      </c>
      <c r="EI129" s="507">
        <v>16.6875</v>
      </c>
      <c r="EJ129" s="507">
        <v>56.4375</v>
      </c>
      <c r="EK129" s="507">
        <v>10.4375</v>
      </c>
      <c r="EL129" s="507">
        <v>10.4375</v>
      </c>
      <c r="EM129" s="508">
        <v>375</v>
      </c>
    </row>
    <row r="130" spans="2:143" x14ac:dyDescent="0.25">
      <c r="B130" s="506" t="str">
        <f>[1]RONET_Input!J101</f>
        <v xml:space="preserve">Input VPROMMS: 217b_1 (46.67 pct); 217B_1 (46.67 pct); 214tt00078 (6.67 pct); </v>
      </c>
      <c r="C130" s="359">
        <f>[1]RONET_Input!B101</f>
        <v>99</v>
      </c>
      <c r="D130" s="397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442">
        <f>[1]RONET_Input!K101</f>
        <v>0.34134279319600003</v>
      </c>
      <c r="Q130" s="398">
        <f>[1]RONET_Input!Y101</f>
        <v>2</v>
      </c>
      <c r="R130" s="398">
        <f>[1]RONET_Input!X101</f>
        <v>3.5</v>
      </c>
      <c r="S130" s="398"/>
      <c r="T130" s="398"/>
      <c r="U130" s="398">
        <f>[1]RONET_Input!AA101</f>
        <v>8</v>
      </c>
      <c r="V130" s="398">
        <f>[1]RONET_Input!AC101</f>
        <v>1</v>
      </c>
      <c r="W130" s="398">
        <f>[1]RONET_Input!AD101</f>
        <v>1</v>
      </c>
      <c r="X130" s="398">
        <f>[1]RONET_Input!AE101</f>
        <v>4</v>
      </c>
      <c r="Y130" s="398">
        <f>[1]RONET_Input!AB101</f>
        <v>1</v>
      </c>
      <c r="Z130" s="438">
        <f>[1]RONET_Input!Z101</f>
        <v>1</v>
      </c>
      <c r="AA130" s="442"/>
      <c r="AB130" s="398"/>
      <c r="AC130" s="438"/>
      <c r="AD130" s="442">
        <f>[1]RONET_Input!AH101</f>
        <v>4</v>
      </c>
      <c r="AE130" s="398">
        <f>[1]RONET_Input!D101</f>
        <v>8.61</v>
      </c>
      <c r="AF130" s="398"/>
      <c r="AG130" s="398"/>
      <c r="AH130" s="398"/>
      <c r="AI130" s="438"/>
      <c r="AJ130" s="442">
        <v>1</v>
      </c>
      <c r="AK130" s="442">
        <f>[1]RONET_Input!AF101</f>
        <v>4</v>
      </c>
      <c r="AL130" s="507"/>
      <c r="AM130" s="507"/>
      <c r="AN130" s="507"/>
      <c r="AO130" s="507"/>
      <c r="AP130" s="507"/>
      <c r="AQ130" s="507"/>
      <c r="AR130" s="507"/>
      <c r="AS130" s="507"/>
      <c r="AT130" s="507"/>
      <c r="AU130" s="507"/>
      <c r="AV130" s="507"/>
      <c r="AW130" s="507"/>
      <c r="AX130" s="508"/>
      <c r="AY130" s="509">
        <f>[1]RONET_Input!AG101</f>
        <v>3</v>
      </c>
      <c r="AZ130" s="359" t="s">
        <v>321</v>
      </c>
      <c r="BA130" s="360" t="s">
        <v>502</v>
      </c>
      <c r="BB130" s="360" t="s">
        <v>443</v>
      </c>
      <c r="BC130" s="510">
        <v>1.7084206799459802E-2</v>
      </c>
      <c r="BD130" s="510">
        <v>5.0049999999999997E-2</v>
      </c>
      <c r="BE130" s="438">
        <v>5</v>
      </c>
      <c r="BF130" s="511">
        <v>0.15127582696063815</v>
      </c>
      <c r="BG130" s="512">
        <v>0.44317861685093535</v>
      </c>
      <c r="BH130" s="512">
        <v>8.8547176193993078</v>
      </c>
      <c r="BI130" s="513">
        <v>0</v>
      </c>
      <c r="BJ130" s="514">
        <v>375</v>
      </c>
      <c r="BK130" s="515">
        <v>0.22366666666666665</v>
      </c>
      <c r="BL130" s="512">
        <v>4.6721294818702519E-2</v>
      </c>
      <c r="BM130" s="516">
        <v>3.2054071874999999E-2</v>
      </c>
      <c r="BN130" s="517">
        <v>375</v>
      </c>
      <c r="BO130" s="518">
        <v>397.50000000000011</v>
      </c>
      <c r="BP130" s="518">
        <v>421.34999999999991</v>
      </c>
      <c r="BQ130" s="518">
        <v>446.63099999999997</v>
      </c>
      <c r="BR130" s="518">
        <v>473.42885999999999</v>
      </c>
      <c r="BS130" s="518">
        <v>501.83459160000012</v>
      </c>
      <c r="BT130" s="518">
        <v>531.9446670960001</v>
      </c>
      <c r="BU130" s="518">
        <v>563.86134712175999</v>
      </c>
      <c r="BV130" s="518">
        <v>597.69302794906582</v>
      </c>
      <c r="BW130" s="518">
        <v>633.55460962600955</v>
      </c>
      <c r="BX130" s="518">
        <v>671.56788620357008</v>
      </c>
      <c r="BY130" s="518">
        <v>711.86195937578441</v>
      </c>
      <c r="BZ130" s="518">
        <v>754.57367693833146</v>
      </c>
      <c r="CA130" s="518">
        <v>799.84809755463141</v>
      </c>
      <c r="CB130" s="518">
        <v>847.83898340790915</v>
      </c>
      <c r="CC130" s="518">
        <v>898.70932241238381</v>
      </c>
      <c r="CD130" s="518">
        <v>952.63188175712685</v>
      </c>
      <c r="CE130" s="518">
        <v>1009.7897946625544</v>
      </c>
      <c r="CF130" s="518">
        <v>1070.3771823423076</v>
      </c>
      <c r="CG130" s="519">
        <v>1134.5998132828461</v>
      </c>
      <c r="CH130" s="520">
        <v>8.61</v>
      </c>
      <c r="CI130" s="521">
        <v>8.7821999999999996</v>
      </c>
      <c r="CJ130" s="521">
        <v>8.9578439999999997</v>
      </c>
      <c r="CK130" s="521">
        <v>9.1370008800000004</v>
      </c>
      <c r="CL130" s="521">
        <v>2.5</v>
      </c>
      <c r="CM130" s="521">
        <v>2.5499999999999998</v>
      </c>
      <c r="CN130" s="521">
        <v>2.601</v>
      </c>
      <c r="CO130" s="521">
        <v>2.6530200000000002</v>
      </c>
      <c r="CP130" s="521">
        <v>2.7060804000000003</v>
      </c>
      <c r="CQ130" s="521">
        <v>2.7602020080000003</v>
      </c>
      <c r="CR130" s="521">
        <v>2.8154060481600003</v>
      </c>
      <c r="CS130" s="521">
        <v>2.8717141691232002</v>
      </c>
      <c r="CT130" s="521">
        <v>2.5</v>
      </c>
      <c r="CU130" s="521">
        <v>2.5499999999999998</v>
      </c>
      <c r="CV130" s="521">
        <v>2.601</v>
      </c>
      <c r="CW130" s="521">
        <v>2.6530200000000002</v>
      </c>
      <c r="CX130" s="521">
        <v>2.7060804000000003</v>
      </c>
      <c r="CY130" s="521">
        <v>2.7602020080000003</v>
      </c>
      <c r="CZ130" s="521">
        <v>2.8154060481600003</v>
      </c>
      <c r="DA130" s="522">
        <v>2.8717141691232002</v>
      </c>
      <c r="DB130" s="523">
        <v>0</v>
      </c>
      <c r="DC130" s="524">
        <v>0</v>
      </c>
      <c r="DD130" s="524">
        <v>0</v>
      </c>
      <c r="DE130" s="524">
        <v>0</v>
      </c>
      <c r="DF130" s="524">
        <v>-1.0666703469446662E-2</v>
      </c>
      <c r="DG130" s="524">
        <v>5.3890959971103734E-3</v>
      </c>
      <c r="DH130" s="524">
        <v>5.9509070004085708E-3</v>
      </c>
      <c r="DI130" s="524">
        <v>6.5707684861574453E-3</v>
      </c>
      <c r="DJ130" s="524">
        <v>7.2546443556208151E-3</v>
      </c>
      <c r="DK130" s="524">
        <v>0.2329457630993694</v>
      </c>
      <c r="DL130" s="524">
        <v>5.8738945991565483E-5</v>
      </c>
      <c r="DM130" s="524">
        <v>4.2310540723046464E-5</v>
      </c>
      <c r="DN130" s="524">
        <v>-1.5331006985587717E-2</v>
      </c>
      <c r="DO130" s="524">
        <v>2.1437522514259483E-4</v>
      </c>
      <c r="DP130" s="524">
        <v>2.1163543390616268E-4</v>
      </c>
      <c r="DQ130" s="524">
        <v>2.0717071655693836E-4</v>
      </c>
      <c r="DR130" s="524">
        <v>2.0072203792215193E-4</v>
      </c>
      <c r="DS130" s="524">
        <v>3.142762035005553E-2</v>
      </c>
      <c r="DT130" s="524">
        <v>3.4102362296918598E-4</v>
      </c>
      <c r="DU130" s="525">
        <v>3.468240295377012E-4</v>
      </c>
      <c r="DV130" s="526">
        <v>3.5</v>
      </c>
      <c r="DW130" s="507">
        <v>1</v>
      </c>
      <c r="DX130" s="509">
        <v>8.61</v>
      </c>
      <c r="DY130" s="507">
        <v>2</v>
      </c>
      <c r="DZ130" s="507">
        <v>15</v>
      </c>
      <c r="EA130" s="507">
        <v>0</v>
      </c>
      <c r="EB130" s="507">
        <v>0</v>
      </c>
      <c r="EC130" s="507">
        <v>111.62500000000001</v>
      </c>
      <c r="ED130" s="507">
        <v>102.18750000000001</v>
      </c>
      <c r="EE130" s="507">
        <v>0</v>
      </c>
      <c r="EF130" s="507">
        <v>25.062499999999996</v>
      </c>
      <c r="EG130" s="507">
        <v>29.3125</v>
      </c>
      <c r="EH130" s="507">
        <v>12.8125</v>
      </c>
      <c r="EI130" s="507">
        <v>16.6875</v>
      </c>
      <c r="EJ130" s="507">
        <v>56.4375</v>
      </c>
      <c r="EK130" s="507">
        <v>10.4375</v>
      </c>
      <c r="EL130" s="507">
        <v>10.4375</v>
      </c>
      <c r="EM130" s="508">
        <v>375</v>
      </c>
    </row>
    <row r="131" spans="2:143" x14ac:dyDescent="0.25">
      <c r="B131" s="506" t="str">
        <f>[1]RONET_Input!J102</f>
        <v xml:space="preserve">Input VPROMMS: 214tt00080 (52.38 pct); 214tt00078 (42.26 pct); 214tt00024 (5.36 pct); </v>
      </c>
      <c r="C131" s="359">
        <f>[1]RONET_Input!B102</f>
        <v>100</v>
      </c>
      <c r="D131" s="397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442">
        <f>[1]RONET_Input!K102</f>
        <v>5.6062003493099999</v>
      </c>
      <c r="Q131" s="398">
        <f>[1]RONET_Input!Y102</f>
        <v>2</v>
      </c>
      <c r="R131" s="398">
        <f>[1]RONET_Input!X102</f>
        <v>3.5</v>
      </c>
      <c r="S131" s="398"/>
      <c r="T131" s="398"/>
      <c r="U131" s="398">
        <f>[1]RONET_Input!AA102</f>
        <v>8</v>
      </c>
      <c r="V131" s="398">
        <f>[1]RONET_Input!AC102</f>
        <v>1</v>
      </c>
      <c r="W131" s="398">
        <f>[1]RONET_Input!AD102</f>
        <v>1</v>
      </c>
      <c r="X131" s="398">
        <f>[1]RONET_Input!AE102</f>
        <v>4</v>
      </c>
      <c r="Y131" s="398">
        <f>[1]RONET_Input!AB102</f>
        <v>1</v>
      </c>
      <c r="Z131" s="438">
        <f>[1]RONET_Input!Z102</f>
        <v>1</v>
      </c>
      <c r="AA131" s="442"/>
      <c r="AB131" s="398"/>
      <c r="AC131" s="438"/>
      <c r="AD131" s="442">
        <f>[1]RONET_Input!AH102</f>
        <v>4</v>
      </c>
      <c r="AE131" s="398">
        <f>[1]RONET_Input!D102</f>
        <v>10.9</v>
      </c>
      <c r="AF131" s="398"/>
      <c r="AG131" s="398"/>
      <c r="AH131" s="398"/>
      <c r="AI131" s="438"/>
      <c r="AJ131" s="442">
        <v>1</v>
      </c>
      <c r="AK131" s="442">
        <f>[1]RONET_Input!AF102</f>
        <v>4</v>
      </c>
      <c r="AL131" s="507"/>
      <c r="AM131" s="507"/>
      <c r="AN131" s="507"/>
      <c r="AO131" s="507"/>
      <c r="AP131" s="507"/>
      <c r="AQ131" s="507"/>
      <c r="AR131" s="507"/>
      <c r="AS131" s="507"/>
      <c r="AT131" s="507"/>
      <c r="AU131" s="507"/>
      <c r="AV131" s="507"/>
      <c r="AW131" s="507"/>
      <c r="AX131" s="508"/>
      <c r="AY131" s="509">
        <f>[1]RONET_Input!AG102</f>
        <v>3</v>
      </c>
      <c r="AZ131" s="359" t="s">
        <v>321</v>
      </c>
      <c r="BA131" s="360" t="s">
        <v>502</v>
      </c>
      <c r="BB131" s="360" t="s">
        <v>443</v>
      </c>
      <c r="BC131" s="510">
        <v>0.28059032748296553</v>
      </c>
      <c r="BD131" s="510">
        <v>5.0050000000000004E-2</v>
      </c>
      <c r="BE131" s="438">
        <v>5</v>
      </c>
      <c r="BF131" s="511">
        <v>2.7121258090691933</v>
      </c>
      <c r="BG131" s="512">
        <v>0.48377254469740749</v>
      </c>
      <c r="BH131" s="512">
        <v>9.6657851088393087</v>
      </c>
      <c r="BI131" s="513">
        <v>0</v>
      </c>
      <c r="BJ131" s="514">
        <v>375</v>
      </c>
      <c r="BK131" s="515">
        <v>0.22366666666666665</v>
      </c>
      <c r="BL131" s="512">
        <v>0.76734867281180641</v>
      </c>
      <c r="BM131" s="516">
        <v>3.2054071874999999E-2</v>
      </c>
      <c r="BN131" s="517">
        <v>375</v>
      </c>
      <c r="BO131" s="518">
        <v>397.50000000000011</v>
      </c>
      <c r="BP131" s="518">
        <v>421.34999999999991</v>
      </c>
      <c r="BQ131" s="518">
        <v>446.63099999999997</v>
      </c>
      <c r="BR131" s="518">
        <v>473.42885999999999</v>
      </c>
      <c r="BS131" s="518">
        <v>501.83459160000012</v>
      </c>
      <c r="BT131" s="518">
        <v>531.9446670960001</v>
      </c>
      <c r="BU131" s="518">
        <v>563.86134712175999</v>
      </c>
      <c r="BV131" s="518">
        <v>597.69302794906582</v>
      </c>
      <c r="BW131" s="518">
        <v>633.55460962600955</v>
      </c>
      <c r="BX131" s="518">
        <v>671.56788620357008</v>
      </c>
      <c r="BY131" s="518">
        <v>711.86195937578441</v>
      </c>
      <c r="BZ131" s="518">
        <v>754.57367693833146</v>
      </c>
      <c r="CA131" s="518">
        <v>799.84809755463141</v>
      </c>
      <c r="CB131" s="518">
        <v>847.83898340790915</v>
      </c>
      <c r="CC131" s="518">
        <v>898.70932241238381</v>
      </c>
      <c r="CD131" s="518">
        <v>952.63188175712685</v>
      </c>
      <c r="CE131" s="518">
        <v>1009.7897946625544</v>
      </c>
      <c r="CF131" s="518">
        <v>1070.3771823423076</v>
      </c>
      <c r="CG131" s="519">
        <v>1134.5998132828461</v>
      </c>
      <c r="CH131" s="520">
        <v>10.9</v>
      </c>
      <c r="CI131" s="521">
        <v>11.118</v>
      </c>
      <c r="CJ131" s="521">
        <v>11.34036</v>
      </c>
      <c r="CK131" s="521">
        <v>11.5671672</v>
      </c>
      <c r="CL131" s="521">
        <v>2.5</v>
      </c>
      <c r="CM131" s="521">
        <v>2.5499999999999998</v>
      </c>
      <c r="CN131" s="521">
        <v>2.601</v>
      </c>
      <c r="CO131" s="521">
        <v>2.6530200000000002</v>
      </c>
      <c r="CP131" s="521">
        <v>2.7060804000000003</v>
      </c>
      <c r="CQ131" s="521">
        <v>2.7602020080000003</v>
      </c>
      <c r="CR131" s="521">
        <v>2.8154060481600003</v>
      </c>
      <c r="CS131" s="521">
        <v>2.8717141691232002</v>
      </c>
      <c r="CT131" s="521">
        <v>2.5</v>
      </c>
      <c r="CU131" s="521">
        <v>2.5499999999999998</v>
      </c>
      <c r="CV131" s="521">
        <v>2.601</v>
      </c>
      <c r="CW131" s="521">
        <v>2.6530200000000002</v>
      </c>
      <c r="CX131" s="521">
        <v>2.7060804000000003</v>
      </c>
      <c r="CY131" s="521">
        <v>2.7602020080000003</v>
      </c>
      <c r="CZ131" s="521">
        <v>2.8154060481600003</v>
      </c>
      <c r="DA131" s="522">
        <v>2.8717141691232002</v>
      </c>
      <c r="DB131" s="523">
        <v>0</v>
      </c>
      <c r="DC131" s="524">
        <v>0</v>
      </c>
      <c r="DD131" s="524">
        <v>0</v>
      </c>
      <c r="DE131" s="524">
        <v>0</v>
      </c>
      <c r="DF131" s="524">
        <v>-0.12213190122679773</v>
      </c>
      <c r="DG131" s="524">
        <v>0.14700137229481836</v>
      </c>
      <c r="DH131" s="524">
        <v>0.16221195860969551</v>
      </c>
      <c r="DI131" s="524">
        <v>0.17897911149532408</v>
      </c>
      <c r="DJ131" s="524">
        <v>0.19745815253791454</v>
      </c>
      <c r="DK131" s="524">
        <v>3.8258918731824365</v>
      </c>
      <c r="DL131" s="524">
        <v>9.6472609382725061E-4</v>
      </c>
      <c r="DM131" s="524">
        <v>6.9490662439386508E-4</v>
      </c>
      <c r="DN131" s="524">
        <v>-0.25179584403448596</v>
      </c>
      <c r="DO131" s="524">
        <v>3.5208901023660033E-3</v>
      </c>
      <c r="DP131" s="524">
        <v>3.4758918809510986E-3</v>
      </c>
      <c r="DQ131" s="524">
        <v>3.4025635422200162E-3</v>
      </c>
      <c r="DR131" s="524">
        <v>3.296650702882209E-3</v>
      </c>
      <c r="DS131" s="524">
        <v>0.51616597653870733</v>
      </c>
      <c r="DT131" s="524">
        <v>5.600958310302051E-3</v>
      </c>
      <c r="DU131" s="525">
        <v>5.6962239552158511E-3</v>
      </c>
      <c r="DV131" s="526">
        <v>3.5</v>
      </c>
      <c r="DW131" s="507">
        <v>1</v>
      </c>
      <c r="DX131" s="509">
        <v>10.9</v>
      </c>
      <c r="DY131" s="507">
        <v>2</v>
      </c>
      <c r="DZ131" s="507">
        <v>15</v>
      </c>
      <c r="EA131" s="507">
        <v>0</v>
      </c>
      <c r="EB131" s="507">
        <v>0</v>
      </c>
      <c r="EC131" s="507">
        <v>111.62500000000001</v>
      </c>
      <c r="ED131" s="507">
        <v>102.18750000000001</v>
      </c>
      <c r="EE131" s="507">
        <v>0</v>
      </c>
      <c r="EF131" s="507">
        <v>25.062499999999996</v>
      </c>
      <c r="EG131" s="507">
        <v>29.3125</v>
      </c>
      <c r="EH131" s="507">
        <v>12.8125</v>
      </c>
      <c r="EI131" s="507">
        <v>16.6875</v>
      </c>
      <c r="EJ131" s="507">
        <v>56.4375</v>
      </c>
      <c r="EK131" s="507">
        <v>10.4375</v>
      </c>
      <c r="EL131" s="507">
        <v>10.4375</v>
      </c>
      <c r="EM131" s="508">
        <v>375</v>
      </c>
    </row>
    <row r="132" spans="2:143" x14ac:dyDescent="0.25">
      <c r="B132" s="506" t="str">
        <f>[1]RONET_Input!J103</f>
        <v xml:space="preserve">Input VPROMMS: 212th00023 (64.52 pct); 212TH00023 (32.26 pct); 214TT00058 (3.23 pct); </v>
      </c>
      <c r="C132" s="359">
        <f>[1]RONET_Input!B103</f>
        <v>101</v>
      </c>
      <c r="D132" s="397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442">
        <f>[1]RONET_Input!K103</f>
        <v>0.38592723878599999</v>
      </c>
      <c r="Q132" s="398">
        <f>[1]RONET_Input!Y103</f>
        <v>2</v>
      </c>
      <c r="R132" s="398">
        <f>[1]RONET_Input!X103</f>
        <v>3.5</v>
      </c>
      <c r="S132" s="398"/>
      <c r="T132" s="398"/>
      <c r="U132" s="398">
        <f>[1]RONET_Input!AA103</f>
        <v>8</v>
      </c>
      <c r="V132" s="398">
        <f>[1]RONET_Input!AC103</f>
        <v>1</v>
      </c>
      <c r="W132" s="398">
        <f>[1]RONET_Input!AD103</f>
        <v>1</v>
      </c>
      <c r="X132" s="398">
        <f>[1]RONET_Input!AE103</f>
        <v>4</v>
      </c>
      <c r="Y132" s="398">
        <f>[1]RONET_Input!AB103</f>
        <v>1</v>
      </c>
      <c r="Z132" s="438">
        <f>[1]RONET_Input!Z103</f>
        <v>1</v>
      </c>
      <c r="AA132" s="442"/>
      <c r="AB132" s="398"/>
      <c r="AC132" s="438"/>
      <c r="AD132" s="442">
        <f>[1]RONET_Input!AH103</f>
        <v>3</v>
      </c>
      <c r="AE132" s="398">
        <f>[1]RONET_Input!D103</f>
        <v>6.03</v>
      </c>
      <c r="AF132" s="398"/>
      <c r="AG132" s="398"/>
      <c r="AH132" s="398"/>
      <c r="AI132" s="438"/>
      <c r="AJ132" s="442">
        <v>1</v>
      </c>
      <c r="AK132" s="442">
        <f>[1]RONET_Input!AF103</f>
        <v>4</v>
      </c>
      <c r="AL132" s="507"/>
      <c r="AM132" s="507"/>
      <c r="AN132" s="507"/>
      <c r="AO132" s="507"/>
      <c r="AP132" s="507"/>
      <c r="AQ132" s="507"/>
      <c r="AR132" s="507"/>
      <c r="AS132" s="507"/>
      <c r="AT132" s="507"/>
      <c r="AU132" s="507"/>
      <c r="AV132" s="507"/>
      <c r="AW132" s="507"/>
      <c r="AX132" s="508"/>
      <c r="AY132" s="509">
        <f>[1]RONET_Input!AG103</f>
        <v>3</v>
      </c>
      <c r="AZ132" s="359" t="s">
        <v>321</v>
      </c>
      <c r="BA132" s="360" t="s">
        <v>502</v>
      </c>
      <c r="BB132" s="360" t="s">
        <v>443</v>
      </c>
      <c r="BC132" s="510">
        <v>1.9315658301239304E-2</v>
      </c>
      <c r="BD132" s="510">
        <v>5.0050000000000011E-2</v>
      </c>
      <c r="BE132" s="438">
        <v>5</v>
      </c>
      <c r="BF132" s="511">
        <v>0.15777104317455234</v>
      </c>
      <c r="BG132" s="512">
        <v>0.4088103334474345</v>
      </c>
      <c r="BH132" s="512">
        <v>8.168038630318371</v>
      </c>
      <c r="BI132" s="513">
        <v>0</v>
      </c>
      <c r="BJ132" s="514">
        <v>375</v>
      </c>
      <c r="BK132" s="515">
        <v>0.22366666666666665</v>
      </c>
      <c r="BL132" s="512">
        <v>5.2823790808833752E-2</v>
      </c>
      <c r="BM132" s="516">
        <v>3.2054071874999999E-2</v>
      </c>
      <c r="BN132" s="517">
        <v>375</v>
      </c>
      <c r="BO132" s="518">
        <v>397.50000000000011</v>
      </c>
      <c r="BP132" s="518">
        <v>421.34999999999991</v>
      </c>
      <c r="BQ132" s="518">
        <v>446.63099999999997</v>
      </c>
      <c r="BR132" s="518">
        <v>473.42885999999999</v>
      </c>
      <c r="BS132" s="518">
        <v>501.83459160000012</v>
      </c>
      <c r="BT132" s="518">
        <v>531.9446670960001</v>
      </c>
      <c r="BU132" s="518">
        <v>563.86134712175999</v>
      </c>
      <c r="BV132" s="518">
        <v>597.69302794906582</v>
      </c>
      <c r="BW132" s="518">
        <v>633.55460962600955</v>
      </c>
      <c r="BX132" s="518">
        <v>671.56788620357008</v>
      </c>
      <c r="BY132" s="518">
        <v>711.86195937578441</v>
      </c>
      <c r="BZ132" s="518">
        <v>754.57367693833146</v>
      </c>
      <c r="CA132" s="518">
        <v>799.84809755463141</v>
      </c>
      <c r="CB132" s="518">
        <v>847.83898340790915</v>
      </c>
      <c r="CC132" s="518">
        <v>898.70932241238381</v>
      </c>
      <c r="CD132" s="518">
        <v>952.63188175712685</v>
      </c>
      <c r="CE132" s="518">
        <v>1009.7897946625544</v>
      </c>
      <c r="CF132" s="518">
        <v>1070.3771823423076</v>
      </c>
      <c r="CG132" s="519">
        <v>1134.5998132828461</v>
      </c>
      <c r="CH132" s="520">
        <v>6.03</v>
      </c>
      <c r="CI132" s="521">
        <v>6.1505999999999998</v>
      </c>
      <c r="CJ132" s="521">
        <v>6.273612</v>
      </c>
      <c r="CK132" s="521">
        <v>6.3990842399999996</v>
      </c>
      <c r="CL132" s="521">
        <v>2.5</v>
      </c>
      <c r="CM132" s="521">
        <v>2.5499999999999998</v>
      </c>
      <c r="CN132" s="521">
        <v>2.601</v>
      </c>
      <c r="CO132" s="521">
        <v>2.6530200000000002</v>
      </c>
      <c r="CP132" s="521">
        <v>2.7060804000000003</v>
      </c>
      <c r="CQ132" s="521">
        <v>2.7602020080000003</v>
      </c>
      <c r="CR132" s="521">
        <v>2.8154060481600003</v>
      </c>
      <c r="CS132" s="521">
        <v>2.8717141691232002</v>
      </c>
      <c r="CT132" s="521">
        <v>2.5</v>
      </c>
      <c r="CU132" s="521">
        <v>2.5499999999999998</v>
      </c>
      <c r="CV132" s="521">
        <v>2.601</v>
      </c>
      <c r="CW132" s="521">
        <v>2.6530200000000002</v>
      </c>
      <c r="CX132" s="521">
        <v>2.7060804000000003</v>
      </c>
      <c r="CY132" s="521">
        <v>2.7602020080000003</v>
      </c>
      <c r="CZ132" s="521">
        <v>2.8154060481600003</v>
      </c>
      <c r="DA132" s="522">
        <v>2.8717141691232002</v>
      </c>
      <c r="DB132" s="523">
        <v>0</v>
      </c>
      <c r="DC132" s="524">
        <v>0</v>
      </c>
      <c r="DD132" s="524">
        <v>0</v>
      </c>
      <c r="DE132" s="524">
        <v>0</v>
      </c>
      <c r="DF132" s="524">
        <v>-1.5147852589451234E-2</v>
      </c>
      <c r="DG132" s="524">
        <v>2.6867869279004961E-3</v>
      </c>
      <c r="DH132" s="524">
        <v>2.9710367336601637E-3</v>
      </c>
      <c r="DI132" s="524">
        <v>3.2849191507367606E-3</v>
      </c>
      <c r="DJ132" s="524">
        <v>3.6314919442992713E-3</v>
      </c>
      <c r="DK132" s="524">
        <v>0.26337194436742195</v>
      </c>
      <c r="DL132" s="524">
        <v>6.6411125963658502E-5</v>
      </c>
      <c r="DM132" s="524">
        <v>4.7836926627041476E-5</v>
      </c>
      <c r="DN132" s="524">
        <v>-1.7333464516297498E-2</v>
      </c>
      <c r="DO132" s="524">
        <v>2.4237581795349267E-4</v>
      </c>
      <c r="DP132" s="524">
        <v>2.3927816923260958E-4</v>
      </c>
      <c r="DQ132" s="524">
        <v>2.3423029339372098E-4</v>
      </c>
      <c r="DR132" s="524">
        <v>2.2693932141791551E-4</v>
      </c>
      <c r="DS132" s="524">
        <v>3.5532534991436784E-2</v>
      </c>
      <c r="DT132" s="524">
        <v>3.8556638018054368E-4</v>
      </c>
      <c r="DU132" s="525">
        <v>3.9212440611648136E-4</v>
      </c>
      <c r="DV132" s="526">
        <v>3.5</v>
      </c>
      <c r="DW132" s="507">
        <v>1</v>
      </c>
      <c r="DX132" s="509">
        <v>6.03</v>
      </c>
      <c r="DY132" s="507">
        <v>2</v>
      </c>
      <c r="DZ132" s="507">
        <v>10</v>
      </c>
      <c r="EA132" s="507">
        <v>0</v>
      </c>
      <c r="EB132" s="507">
        <v>0</v>
      </c>
      <c r="EC132" s="507">
        <v>111.62500000000001</v>
      </c>
      <c r="ED132" s="507">
        <v>102.18750000000001</v>
      </c>
      <c r="EE132" s="507">
        <v>0</v>
      </c>
      <c r="EF132" s="507">
        <v>25.062499999999996</v>
      </c>
      <c r="EG132" s="507">
        <v>29.3125</v>
      </c>
      <c r="EH132" s="507">
        <v>12.8125</v>
      </c>
      <c r="EI132" s="507">
        <v>16.6875</v>
      </c>
      <c r="EJ132" s="507">
        <v>56.4375</v>
      </c>
      <c r="EK132" s="507">
        <v>10.4375</v>
      </c>
      <c r="EL132" s="507">
        <v>10.4375</v>
      </c>
      <c r="EM132" s="508">
        <v>375</v>
      </c>
    </row>
    <row r="133" spans="2:143" x14ac:dyDescent="0.25">
      <c r="B133" s="506" t="str">
        <f>[1]RONET_Input!J104</f>
        <v xml:space="preserve">Input VPROMMS: 217b_1 (49.55 pct); 217B_1 (49.55 pct); 214tt00025 (0.9 pct); </v>
      </c>
      <c r="C133" s="359">
        <f>[1]RONET_Input!B104</f>
        <v>102</v>
      </c>
      <c r="D133" s="397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442">
        <f>[1]RONET_Input!K104</f>
        <v>2.6201283485300002</v>
      </c>
      <c r="Q133" s="398">
        <f>[1]RONET_Input!Y104</f>
        <v>2</v>
      </c>
      <c r="R133" s="398">
        <f>[1]RONET_Input!X104</f>
        <v>3.5</v>
      </c>
      <c r="S133" s="398"/>
      <c r="T133" s="398"/>
      <c r="U133" s="398">
        <f>[1]RONET_Input!AA104</f>
        <v>8</v>
      </c>
      <c r="V133" s="398">
        <f>[1]RONET_Input!AC104</f>
        <v>1</v>
      </c>
      <c r="W133" s="398">
        <f>[1]RONET_Input!AD104</f>
        <v>1</v>
      </c>
      <c r="X133" s="398">
        <f>[1]RONET_Input!AE104</f>
        <v>4</v>
      </c>
      <c r="Y133" s="398">
        <f>[1]RONET_Input!AB104</f>
        <v>1</v>
      </c>
      <c r="Z133" s="438">
        <f>[1]RONET_Input!Z104</f>
        <v>1</v>
      </c>
      <c r="AA133" s="442"/>
      <c r="AB133" s="398"/>
      <c r="AC133" s="438"/>
      <c r="AD133" s="442">
        <f>[1]RONET_Input!AH104</f>
        <v>3</v>
      </c>
      <c r="AE133" s="398">
        <f>[1]RONET_Input!D104</f>
        <v>6.7750000000000004</v>
      </c>
      <c r="AF133" s="398"/>
      <c r="AG133" s="398"/>
      <c r="AH133" s="398"/>
      <c r="AI133" s="438"/>
      <c r="AJ133" s="442">
        <v>1</v>
      </c>
      <c r="AK133" s="442">
        <f>[1]RONET_Input!AF104</f>
        <v>4</v>
      </c>
      <c r="AL133" s="507"/>
      <c r="AM133" s="507"/>
      <c r="AN133" s="507"/>
      <c r="AO133" s="507"/>
      <c r="AP133" s="507"/>
      <c r="AQ133" s="507"/>
      <c r="AR133" s="507"/>
      <c r="AS133" s="507"/>
      <c r="AT133" s="507"/>
      <c r="AU133" s="507"/>
      <c r="AV133" s="507"/>
      <c r="AW133" s="507"/>
      <c r="AX133" s="508"/>
      <c r="AY133" s="509">
        <f>[1]RONET_Input!AG104</f>
        <v>3</v>
      </c>
      <c r="AZ133" s="359" t="s">
        <v>321</v>
      </c>
      <c r="BA133" s="360" t="s">
        <v>502</v>
      </c>
      <c r="BB133" s="360" t="s">
        <v>443</v>
      </c>
      <c r="BC133" s="510">
        <v>0.13113742384392651</v>
      </c>
      <c r="BD133" s="510">
        <v>5.0050000000000004E-2</v>
      </c>
      <c r="BE133" s="438">
        <v>5</v>
      </c>
      <c r="BF133" s="511">
        <v>1.0938437999601287</v>
      </c>
      <c r="BG133" s="512">
        <v>0.41747718220514657</v>
      </c>
      <c r="BH133" s="512">
        <v>8.3412024416612702</v>
      </c>
      <c r="BI133" s="513">
        <v>0</v>
      </c>
      <c r="BJ133" s="514">
        <v>375</v>
      </c>
      <c r="BK133" s="515">
        <v>0.22366666666666665</v>
      </c>
      <c r="BL133" s="512">
        <v>0.3586300677050438</v>
      </c>
      <c r="BM133" s="516">
        <v>3.2054071874999999E-2</v>
      </c>
      <c r="BN133" s="517">
        <v>375</v>
      </c>
      <c r="BO133" s="518">
        <v>397.50000000000011</v>
      </c>
      <c r="BP133" s="518">
        <v>421.34999999999991</v>
      </c>
      <c r="BQ133" s="518">
        <v>446.63099999999997</v>
      </c>
      <c r="BR133" s="518">
        <v>473.42885999999999</v>
      </c>
      <c r="BS133" s="518">
        <v>501.83459160000012</v>
      </c>
      <c r="BT133" s="518">
        <v>531.9446670960001</v>
      </c>
      <c r="BU133" s="518">
        <v>563.86134712175999</v>
      </c>
      <c r="BV133" s="518">
        <v>597.69302794906582</v>
      </c>
      <c r="BW133" s="518">
        <v>633.55460962600955</v>
      </c>
      <c r="BX133" s="518">
        <v>671.56788620357008</v>
      </c>
      <c r="BY133" s="518">
        <v>711.86195937578441</v>
      </c>
      <c r="BZ133" s="518">
        <v>754.57367693833146</v>
      </c>
      <c r="CA133" s="518">
        <v>799.84809755463141</v>
      </c>
      <c r="CB133" s="518">
        <v>847.83898340790915</v>
      </c>
      <c r="CC133" s="518">
        <v>898.70932241238381</v>
      </c>
      <c r="CD133" s="518">
        <v>952.63188175712685</v>
      </c>
      <c r="CE133" s="518">
        <v>1009.7897946625544</v>
      </c>
      <c r="CF133" s="518">
        <v>1070.3771823423076</v>
      </c>
      <c r="CG133" s="519">
        <v>1134.5998132828461</v>
      </c>
      <c r="CH133" s="520">
        <v>6.7750000000000004</v>
      </c>
      <c r="CI133" s="521">
        <v>6.9105000000000008</v>
      </c>
      <c r="CJ133" s="521">
        <v>7.0487100000000007</v>
      </c>
      <c r="CK133" s="521">
        <v>7.1896842000000003</v>
      </c>
      <c r="CL133" s="521">
        <v>2.5</v>
      </c>
      <c r="CM133" s="521">
        <v>2.5499999999999998</v>
      </c>
      <c r="CN133" s="521">
        <v>2.601</v>
      </c>
      <c r="CO133" s="521">
        <v>2.6530200000000002</v>
      </c>
      <c r="CP133" s="521">
        <v>2.7060804000000003</v>
      </c>
      <c r="CQ133" s="521">
        <v>2.7602020080000003</v>
      </c>
      <c r="CR133" s="521">
        <v>2.8154060481600003</v>
      </c>
      <c r="CS133" s="521">
        <v>2.8717141691232002</v>
      </c>
      <c r="CT133" s="521">
        <v>2.5</v>
      </c>
      <c r="CU133" s="521">
        <v>2.5499999999999998</v>
      </c>
      <c r="CV133" s="521">
        <v>2.601</v>
      </c>
      <c r="CW133" s="521">
        <v>2.6530200000000002</v>
      </c>
      <c r="CX133" s="521">
        <v>2.7060804000000003</v>
      </c>
      <c r="CY133" s="521">
        <v>2.7602020080000003</v>
      </c>
      <c r="CZ133" s="521">
        <v>2.8154060481600003</v>
      </c>
      <c r="DA133" s="522">
        <v>2.8717141691232002</v>
      </c>
      <c r="DB133" s="523">
        <v>0</v>
      </c>
      <c r="DC133" s="524">
        <v>0</v>
      </c>
      <c r="DD133" s="524">
        <v>0</v>
      </c>
      <c r="DE133" s="524">
        <v>0</v>
      </c>
      <c r="DF133" s="524">
        <v>-9.7558060066378238E-2</v>
      </c>
      <c r="DG133" s="524">
        <v>2.4070939579194844E-2</v>
      </c>
      <c r="DH133" s="524">
        <v>2.6603359969287116E-2</v>
      </c>
      <c r="DI133" s="524">
        <v>2.939883281375566E-2</v>
      </c>
      <c r="DJ133" s="524">
        <v>3.2484455167721582E-2</v>
      </c>
      <c r="DK133" s="524">
        <v>1.7880787575794752</v>
      </c>
      <c r="DL133" s="524">
        <v>4.5087689156775301E-4</v>
      </c>
      <c r="DM133" s="524">
        <v>3.2477336390235312E-4</v>
      </c>
      <c r="DN133" s="524">
        <v>-0.11767995931112141</v>
      </c>
      <c r="DO133" s="524">
        <v>1.6455323382090215E-3</v>
      </c>
      <c r="DP133" s="524">
        <v>1.6245018526364619E-3</v>
      </c>
      <c r="DQ133" s="524">
        <v>1.5902309298921891E-3</v>
      </c>
      <c r="DR133" s="524">
        <v>1.5407312303575837E-3</v>
      </c>
      <c r="DS133" s="524">
        <v>0.24123667072336996</v>
      </c>
      <c r="DT133" s="524">
        <v>2.6176784155713118E-3</v>
      </c>
      <c r="DU133" s="525">
        <v>2.6622020146807035E-3</v>
      </c>
      <c r="DV133" s="526">
        <v>3.5</v>
      </c>
      <c r="DW133" s="507">
        <v>1</v>
      </c>
      <c r="DX133" s="509">
        <v>6.7750000000000004</v>
      </c>
      <c r="DY133" s="507">
        <v>2</v>
      </c>
      <c r="DZ133" s="507">
        <v>10</v>
      </c>
      <c r="EA133" s="507">
        <v>0</v>
      </c>
      <c r="EB133" s="507">
        <v>0</v>
      </c>
      <c r="EC133" s="507">
        <v>111.62500000000001</v>
      </c>
      <c r="ED133" s="507">
        <v>102.18750000000001</v>
      </c>
      <c r="EE133" s="507">
        <v>0</v>
      </c>
      <c r="EF133" s="507">
        <v>25.062499999999996</v>
      </c>
      <c r="EG133" s="507">
        <v>29.3125</v>
      </c>
      <c r="EH133" s="507">
        <v>12.8125</v>
      </c>
      <c r="EI133" s="507">
        <v>16.6875</v>
      </c>
      <c r="EJ133" s="507">
        <v>56.4375</v>
      </c>
      <c r="EK133" s="507">
        <v>10.4375</v>
      </c>
      <c r="EL133" s="507">
        <v>10.4375</v>
      </c>
      <c r="EM133" s="508">
        <v>375</v>
      </c>
    </row>
    <row r="134" spans="2:143" x14ac:dyDescent="0.25">
      <c r="B134" s="506" t="str">
        <f>[1]RONET_Input!J105</f>
        <v xml:space="preserve">Input VPROMMS: 212th00023 (66.67 pct); 212TH00023 (33.33 pct); </v>
      </c>
      <c r="C134" s="359">
        <f>[1]RONET_Input!B105</f>
        <v>103</v>
      </c>
      <c r="D134" s="397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442">
        <f>[1]RONET_Input!K105</f>
        <v>1.3750206570000001</v>
      </c>
      <c r="Q134" s="398">
        <f>[1]RONET_Input!Y105</f>
        <v>2</v>
      </c>
      <c r="R134" s="398">
        <f>[1]RONET_Input!X105</f>
        <v>3.5</v>
      </c>
      <c r="S134" s="398"/>
      <c r="T134" s="398"/>
      <c r="U134" s="398">
        <f>[1]RONET_Input!AA105</f>
        <v>8</v>
      </c>
      <c r="V134" s="398">
        <f>[1]RONET_Input!AC105</f>
        <v>1</v>
      </c>
      <c r="W134" s="398">
        <f>[1]RONET_Input!AD105</f>
        <v>1</v>
      </c>
      <c r="X134" s="398">
        <f>[1]RONET_Input!AE105</f>
        <v>4</v>
      </c>
      <c r="Y134" s="398">
        <f>[1]RONET_Input!AB105</f>
        <v>1</v>
      </c>
      <c r="Z134" s="438">
        <f>[1]RONET_Input!Z105</f>
        <v>1</v>
      </c>
      <c r="AA134" s="442"/>
      <c r="AB134" s="398"/>
      <c r="AC134" s="438"/>
      <c r="AD134" s="442">
        <f>[1]RONET_Input!AH105</f>
        <v>3</v>
      </c>
      <c r="AE134" s="398">
        <f>[1]RONET_Input!D105</f>
        <v>7.7249999999999996</v>
      </c>
      <c r="AF134" s="398"/>
      <c r="AG134" s="398"/>
      <c r="AH134" s="398"/>
      <c r="AI134" s="438"/>
      <c r="AJ134" s="442">
        <v>1</v>
      </c>
      <c r="AK134" s="442">
        <f>[1]RONET_Input!AF105</f>
        <v>4</v>
      </c>
      <c r="AL134" s="507"/>
      <c r="AM134" s="507"/>
      <c r="AN134" s="507"/>
      <c r="AO134" s="507"/>
      <c r="AP134" s="507"/>
      <c r="AQ134" s="507"/>
      <c r="AR134" s="507"/>
      <c r="AS134" s="507"/>
      <c r="AT134" s="507"/>
      <c r="AU134" s="507"/>
      <c r="AV134" s="507"/>
      <c r="AW134" s="507"/>
      <c r="AX134" s="508"/>
      <c r="AY134" s="509">
        <f>[1]RONET_Input!AG105</f>
        <v>3</v>
      </c>
      <c r="AZ134" s="359" t="s">
        <v>321</v>
      </c>
      <c r="BA134" s="360" t="s">
        <v>502</v>
      </c>
      <c r="BB134" s="360" t="s">
        <v>443</v>
      </c>
      <c r="BC134" s="510">
        <v>6.8819783882850011E-2</v>
      </c>
      <c r="BD134" s="510">
        <v>5.0050000000000004E-2</v>
      </c>
      <c r="BE134" s="438">
        <v>5</v>
      </c>
      <c r="BF134" s="511">
        <v>0.59127963955173402</v>
      </c>
      <c r="BG134" s="512">
        <v>0.43001509580356362</v>
      </c>
      <c r="BH134" s="512">
        <v>8.5917102058654056</v>
      </c>
      <c r="BI134" s="513">
        <v>0</v>
      </c>
      <c r="BJ134" s="514">
        <v>375</v>
      </c>
      <c r="BK134" s="515">
        <v>0.22366666666666665</v>
      </c>
      <c r="BL134" s="512">
        <v>0.18820595242687505</v>
      </c>
      <c r="BM134" s="516">
        <v>3.2054071874999999E-2</v>
      </c>
      <c r="BN134" s="517">
        <v>375</v>
      </c>
      <c r="BO134" s="518">
        <v>397.50000000000011</v>
      </c>
      <c r="BP134" s="518">
        <v>421.34999999999991</v>
      </c>
      <c r="BQ134" s="518">
        <v>446.63099999999997</v>
      </c>
      <c r="BR134" s="518">
        <v>473.42885999999999</v>
      </c>
      <c r="BS134" s="518">
        <v>501.83459160000012</v>
      </c>
      <c r="BT134" s="518">
        <v>531.9446670960001</v>
      </c>
      <c r="BU134" s="518">
        <v>563.86134712175999</v>
      </c>
      <c r="BV134" s="518">
        <v>597.69302794906582</v>
      </c>
      <c r="BW134" s="518">
        <v>633.55460962600955</v>
      </c>
      <c r="BX134" s="518">
        <v>671.56788620357008</v>
      </c>
      <c r="BY134" s="518">
        <v>711.86195937578441</v>
      </c>
      <c r="BZ134" s="518">
        <v>754.57367693833146</v>
      </c>
      <c r="CA134" s="518">
        <v>799.84809755463141</v>
      </c>
      <c r="CB134" s="518">
        <v>847.83898340790915</v>
      </c>
      <c r="CC134" s="518">
        <v>898.70932241238381</v>
      </c>
      <c r="CD134" s="518">
        <v>952.63188175712685</v>
      </c>
      <c r="CE134" s="518">
        <v>1009.7897946625544</v>
      </c>
      <c r="CF134" s="518">
        <v>1070.3771823423076</v>
      </c>
      <c r="CG134" s="519">
        <v>1134.5998132828461</v>
      </c>
      <c r="CH134" s="520">
        <v>7.7249999999999996</v>
      </c>
      <c r="CI134" s="521">
        <v>7.8794999999999993</v>
      </c>
      <c r="CJ134" s="521">
        <v>8.0370899999999992</v>
      </c>
      <c r="CK134" s="521">
        <v>8.1978317999999994</v>
      </c>
      <c r="CL134" s="521">
        <v>2.5</v>
      </c>
      <c r="CM134" s="521">
        <v>2.5499999999999998</v>
      </c>
      <c r="CN134" s="521">
        <v>2.601</v>
      </c>
      <c r="CO134" s="521">
        <v>2.6530200000000002</v>
      </c>
      <c r="CP134" s="521">
        <v>2.7060804000000003</v>
      </c>
      <c r="CQ134" s="521">
        <v>2.7602020080000003</v>
      </c>
      <c r="CR134" s="521">
        <v>2.8154060481600003</v>
      </c>
      <c r="CS134" s="521">
        <v>2.8717141691232002</v>
      </c>
      <c r="CT134" s="521">
        <v>2.5</v>
      </c>
      <c r="CU134" s="521">
        <v>2.5499999999999998</v>
      </c>
      <c r="CV134" s="521">
        <v>2.601</v>
      </c>
      <c r="CW134" s="521">
        <v>2.6530200000000002</v>
      </c>
      <c r="CX134" s="521">
        <v>2.7060804000000003</v>
      </c>
      <c r="CY134" s="521">
        <v>2.7602020080000003</v>
      </c>
      <c r="CZ134" s="521">
        <v>2.8154060481600003</v>
      </c>
      <c r="DA134" s="522">
        <v>2.8717141691232002</v>
      </c>
      <c r="DB134" s="523">
        <v>0</v>
      </c>
      <c r="DC134" s="524">
        <v>0</v>
      </c>
      <c r="DD134" s="524">
        <v>0</v>
      </c>
      <c r="DE134" s="524">
        <v>0</v>
      </c>
      <c r="DF134" s="524">
        <v>-4.7183949311830287E-2</v>
      </c>
      <c r="DG134" s="524">
        <v>1.7059577270494453E-2</v>
      </c>
      <c r="DH134" s="524">
        <v>1.8844691150261716E-2</v>
      </c>
      <c r="DI134" s="524">
        <v>2.0814643364407193E-2</v>
      </c>
      <c r="DJ134" s="524">
        <v>2.2988450732882026E-2</v>
      </c>
      <c r="DK134" s="524">
        <v>0.93836824039329025</v>
      </c>
      <c r="DL134" s="524">
        <v>2.3661628638060872E-4</v>
      </c>
      <c r="DM134" s="524">
        <v>1.7043824759940818E-4</v>
      </c>
      <c r="DN134" s="524">
        <v>-6.1757423089023433E-2</v>
      </c>
      <c r="DO134" s="524">
        <v>8.6356111450355821E-4</v>
      </c>
      <c r="DP134" s="524">
        <v>8.5252449787928675E-4</v>
      </c>
      <c r="DQ134" s="524">
        <v>8.3453941454011971E-4</v>
      </c>
      <c r="DR134" s="524">
        <v>8.0856240108054256E-4</v>
      </c>
      <c r="DS134" s="524">
        <v>0.12659891476562252</v>
      </c>
      <c r="DT134" s="524">
        <v>1.3737349534090337E-3</v>
      </c>
      <c r="DU134" s="525">
        <v>1.3971005524774371E-3</v>
      </c>
      <c r="DV134" s="526">
        <v>3.5</v>
      </c>
      <c r="DW134" s="507">
        <v>1</v>
      </c>
      <c r="DX134" s="509">
        <v>7.7249999999999996</v>
      </c>
      <c r="DY134" s="507">
        <v>2</v>
      </c>
      <c r="DZ134" s="507">
        <v>10</v>
      </c>
      <c r="EA134" s="507">
        <v>0</v>
      </c>
      <c r="EB134" s="507">
        <v>0</v>
      </c>
      <c r="EC134" s="507">
        <v>111.62500000000001</v>
      </c>
      <c r="ED134" s="507">
        <v>102.18750000000001</v>
      </c>
      <c r="EE134" s="507">
        <v>0</v>
      </c>
      <c r="EF134" s="507">
        <v>25.062499999999996</v>
      </c>
      <c r="EG134" s="507">
        <v>29.3125</v>
      </c>
      <c r="EH134" s="507">
        <v>12.8125</v>
      </c>
      <c r="EI134" s="507">
        <v>16.6875</v>
      </c>
      <c r="EJ134" s="507">
        <v>56.4375</v>
      </c>
      <c r="EK134" s="507">
        <v>10.4375</v>
      </c>
      <c r="EL134" s="507">
        <v>10.4375</v>
      </c>
      <c r="EM134" s="508">
        <v>375</v>
      </c>
    </row>
    <row r="135" spans="2:143" x14ac:dyDescent="0.25">
      <c r="B135" s="506" t="str">
        <f>[1]RONET_Input!J106</f>
        <v xml:space="preserve">Input VPROMMS: 214TT00010 (72.73 pct); 214tt00103 (27.27 pct); </v>
      </c>
      <c r="C135" s="359">
        <f>[1]RONET_Input!B106</f>
        <v>104</v>
      </c>
      <c r="D135" s="397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442">
        <f>[1]RONET_Input!K106</f>
        <v>0.204383745654</v>
      </c>
      <c r="Q135" s="398">
        <f>[1]RONET_Input!Y106</f>
        <v>2</v>
      </c>
      <c r="R135" s="398">
        <f>[1]RONET_Input!X106</f>
        <v>3.5</v>
      </c>
      <c r="S135" s="398"/>
      <c r="T135" s="398"/>
      <c r="U135" s="398">
        <f>[1]RONET_Input!AA106</f>
        <v>8</v>
      </c>
      <c r="V135" s="398">
        <f>[1]RONET_Input!AC106</f>
        <v>1</v>
      </c>
      <c r="W135" s="398">
        <f>[1]RONET_Input!AD106</f>
        <v>1</v>
      </c>
      <c r="X135" s="398">
        <f>[1]RONET_Input!AE106</f>
        <v>4</v>
      </c>
      <c r="Y135" s="398">
        <f>[1]RONET_Input!AB106</f>
        <v>1</v>
      </c>
      <c r="Z135" s="438">
        <f>[1]RONET_Input!Z106</f>
        <v>1</v>
      </c>
      <c r="AA135" s="442"/>
      <c r="AB135" s="398"/>
      <c r="AC135" s="438"/>
      <c r="AD135" s="442">
        <f>[1]RONET_Input!AH106</f>
        <v>3</v>
      </c>
      <c r="AE135" s="398">
        <f>[1]RONET_Input!D106</f>
        <v>7.33</v>
      </c>
      <c r="AF135" s="398"/>
      <c r="AG135" s="398"/>
      <c r="AH135" s="398"/>
      <c r="AI135" s="438"/>
      <c r="AJ135" s="442">
        <v>1</v>
      </c>
      <c r="AK135" s="442">
        <f>[1]RONET_Input!AF106</f>
        <v>4</v>
      </c>
      <c r="AL135" s="507"/>
      <c r="AM135" s="507"/>
      <c r="AN135" s="507"/>
      <c r="AO135" s="507"/>
      <c r="AP135" s="507"/>
      <c r="AQ135" s="507"/>
      <c r="AR135" s="507"/>
      <c r="AS135" s="507"/>
      <c r="AT135" s="507"/>
      <c r="AU135" s="507"/>
      <c r="AV135" s="507"/>
      <c r="AW135" s="507"/>
      <c r="AX135" s="508"/>
      <c r="AY135" s="509">
        <f>[1]RONET_Input!AG106</f>
        <v>3</v>
      </c>
      <c r="AZ135" s="359" t="s">
        <v>321</v>
      </c>
      <c r="BA135" s="360" t="s">
        <v>502</v>
      </c>
      <c r="BB135" s="360" t="s">
        <v>443</v>
      </c>
      <c r="BC135" s="510">
        <v>1.02294064699827E-2</v>
      </c>
      <c r="BD135" s="510">
        <v>5.0050000000000004E-2</v>
      </c>
      <c r="BE135" s="438">
        <v>5</v>
      </c>
      <c r="BF135" s="511">
        <v>8.6781514428728765E-2</v>
      </c>
      <c r="BG135" s="512">
        <v>0.42460086124285373</v>
      </c>
      <c r="BH135" s="512">
        <v>8.4835336911659081</v>
      </c>
      <c r="BI135" s="513">
        <v>0</v>
      </c>
      <c r="BJ135" s="514">
        <v>375</v>
      </c>
      <c r="BK135" s="515">
        <v>0.22366666666666665</v>
      </c>
      <c r="BL135" s="512">
        <v>2.7975025186391254E-2</v>
      </c>
      <c r="BM135" s="516">
        <v>3.2054071874999999E-2</v>
      </c>
      <c r="BN135" s="517">
        <v>375</v>
      </c>
      <c r="BO135" s="518">
        <v>397.50000000000011</v>
      </c>
      <c r="BP135" s="518">
        <v>421.34999999999991</v>
      </c>
      <c r="BQ135" s="518">
        <v>446.63099999999997</v>
      </c>
      <c r="BR135" s="518">
        <v>473.42885999999999</v>
      </c>
      <c r="BS135" s="518">
        <v>501.83459160000012</v>
      </c>
      <c r="BT135" s="518">
        <v>531.9446670960001</v>
      </c>
      <c r="BU135" s="518">
        <v>563.86134712175999</v>
      </c>
      <c r="BV135" s="518">
        <v>597.69302794906582</v>
      </c>
      <c r="BW135" s="518">
        <v>633.55460962600955</v>
      </c>
      <c r="BX135" s="518">
        <v>671.56788620357008</v>
      </c>
      <c r="BY135" s="518">
        <v>711.86195937578441</v>
      </c>
      <c r="BZ135" s="518">
        <v>754.57367693833146</v>
      </c>
      <c r="CA135" s="518">
        <v>799.84809755463141</v>
      </c>
      <c r="CB135" s="518">
        <v>847.83898340790915</v>
      </c>
      <c r="CC135" s="518">
        <v>898.70932241238381</v>
      </c>
      <c r="CD135" s="518">
        <v>952.63188175712685</v>
      </c>
      <c r="CE135" s="518">
        <v>1009.7897946625544</v>
      </c>
      <c r="CF135" s="518">
        <v>1070.3771823423076</v>
      </c>
      <c r="CG135" s="519">
        <v>1134.5998132828461</v>
      </c>
      <c r="CH135" s="520">
        <v>7.33</v>
      </c>
      <c r="CI135" s="521">
        <v>7.4766000000000004</v>
      </c>
      <c r="CJ135" s="521">
        <v>7.6261320000000001</v>
      </c>
      <c r="CK135" s="521">
        <v>7.7786546400000001</v>
      </c>
      <c r="CL135" s="521">
        <v>2.5</v>
      </c>
      <c r="CM135" s="521">
        <v>2.5499999999999998</v>
      </c>
      <c r="CN135" s="521">
        <v>2.601</v>
      </c>
      <c r="CO135" s="521">
        <v>2.6530200000000002</v>
      </c>
      <c r="CP135" s="521">
        <v>2.7060804000000003</v>
      </c>
      <c r="CQ135" s="521">
        <v>2.7602020080000003</v>
      </c>
      <c r="CR135" s="521">
        <v>2.8154060481600003</v>
      </c>
      <c r="CS135" s="521">
        <v>2.8717141691232002</v>
      </c>
      <c r="CT135" s="521">
        <v>2.5</v>
      </c>
      <c r="CU135" s="521">
        <v>2.5499999999999998</v>
      </c>
      <c r="CV135" s="521">
        <v>2.601</v>
      </c>
      <c r="CW135" s="521">
        <v>2.6530200000000002</v>
      </c>
      <c r="CX135" s="521">
        <v>2.7060804000000003</v>
      </c>
      <c r="CY135" s="521">
        <v>2.7602020080000003</v>
      </c>
      <c r="CZ135" s="521">
        <v>2.8154060481600003</v>
      </c>
      <c r="DA135" s="522">
        <v>2.8717141691232002</v>
      </c>
      <c r="DB135" s="523">
        <v>0</v>
      </c>
      <c r="DC135" s="524">
        <v>0</v>
      </c>
      <c r="DD135" s="524">
        <v>0</v>
      </c>
      <c r="DE135" s="524">
        <v>0</v>
      </c>
      <c r="DF135" s="524">
        <v>-7.2711105510056967E-3</v>
      </c>
      <c r="DG135" s="524">
        <v>2.2515437622423265E-3</v>
      </c>
      <c r="DH135" s="524">
        <v>2.4876270577103669E-3</v>
      </c>
      <c r="DI135" s="524">
        <v>2.7481838742588714E-3</v>
      </c>
      <c r="DJ135" s="524">
        <v>3.0357332511573264E-3</v>
      </c>
      <c r="DK135" s="524">
        <v>0.13947951603343348</v>
      </c>
      <c r="DL135" s="524">
        <v>3.5170760996940109E-5</v>
      </c>
      <c r="DM135" s="524">
        <v>2.533402481609201E-5</v>
      </c>
      <c r="DN135" s="524">
        <v>-9.1796536936487906E-3</v>
      </c>
      <c r="DO135" s="524">
        <v>1.2836014810748905E-4</v>
      </c>
      <c r="DP135" s="524">
        <v>1.2671965999298124E-4</v>
      </c>
      <c r="DQ135" s="524">
        <v>1.2404634837395734E-4</v>
      </c>
      <c r="DR135" s="524">
        <v>1.2018511233743284E-4</v>
      </c>
      <c r="DS135" s="524">
        <v>1.8817724856572404E-2</v>
      </c>
      <c r="DT135" s="524">
        <v>2.0419263804089677E-4</v>
      </c>
      <c r="DU135" s="525">
        <v>2.0766571216000035E-4</v>
      </c>
      <c r="DV135" s="526">
        <v>3.5</v>
      </c>
      <c r="DW135" s="507">
        <v>1</v>
      </c>
      <c r="DX135" s="509">
        <v>7.33</v>
      </c>
      <c r="DY135" s="507">
        <v>2</v>
      </c>
      <c r="DZ135" s="507">
        <v>10</v>
      </c>
      <c r="EA135" s="507">
        <v>0</v>
      </c>
      <c r="EB135" s="507">
        <v>0</v>
      </c>
      <c r="EC135" s="507">
        <v>111.62500000000001</v>
      </c>
      <c r="ED135" s="507">
        <v>102.18750000000001</v>
      </c>
      <c r="EE135" s="507">
        <v>0</v>
      </c>
      <c r="EF135" s="507">
        <v>25.062499999999996</v>
      </c>
      <c r="EG135" s="507">
        <v>29.3125</v>
      </c>
      <c r="EH135" s="507">
        <v>12.8125</v>
      </c>
      <c r="EI135" s="507">
        <v>16.6875</v>
      </c>
      <c r="EJ135" s="507">
        <v>56.4375</v>
      </c>
      <c r="EK135" s="507">
        <v>10.4375</v>
      </c>
      <c r="EL135" s="507">
        <v>10.4375</v>
      </c>
      <c r="EM135" s="508">
        <v>375</v>
      </c>
    </row>
    <row r="136" spans="2:143" x14ac:dyDescent="0.25">
      <c r="B136" s="506" t="str">
        <f>[1]RONET_Input!J107</f>
        <v xml:space="preserve">Input VPROMMS: QL45_2 (46.88 pct); ql45_1 (46.88 pct); 214tt00103 (3.13 pct); 214TT00010 (3.13 pct); </v>
      </c>
      <c r="C136" s="359">
        <f>[1]RONET_Input!B107</f>
        <v>105</v>
      </c>
      <c r="D136" s="397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442">
        <f>[1]RONET_Input!K107</f>
        <v>1.0851064125800001</v>
      </c>
      <c r="Q136" s="398">
        <f>[1]RONET_Input!Y107</f>
        <v>2</v>
      </c>
      <c r="R136" s="398">
        <f>[1]RONET_Input!X107</f>
        <v>3.5</v>
      </c>
      <c r="S136" s="398"/>
      <c r="T136" s="398"/>
      <c r="U136" s="398">
        <f>[1]RONET_Input!AA107</f>
        <v>8</v>
      </c>
      <c r="V136" s="398">
        <f>[1]RONET_Input!AC107</f>
        <v>1</v>
      </c>
      <c r="W136" s="398">
        <f>[1]RONET_Input!AD107</f>
        <v>1</v>
      </c>
      <c r="X136" s="398">
        <f>[1]RONET_Input!AE107</f>
        <v>4</v>
      </c>
      <c r="Y136" s="398">
        <f>[1]RONET_Input!AB107</f>
        <v>1</v>
      </c>
      <c r="Z136" s="438">
        <f>[1]RONET_Input!Z107</f>
        <v>1</v>
      </c>
      <c r="AA136" s="442"/>
      <c r="AB136" s="398"/>
      <c r="AC136" s="438"/>
      <c r="AD136" s="442">
        <f>[1]RONET_Input!AH107</f>
        <v>3</v>
      </c>
      <c r="AE136" s="398">
        <f>[1]RONET_Input!D107</f>
        <v>0</v>
      </c>
      <c r="AF136" s="398"/>
      <c r="AG136" s="398"/>
      <c r="AH136" s="398"/>
      <c r="AI136" s="438"/>
      <c r="AJ136" s="442">
        <v>1</v>
      </c>
      <c r="AK136" s="442">
        <f>[1]RONET_Input!AF107</f>
        <v>4</v>
      </c>
      <c r="AL136" s="507"/>
      <c r="AM136" s="507"/>
      <c r="AN136" s="507"/>
      <c r="AO136" s="507"/>
      <c r="AP136" s="507"/>
      <c r="AQ136" s="507"/>
      <c r="AR136" s="507"/>
      <c r="AS136" s="507"/>
      <c r="AT136" s="507"/>
      <c r="AU136" s="507"/>
      <c r="AV136" s="507"/>
      <c r="AW136" s="507"/>
      <c r="AX136" s="508"/>
      <c r="AY136" s="509">
        <f>[1]RONET_Input!AG107</f>
        <v>3</v>
      </c>
      <c r="AZ136" s="359" t="s">
        <v>321</v>
      </c>
      <c r="BA136" s="360" t="s">
        <v>502</v>
      </c>
      <c r="BB136" s="360" t="s">
        <v>443</v>
      </c>
      <c r="BC136" s="510">
        <v>5.4309575949629006E-2</v>
      </c>
      <c r="BD136" s="510">
        <v>5.0050000000000004E-2</v>
      </c>
      <c r="BE136" s="438">
        <v>6</v>
      </c>
      <c r="BF136" s="511">
        <v>0.42920702476561662</v>
      </c>
      <c r="BG136" s="512">
        <v>0.39554371791529075</v>
      </c>
      <c r="BH136" s="512">
        <v>7.9029713869188951</v>
      </c>
      <c r="BI136" s="513">
        <v>0</v>
      </c>
      <c r="BJ136" s="514">
        <v>375</v>
      </c>
      <c r="BK136" s="515">
        <v>0.22366666666666665</v>
      </c>
      <c r="BL136" s="512">
        <v>0.14852394022188756</v>
      </c>
      <c r="BM136" s="516">
        <v>3.2054071874999999E-2</v>
      </c>
      <c r="BN136" s="517">
        <v>375</v>
      </c>
      <c r="BO136" s="518">
        <v>397.50000000000011</v>
      </c>
      <c r="BP136" s="518">
        <v>421.34999999999991</v>
      </c>
      <c r="BQ136" s="518">
        <v>446.63099999999997</v>
      </c>
      <c r="BR136" s="518">
        <v>473.42885999999999</v>
      </c>
      <c r="BS136" s="518">
        <v>501.83459160000012</v>
      </c>
      <c r="BT136" s="518">
        <v>531.9446670960001</v>
      </c>
      <c r="BU136" s="518">
        <v>563.86134712175999</v>
      </c>
      <c r="BV136" s="518">
        <v>597.69302794906582</v>
      </c>
      <c r="BW136" s="518">
        <v>633.55460962600955</v>
      </c>
      <c r="BX136" s="518">
        <v>671.56788620357008</v>
      </c>
      <c r="BY136" s="518">
        <v>711.86195937578441</v>
      </c>
      <c r="BZ136" s="518">
        <v>754.57367693833146</v>
      </c>
      <c r="CA136" s="518">
        <v>799.84809755463141</v>
      </c>
      <c r="CB136" s="518">
        <v>847.83898340790915</v>
      </c>
      <c r="CC136" s="518">
        <v>898.70932241238381</v>
      </c>
      <c r="CD136" s="518">
        <v>952.63188175712685</v>
      </c>
      <c r="CE136" s="518">
        <v>1009.7897946625544</v>
      </c>
      <c r="CF136" s="518">
        <v>1070.3771823423076</v>
      </c>
      <c r="CG136" s="519">
        <v>1134.5998132828461</v>
      </c>
      <c r="CH136" s="520">
        <v>4.5</v>
      </c>
      <c r="CI136" s="521">
        <v>4.59</v>
      </c>
      <c r="CJ136" s="521">
        <v>4.6818</v>
      </c>
      <c r="CK136" s="521">
        <v>4.775436</v>
      </c>
      <c r="CL136" s="521">
        <v>4.8709447199999998</v>
      </c>
      <c r="CM136" s="521">
        <v>2.5</v>
      </c>
      <c r="CN136" s="521">
        <v>2.5499999999999998</v>
      </c>
      <c r="CO136" s="521">
        <v>2.601</v>
      </c>
      <c r="CP136" s="521">
        <v>2.6530200000000002</v>
      </c>
      <c r="CQ136" s="521">
        <v>2.7060804000000003</v>
      </c>
      <c r="CR136" s="521">
        <v>2.7602020080000003</v>
      </c>
      <c r="CS136" s="521">
        <v>2.8154060481600003</v>
      </c>
      <c r="CT136" s="521">
        <v>2.8717141691232002</v>
      </c>
      <c r="CU136" s="521">
        <v>2.5</v>
      </c>
      <c r="CV136" s="521">
        <v>2.5499999999999998</v>
      </c>
      <c r="CW136" s="521">
        <v>2.601</v>
      </c>
      <c r="CX136" s="521">
        <v>2.6530200000000002</v>
      </c>
      <c r="CY136" s="521">
        <v>2.7060804000000003</v>
      </c>
      <c r="CZ136" s="521">
        <v>2.7602020080000003</v>
      </c>
      <c r="DA136" s="522">
        <v>2.8154060481600003</v>
      </c>
      <c r="DB136" s="523">
        <v>0</v>
      </c>
      <c r="DC136" s="524">
        <v>0</v>
      </c>
      <c r="DD136" s="524">
        <v>0</v>
      </c>
      <c r="DE136" s="524">
        <v>0</v>
      </c>
      <c r="DF136" s="524">
        <v>0</v>
      </c>
      <c r="DG136" s="524">
        <v>-4.5864469430601934E-2</v>
      </c>
      <c r="DH136" s="524">
        <v>3.9402582007187908E-3</v>
      </c>
      <c r="DI136" s="524">
        <v>4.3636939222708032E-3</v>
      </c>
      <c r="DJ136" s="524">
        <v>4.8317559246736641E-3</v>
      </c>
      <c r="DK136" s="524">
        <v>0.74058487999945577</v>
      </c>
      <c r="DL136" s="524">
        <v>2.5960337353855834E-4</v>
      </c>
      <c r="DM136" s="524">
        <v>2.1551524943366762E-4</v>
      </c>
      <c r="DN136" s="524">
        <v>1.6270188189809742E-4</v>
      </c>
      <c r="DO136" s="524">
        <v>-4.8672148737688326E-2</v>
      </c>
      <c r="DP136" s="524">
        <v>7.4858625999882356E-4</v>
      </c>
      <c r="DQ136" s="524">
        <v>7.4297045362003988E-4</v>
      </c>
      <c r="DR136" s="524">
        <v>7.3198495951848352E-4</v>
      </c>
      <c r="DS136" s="524">
        <v>0.10001080374036225</v>
      </c>
      <c r="DT136" s="524">
        <v>1.2002452330178159E-3</v>
      </c>
      <c r="DU136" s="525">
        <v>1.2316530123938352E-3</v>
      </c>
      <c r="DV136" s="526">
        <v>3.5</v>
      </c>
      <c r="DW136" s="507">
        <v>1</v>
      </c>
      <c r="DX136" s="509">
        <v>4.5</v>
      </c>
      <c r="DY136" s="507">
        <v>2</v>
      </c>
      <c r="DZ136" s="507">
        <v>10</v>
      </c>
      <c r="EA136" s="507">
        <v>0</v>
      </c>
      <c r="EB136" s="507">
        <v>0</v>
      </c>
      <c r="EC136" s="507">
        <v>111.62500000000001</v>
      </c>
      <c r="ED136" s="507">
        <v>102.18750000000001</v>
      </c>
      <c r="EE136" s="507">
        <v>0</v>
      </c>
      <c r="EF136" s="507">
        <v>25.062499999999996</v>
      </c>
      <c r="EG136" s="507">
        <v>29.3125</v>
      </c>
      <c r="EH136" s="507">
        <v>12.8125</v>
      </c>
      <c r="EI136" s="507">
        <v>16.6875</v>
      </c>
      <c r="EJ136" s="507">
        <v>56.4375</v>
      </c>
      <c r="EK136" s="507">
        <v>10.4375</v>
      </c>
      <c r="EL136" s="507">
        <v>10.4375</v>
      </c>
      <c r="EM136" s="508">
        <v>375</v>
      </c>
    </row>
    <row r="137" spans="2:143" x14ac:dyDescent="0.25">
      <c r="B137" s="506" t="str">
        <f>[1]RONET_Input!J108</f>
        <v>214TT00082</v>
      </c>
      <c r="C137" s="359">
        <f>[1]RONET_Input!B108</f>
        <v>106</v>
      </c>
      <c r="D137" s="397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442">
        <f>[1]RONET_Input!K108</f>
        <v>3.5453678591600002</v>
      </c>
      <c r="Q137" s="398">
        <f>[1]RONET_Input!Y108</f>
        <v>1</v>
      </c>
      <c r="R137" s="398">
        <f>[1]RONET_Input!X108</f>
        <v>3.4</v>
      </c>
      <c r="S137" s="398"/>
      <c r="T137" s="398"/>
      <c r="U137" s="398">
        <f>[1]RONET_Input!AA108</f>
        <v>8</v>
      </c>
      <c r="V137" s="398">
        <f>[1]RONET_Input!AC108</f>
        <v>1</v>
      </c>
      <c r="W137" s="398">
        <f>[1]RONET_Input!AD108</f>
        <v>1</v>
      </c>
      <c r="X137" s="398">
        <f>[1]RONET_Input!AE108</f>
        <v>4</v>
      </c>
      <c r="Y137" s="398">
        <f>[1]RONET_Input!AB108</f>
        <v>1</v>
      </c>
      <c r="Z137" s="438">
        <f>[1]RONET_Input!Z108</f>
        <v>1</v>
      </c>
      <c r="AA137" s="442"/>
      <c r="AB137" s="398"/>
      <c r="AC137" s="438"/>
      <c r="AD137" s="442">
        <f>[1]RONET_Input!AH108</f>
        <v>4</v>
      </c>
      <c r="AE137" s="398">
        <f>[1]RONET_Input!D108</f>
        <v>9.99</v>
      </c>
      <c r="AF137" s="398"/>
      <c r="AG137" s="398"/>
      <c r="AH137" s="398"/>
      <c r="AI137" s="438"/>
      <c r="AJ137" s="442">
        <v>1</v>
      </c>
      <c r="AK137" s="442">
        <f>[1]RONET_Input!AF108</f>
        <v>4</v>
      </c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8"/>
      <c r="AY137" s="509">
        <f>[1]RONET_Input!AG108</f>
        <v>3</v>
      </c>
      <c r="AZ137" s="359" t="s">
        <v>321</v>
      </c>
      <c r="BA137" s="360" t="s">
        <v>502</v>
      </c>
      <c r="BB137" s="360" t="s">
        <v>443</v>
      </c>
      <c r="BC137" s="510">
        <v>0.1723757853123592</v>
      </c>
      <c r="BD137" s="510">
        <v>4.8619999999999997E-2</v>
      </c>
      <c r="BE137" s="438">
        <v>5</v>
      </c>
      <c r="BF137" s="511">
        <v>1.7265812869899466</v>
      </c>
      <c r="BG137" s="512">
        <v>0.48699637261308715</v>
      </c>
      <c r="BH137" s="512">
        <v>10.016379527212818</v>
      </c>
      <c r="BI137" s="513">
        <v>0</v>
      </c>
      <c r="BJ137" s="514">
        <v>375</v>
      </c>
      <c r="BK137" s="515">
        <v>0.22366666666666665</v>
      </c>
      <c r="BL137" s="512">
        <v>0.48527222572252499</v>
      </c>
      <c r="BM137" s="516">
        <v>6.4108143749999999E-2</v>
      </c>
      <c r="BN137" s="517">
        <v>375</v>
      </c>
      <c r="BO137" s="518">
        <v>397.50000000000011</v>
      </c>
      <c r="BP137" s="518">
        <v>421.34999999999991</v>
      </c>
      <c r="BQ137" s="518">
        <v>446.63099999999997</v>
      </c>
      <c r="BR137" s="518">
        <v>473.42885999999999</v>
      </c>
      <c r="BS137" s="518">
        <v>501.83459160000012</v>
      </c>
      <c r="BT137" s="518">
        <v>531.9446670960001</v>
      </c>
      <c r="BU137" s="518">
        <v>563.86134712175999</v>
      </c>
      <c r="BV137" s="518">
        <v>597.69302794906582</v>
      </c>
      <c r="BW137" s="518">
        <v>633.55460962600955</v>
      </c>
      <c r="BX137" s="518">
        <v>671.56788620357008</v>
      </c>
      <c r="BY137" s="518">
        <v>711.86195937578441</v>
      </c>
      <c r="BZ137" s="518">
        <v>754.57367693833146</v>
      </c>
      <c r="CA137" s="518">
        <v>799.84809755463141</v>
      </c>
      <c r="CB137" s="518">
        <v>847.83898340790915</v>
      </c>
      <c r="CC137" s="518">
        <v>898.70932241238381</v>
      </c>
      <c r="CD137" s="518">
        <v>952.63188175712685</v>
      </c>
      <c r="CE137" s="518">
        <v>1009.7897946625544</v>
      </c>
      <c r="CF137" s="518">
        <v>1070.3771823423076</v>
      </c>
      <c r="CG137" s="519">
        <v>1134.5998132828461</v>
      </c>
      <c r="CH137" s="520">
        <v>9.99</v>
      </c>
      <c r="CI137" s="521">
        <v>10.1898</v>
      </c>
      <c r="CJ137" s="521">
        <v>10.393596000000001</v>
      </c>
      <c r="CK137" s="521">
        <v>10.601467920000001</v>
      </c>
      <c r="CL137" s="521">
        <v>2.5</v>
      </c>
      <c r="CM137" s="521">
        <v>2.5499999999999998</v>
      </c>
      <c r="CN137" s="521">
        <v>2.601</v>
      </c>
      <c r="CO137" s="521">
        <v>2.6530200000000002</v>
      </c>
      <c r="CP137" s="521">
        <v>2.7060804000000003</v>
      </c>
      <c r="CQ137" s="521">
        <v>2.7602020080000003</v>
      </c>
      <c r="CR137" s="521">
        <v>2.8154060481600003</v>
      </c>
      <c r="CS137" s="521">
        <v>2.8717141691232002</v>
      </c>
      <c r="CT137" s="521">
        <v>2.5</v>
      </c>
      <c r="CU137" s="521">
        <v>2.5499999999999998</v>
      </c>
      <c r="CV137" s="521">
        <v>2.601</v>
      </c>
      <c r="CW137" s="521">
        <v>2.6530200000000002</v>
      </c>
      <c r="CX137" s="521">
        <v>2.7060804000000003</v>
      </c>
      <c r="CY137" s="521">
        <v>2.7602020080000003</v>
      </c>
      <c r="CZ137" s="521">
        <v>2.8154060481600003</v>
      </c>
      <c r="DA137" s="522">
        <v>2.8717141691232002</v>
      </c>
      <c r="DB137" s="523">
        <v>0</v>
      </c>
      <c r="DC137" s="524">
        <v>0</v>
      </c>
      <c r="DD137" s="524">
        <v>0</v>
      </c>
      <c r="DE137" s="524">
        <v>0</v>
      </c>
      <c r="DF137" s="524">
        <v>-8.3711102238428203E-2</v>
      </c>
      <c r="DG137" s="524">
        <v>8.0574221573488425E-2</v>
      </c>
      <c r="DH137" s="524">
        <v>8.8747540281618575E-2</v>
      </c>
      <c r="DI137" s="524">
        <v>9.7746099722267221E-2</v>
      </c>
      <c r="DJ137" s="524">
        <v>0.10765257087616603</v>
      </c>
      <c r="DK137" s="524">
        <v>2.4293568708446345</v>
      </c>
      <c r="DL137" s="524">
        <v>1.0620209850004114E-2</v>
      </c>
      <c r="DM137" s="524">
        <v>1.060654868230454E-2</v>
      </c>
      <c r="DN137" s="524">
        <v>-0.14383257024111129</v>
      </c>
      <c r="DO137" s="524">
        <v>1.3219017180286285E-2</v>
      </c>
      <c r="DP137" s="524">
        <v>1.3400810472641134E-2</v>
      </c>
      <c r="DQ137" s="524">
        <v>1.3572499193997056E-2</v>
      </c>
      <c r="DR137" s="524">
        <v>1.3731501736768181E-2</v>
      </c>
      <c r="DS137" s="524">
        <v>0.33830467370772954</v>
      </c>
      <c r="DT137" s="524">
        <v>1.5664810773323157E-2</v>
      </c>
      <c r="DU137" s="525">
        <v>1.5975247979932328E-2</v>
      </c>
      <c r="DV137" s="526">
        <v>3.4</v>
      </c>
      <c r="DW137" s="507">
        <v>1</v>
      </c>
      <c r="DX137" s="509">
        <v>9.99</v>
      </c>
      <c r="DY137" s="507">
        <v>2</v>
      </c>
      <c r="DZ137" s="507">
        <v>15</v>
      </c>
      <c r="EA137" s="507">
        <v>0</v>
      </c>
      <c r="EB137" s="507">
        <v>0</v>
      </c>
      <c r="EC137" s="507">
        <v>111.62500000000001</v>
      </c>
      <c r="ED137" s="507">
        <v>102.18750000000001</v>
      </c>
      <c r="EE137" s="507">
        <v>0</v>
      </c>
      <c r="EF137" s="507">
        <v>25.062499999999996</v>
      </c>
      <c r="EG137" s="507">
        <v>29.3125</v>
      </c>
      <c r="EH137" s="507">
        <v>12.8125</v>
      </c>
      <c r="EI137" s="507">
        <v>16.6875</v>
      </c>
      <c r="EJ137" s="507">
        <v>56.4375</v>
      </c>
      <c r="EK137" s="507">
        <v>10.4375</v>
      </c>
      <c r="EL137" s="507">
        <v>10.4375</v>
      </c>
      <c r="EM137" s="508">
        <v>375</v>
      </c>
    </row>
    <row r="138" spans="2:143" x14ac:dyDescent="0.25">
      <c r="B138" s="506" t="str">
        <f>[1]RONET_Input!J109</f>
        <v>212TH00036</v>
      </c>
      <c r="C138" s="359">
        <f>[1]RONET_Input!B109</f>
        <v>107</v>
      </c>
      <c r="D138" s="397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442">
        <f>[1]RONET_Input!K109</f>
        <v>3.0449727848500001</v>
      </c>
      <c r="Q138" s="398">
        <f>[1]RONET_Input!Y109</f>
        <v>3</v>
      </c>
      <c r="R138" s="398">
        <f>[1]RONET_Input!X109</f>
        <v>4.3</v>
      </c>
      <c r="S138" s="398"/>
      <c r="T138" s="398"/>
      <c r="U138" s="398">
        <f>[1]RONET_Input!AA109</f>
        <v>8</v>
      </c>
      <c r="V138" s="398">
        <f>[1]RONET_Input!AC109</f>
        <v>1</v>
      </c>
      <c r="W138" s="398">
        <f>[1]RONET_Input!AD109</f>
        <v>1</v>
      </c>
      <c r="X138" s="398">
        <f>[1]RONET_Input!AE109</f>
        <v>4</v>
      </c>
      <c r="Y138" s="398">
        <f>[1]RONET_Input!AB109</f>
        <v>1</v>
      </c>
      <c r="Z138" s="438">
        <f>[1]RONET_Input!Z109</f>
        <v>3</v>
      </c>
      <c r="AA138" s="442"/>
      <c r="AB138" s="398"/>
      <c r="AC138" s="438"/>
      <c r="AD138" s="442">
        <f>[1]RONET_Input!AH109</f>
        <v>4</v>
      </c>
      <c r="AE138" s="398">
        <f>[1]RONET_Input!D109</f>
        <v>9.5</v>
      </c>
      <c r="AF138" s="398"/>
      <c r="AG138" s="398"/>
      <c r="AH138" s="398"/>
      <c r="AI138" s="438"/>
      <c r="AJ138" s="442">
        <v>1</v>
      </c>
      <c r="AK138" s="442">
        <f>[1]RONET_Input!AF109</f>
        <v>8</v>
      </c>
      <c r="AL138" s="507"/>
      <c r="AM138" s="507"/>
      <c r="AN138" s="507"/>
      <c r="AO138" s="507"/>
      <c r="AP138" s="507"/>
      <c r="AQ138" s="507"/>
      <c r="AR138" s="507"/>
      <c r="AS138" s="507"/>
      <c r="AT138" s="507"/>
      <c r="AU138" s="507"/>
      <c r="AV138" s="507"/>
      <c r="AW138" s="507"/>
      <c r="AX138" s="508"/>
      <c r="AY138" s="509">
        <f>[1]RONET_Input!AG109</f>
        <v>3</v>
      </c>
      <c r="AZ138" s="359" t="s">
        <v>321</v>
      </c>
      <c r="BA138" s="360" t="s">
        <v>506</v>
      </c>
      <c r="BB138" s="360" t="s">
        <v>447</v>
      </c>
      <c r="BC138" s="510">
        <v>0.18723537654042649</v>
      </c>
      <c r="BD138" s="510">
        <v>6.1489999999999996E-2</v>
      </c>
      <c r="BE138" s="438">
        <v>1</v>
      </c>
      <c r="BF138" s="511">
        <v>6.3620377087136637</v>
      </c>
      <c r="BG138" s="512">
        <v>2.089357822955737</v>
      </c>
      <c r="BH138" s="512">
        <v>33.978822946100784</v>
      </c>
      <c r="BI138" s="513">
        <v>0</v>
      </c>
      <c r="BJ138" s="514">
        <v>6000</v>
      </c>
      <c r="BK138" s="515">
        <v>0.22366666666666665</v>
      </c>
      <c r="BL138" s="512">
        <v>6.6684903988215005</v>
      </c>
      <c r="BM138" s="516">
        <v>0.51286514999999999</v>
      </c>
      <c r="BN138" s="517">
        <v>6000</v>
      </c>
      <c r="BO138" s="518">
        <v>6360.0000000000018</v>
      </c>
      <c r="BP138" s="518">
        <v>6741.5999999999985</v>
      </c>
      <c r="BQ138" s="518">
        <v>7146.0959999999995</v>
      </c>
      <c r="BR138" s="518">
        <v>7574.8617599999998</v>
      </c>
      <c r="BS138" s="518">
        <v>8029.353465600002</v>
      </c>
      <c r="BT138" s="518">
        <v>8511.1146735360016</v>
      </c>
      <c r="BU138" s="518">
        <v>9021.7815539481599</v>
      </c>
      <c r="BV138" s="518">
        <v>9563.0884471850532</v>
      </c>
      <c r="BW138" s="518">
        <v>10136.873754016153</v>
      </c>
      <c r="BX138" s="518">
        <v>10745.086179257121</v>
      </c>
      <c r="BY138" s="518">
        <v>11389.791350012551</v>
      </c>
      <c r="BZ138" s="518">
        <v>12073.178831013303</v>
      </c>
      <c r="CA138" s="518">
        <v>12797.569560874103</v>
      </c>
      <c r="CB138" s="518">
        <v>13565.423734526546</v>
      </c>
      <c r="CC138" s="518">
        <v>14379.349158598141</v>
      </c>
      <c r="CD138" s="518">
        <v>15242.11010811403</v>
      </c>
      <c r="CE138" s="518">
        <v>16156.636714600871</v>
      </c>
      <c r="CF138" s="518">
        <v>17126.034917476922</v>
      </c>
      <c r="CG138" s="519">
        <v>18153.597012525537</v>
      </c>
      <c r="CH138" s="520">
        <v>2</v>
      </c>
      <c r="CI138" s="521">
        <v>2.0499999999999998</v>
      </c>
      <c r="CJ138" s="521">
        <v>2.1012499999999998</v>
      </c>
      <c r="CK138" s="521">
        <v>2.1537812499999998</v>
      </c>
      <c r="CL138" s="521">
        <v>2.20762578125</v>
      </c>
      <c r="CM138" s="521">
        <v>2.2628164257812502</v>
      </c>
      <c r="CN138" s="521">
        <v>2.3193868364257813</v>
      </c>
      <c r="CO138" s="521">
        <v>2.3773715073364259</v>
      </c>
      <c r="CP138" s="521">
        <v>2.5</v>
      </c>
      <c r="CQ138" s="521">
        <v>2.5625</v>
      </c>
      <c r="CR138" s="521">
        <v>2.6265624999999999</v>
      </c>
      <c r="CS138" s="521">
        <v>2.6922265624999997</v>
      </c>
      <c r="CT138" s="521">
        <v>2.7595322265624995</v>
      </c>
      <c r="CU138" s="521">
        <v>2.8285205322265621</v>
      </c>
      <c r="CV138" s="521">
        <v>2.8992335455322262</v>
      </c>
      <c r="CW138" s="521">
        <v>2.9717143841705318</v>
      </c>
      <c r="CX138" s="521">
        <v>2.5</v>
      </c>
      <c r="CY138" s="521">
        <v>2.5625</v>
      </c>
      <c r="CZ138" s="521">
        <v>2.6265624999999999</v>
      </c>
      <c r="DA138" s="522">
        <v>2.6922265624999997</v>
      </c>
      <c r="DB138" s="523">
        <v>0.38442487882091303</v>
      </c>
      <c r="DC138" s="524">
        <v>0.62045820687875208</v>
      </c>
      <c r="DD138" s="524">
        <v>0.69373497389873018</v>
      </c>
      <c r="DE138" s="524">
        <v>0.77551521588735151</v>
      </c>
      <c r="DF138" s="524">
        <v>0.86677398714335085</v>
      </c>
      <c r="DG138" s="524">
        <v>0.96859626794755282</v>
      </c>
      <c r="DH138" s="524">
        <v>1.0821885812794436</v>
      </c>
      <c r="DI138" s="524">
        <v>1.2088914647455429</v>
      </c>
      <c r="DJ138" s="524">
        <v>1.2347685153247943</v>
      </c>
      <c r="DK138" s="524">
        <v>0.55626665474755121</v>
      </c>
      <c r="DL138" s="524">
        <v>1.7359328740189639E-3</v>
      </c>
      <c r="DM138" s="524">
        <v>1.9708647562968196E-3</v>
      </c>
      <c r="DN138" s="524">
        <v>2.2354202696508452E-3</v>
      </c>
      <c r="DO138" s="524">
        <v>2.5331778258710358E-3</v>
      </c>
      <c r="DP138" s="524">
        <v>2.868135879909417E-3</v>
      </c>
      <c r="DQ138" s="524">
        <v>3.2447612536401493E-3</v>
      </c>
      <c r="DR138" s="524">
        <v>-7.1541103495176728E-2</v>
      </c>
      <c r="DS138" s="524">
        <v>0.18035423420635688</v>
      </c>
      <c r="DT138" s="524">
        <v>-4.4502389229261752E-3</v>
      </c>
      <c r="DU138" s="525">
        <v>-5.0566285812330136E-3</v>
      </c>
      <c r="DV138" s="526">
        <v>4.3</v>
      </c>
      <c r="DW138" s="507">
        <v>3</v>
      </c>
      <c r="DX138" s="509">
        <v>9.5</v>
      </c>
      <c r="DY138" s="507">
        <v>6</v>
      </c>
      <c r="DZ138" s="507">
        <v>15</v>
      </c>
      <c r="EA138" s="507">
        <v>0</v>
      </c>
      <c r="EB138" s="507">
        <v>0</v>
      </c>
      <c r="EC138" s="507">
        <v>1786.0000000000002</v>
      </c>
      <c r="ED138" s="507">
        <v>1635.0000000000002</v>
      </c>
      <c r="EE138" s="507">
        <v>0</v>
      </c>
      <c r="EF138" s="507">
        <v>400.99999999999994</v>
      </c>
      <c r="EG138" s="507">
        <v>469</v>
      </c>
      <c r="EH138" s="507">
        <v>205</v>
      </c>
      <c r="EI138" s="507">
        <v>267</v>
      </c>
      <c r="EJ138" s="507">
        <v>903</v>
      </c>
      <c r="EK138" s="507">
        <v>167</v>
      </c>
      <c r="EL138" s="507">
        <v>167</v>
      </c>
      <c r="EM138" s="508">
        <v>6000</v>
      </c>
    </row>
    <row r="139" spans="2:143" x14ac:dyDescent="0.25">
      <c r="B139" s="506" t="str">
        <f>[1]RONET_Input!J110</f>
        <v xml:space="preserve">Input VPROMMS: 214TT00015 (75.0 pct); 214tt00062 (25.0 pct); </v>
      </c>
      <c r="C139" s="359">
        <f>[1]RONET_Input!B110</f>
        <v>108</v>
      </c>
      <c r="D139" s="397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442">
        <f>[1]RONET_Input!K110</f>
        <v>9.0626245323200003E-2</v>
      </c>
      <c r="Q139" s="398">
        <f>[1]RONET_Input!Y110</f>
        <v>2</v>
      </c>
      <c r="R139" s="398">
        <f>[1]RONET_Input!X110</f>
        <v>3.5</v>
      </c>
      <c r="S139" s="398"/>
      <c r="T139" s="398"/>
      <c r="U139" s="398">
        <f>[1]RONET_Input!AA110</f>
        <v>8</v>
      </c>
      <c r="V139" s="398">
        <f>[1]RONET_Input!AC110</f>
        <v>1</v>
      </c>
      <c r="W139" s="398">
        <f>[1]RONET_Input!AD110</f>
        <v>1</v>
      </c>
      <c r="X139" s="398">
        <f>[1]RONET_Input!AE110</f>
        <v>4</v>
      </c>
      <c r="Y139" s="398">
        <f>[1]RONET_Input!AB110</f>
        <v>1</v>
      </c>
      <c r="Z139" s="438">
        <f>[1]RONET_Input!Z110</f>
        <v>1</v>
      </c>
      <c r="AA139" s="442"/>
      <c r="AB139" s="398"/>
      <c r="AC139" s="438"/>
      <c r="AD139" s="442">
        <f>[1]RONET_Input!AH110</f>
        <v>4</v>
      </c>
      <c r="AE139" s="398">
        <f>[1]RONET_Input!D110</f>
        <v>8.64</v>
      </c>
      <c r="AF139" s="398"/>
      <c r="AG139" s="398"/>
      <c r="AH139" s="398"/>
      <c r="AI139" s="438"/>
      <c r="AJ139" s="442">
        <v>1</v>
      </c>
      <c r="AK139" s="442">
        <f>[1]RONET_Input!AF110</f>
        <v>4</v>
      </c>
      <c r="AL139" s="507"/>
      <c r="AM139" s="507"/>
      <c r="AN139" s="507"/>
      <c r="AO139" s="507"/>
      <c r="AP139" s="507"/>
      <c r="AQ139" s="507"/>
      <c r="AR139" s="507"/>
      <c r="AS139" s="507"/>
      <c r="AT139" s="507"/>
      <c r="AU139" s="507"/>
      <c r="AV139" s="507"/>
      <c r="AW139" s="507"/>
      <c r="AX139" s="508"/>
      <c r="AY139" s="509">
        <f>[1]RONET_Input!AG110</f>
        <v>3</v>
      </c>
      <c r="AZ139" s="359" t="s">
        <v>321</v>
      </c>
      <c r="BA139" s="360" t="s">
        <v>502</v>
      </c>
      <c r="BB139" s="360" t="s">
        <v>443</v>
      </c>
      <c r="BC139" s="510">
        <v>4.5358435784261597E-3</v>
      </c>
      <c r="BD139" s="510">
        <v>5.0049999999999997E-2</v>
      </c>
      <c r="BE139" s="438">
        <v>5</v>
      </c>
      <c r="BF139" s="511">
        <v>4.0206313438492312E-2</v>
      </c>
      <c r="BG139" s="512">
        <v>0.44364977601250832</v>
      </c>
      <c r="BH139" s="512">
        <v>8.8641313888613062</v>
      </c>
      <c r="BI139" s="513">
        <v>0</v>
      </c>
      <c r="BJ139" s="514">
        <v>375</v>
      </c>
      <c r="BK139" s="515">
        <v>0.22366666666666665</v>
      </c>
      <c r="BL139" s="512">
        <v>1.2404467328612999E-2</v>
      </c>
      <c r="BM139" s="516">
        <v>3.2054071874999999E-2</v>
      </c>
      <c r="BN139" s="517">
        <v>375</v>
      </c>
      <c r="BO139" s="518">
        <v>397.50000000000011</v>
      </c>
      <c r="BP139" s="518">
        <v>421.34999999999991</v>
      </c>
      <c r="BQ139" s="518">
        <v>446.63099999999997</v>
      </c>
      <c r="BR139" s="518">
        <v>473.42885999999999</v>
      </c>
      <c r="BS139" s="518">
        <v>501.83459160000012</v>
      </c>
      <c r="BT139" s="518">
        <v>531.9446670960001</v>
      </c>
      <c r="BU139" s="518">
        <v>563.86134712175999</v>
      </c>
      <c r="BV139" s="518">
        <v>597.69302794906582</v>
      </c>
      <c r="BW139" s="518">
        <v>633.55460962600955</v>
      </c>
      <c r="BX139" s="518">
        <v>671.56788620357008</v>
      </c>
      <c r="BY139" s="518">
        <v>711.86195937578441</v>
      </c>
      <c r="BZ139" s="518">
        <v>754.57367693833146</v>
      </c>
      <c r="CA139" s="518">
        <v>799.84809755463141</v>
      </c>
      <c r="CB139" s="518">
        <v>847.83898340790915</v>
      </c>
      <c r="CC139" s="518">
        <v>898.70932241238381</v>
      </c>
      <c r="CD139" s="518">
        <v>952.63188175712685</v>
      </c>
      <c r="CE139" s="518">
        <v>1009.7897946625544</v>
      </c>
      <c r="CF139" s="518">
        <v>1070.3771823423076</v>
      </c>
      <c r="CG139" s="519">
        <v>1134.5998132828461</v>
      </c>
      <c r="CH139" s="520">
        <v>8.64</v>
      </c>
      <c r="CI139" s="521">
        <v>8.8128000000000011</v>
      </c>
      <c r="CJ139" s="521">
        <v>8.9890560000000015</v>
      </c>
      <c r="CK139" s="521">
        <v>9.168837120000001</v>
      </c>
      <c r="CL139" s="521">
        <v>2.5</v>
      </c>
      <c r="CM139" s="521">
        <v>2.5499999999999998</v>
      </c>
      <c r="CN139" s="521">
        <v>2.601</v>
      </c>
      <c r="CO139" s="521">
        <v>2.6530200000000002</v>
      </c>
      <c r="CP139" s="521">
        <v>2.7060804000000003</v>
      </c>
      <c r="CQ139" s="521">
        <v>2.7602020080000003</v>
      </c>
      <c r="CR139" s="521">
        <v>2.8154060481600003</v>
      </c>
      <c r="CS139" s="521">
        <v>2.8717141691232002</v>
      </c>
      <c r="CT139" s="521">
        <v>2.5</v>
      </c>
      <c r="CU139" s="521">
        <v>2.5499999999999998</v>
      </c>
      <c r="CV139" s="521">
        <v>2.601</v>
      </c>
      <c r="CW139" s="521">
        <v>2.6530200000000002</v>
      </c>
      <c r="CX139" s="521">
        <v>2.7060804000000003</v>
      </c>
      <c r="CY139" s="521">
        <v>2.7602020080000003</v>
      </c>
      <c r="CZ139" s="521">
        <v>2.8154060481600003</v>
      </c>
      <c r="DA139" s="522">
        <v>2.8717141691232002</v>
      </c>
      <c r="DB139" s="523">
        <v>0</v>
      </c>
      <c r="DC139" s="524">
        <v>0</v>
      </c>
      <c r="DD139" s="524">
        <v>0</v>
      </c>
      <c r="DE139" s="524">
        <v>0</v>
      </c>
      <c r="DF139" s="524">
        <v>-2.8220551438175069E-3</v>
      </c>
      <c r="DG139" s="524">
        <v>1.4417692694347096E-3</v>
      </c>
      <c r="DH139" s="524">
        <v>1.5920565795867897E-3</v>
      </c>
      <c r="DI139" s="524">
        <v>1.7578716714885707E-3</v>
      </c>
      <c r="DJ139" s="524">
        <v>1.9408096897671496E-3</v>
      </c>
      <c r="DK139" s="524">
        <v>6.1846918389519043E-2</v>
      </c>
      <c r="DL139" s="524">
        <v>1.5595144340433895E-5</v>
      </c>
      <c r="DM139" s="524">
        <v>1.1233415556899037E-5</v>
      </c>
      <c r="DN139" s="524">
        <v>-4.0703703954568966E-3</v>
      </c>
      <c r="DO139" s="524">
        <v>5.691645504826183E-5</v>
      </c>
      <c r="DP139" s="524">
        <v>5.6189042612213996E-5</v>
      </c>
      <c r="DQ139" s="524">
        <v>5.5003663638773792E-5</v>
      </c>
      <c r="DR139" s="524">
        <v>5.329154449164146E-5</v>
      </c>
      <c r="DS139" s="524">
        <v>8.3440086872819934E-3</v>
      </c>
      <c r="DT139" s="524">
        <v>9.0541505876957917E-5</v>
      </c>
      <c r="DU139" s="525">
        <v>9.2081509296189357E-5</v>
      </c>
      <c r="DV139" s="526">
        <v>3.5</v>
      </c>
      <c r="DW139" s="507">
        <v>1</v>
      </c>
      <c r="DX139" s="509">
        <v>8.64</v>
      </c>
      <c r="DY139" s="507">
        <v>2</v>
      </c>
      <c r="DZ139" s="507">
        <v>15</v>
      </c>
      <c r="EA139" s="507">
        <v>0</v>
      </c>
      <c r="EB139" s="507">
        <v>0</v>
      </c>
      <c r="EC139" s="507">
        <v>111.62500000000001</v>
      </c>
      <c r="ED139" s="507">
        <v>102.18750000000001</v>
      </c>
      <c r="EE139" s="507">
        <v>0</v>
      </c>
      <c r="EF139" s="507">
        <v>25.062499999999996</v>
      </c>
      <c r="EG139" s="507">
        <v>29.3125</v>
      </c>
      <c r="EH139" s="507">
        <v>12.8125</v>
      </c>
      <c r="EI139" s="507">
        <v>16.6875</v>
      </c>
      <c r="EJ139" s="507">
        <v>56.4375</v>
      </c>
      <c r="EK139" s="507">
        <v>10.4375</v>
      </c>
      <c r="EL139" s="507">
        <v>10.4375</v>
      </c>
      <c r="EM139" s="508">
        <v>375</v>
      </c>
    </row>
    <row r="140" spans="2:143" x14ac:dyDescent="0.25">
      <c r="B140" s="506" t="str">
        <f>[1]RONET_Input!J111</f>
        <v>214TT00010</v>
      </c>
      <c r="C140" s="359">
        <f>[1]RONET_Input!B111</f>
        <v>109</v>
      </c>
      <c r="D140" s="397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442">
        <f>[1]RONET_Input!K111</f>
        <v>3.5013848061999999</v>
      </c>
      <c r="Q140" s="398">
        <f>[1]RONET_Input!Y111</f>
        <v>1</v>
      </c>
      <c r="R140" s="398">
        <f>[1]RONET_Input!X111</f>
        <v>3.4</v>
      </c>
      <c r="S140" s="398"/>
      <c r="T140" s="398"/>
      <c r="U140" s="398">
        <f>[1]RONET_Input!AA111</f>
        <v>8</v>
      </c>
      <c r="V140" s="398">
        <f>[1]RONET_Input!AC111</f>
        <v>1</v>
      </c>
      <c r="W140" s="398">
        <f>[1]RONET_Input!AD111</f>
        <v>1</v>
      </c>
      <c r="X140" s="398">
        <f>[1]RONET_Input!AE111</f>
        <v>4</v>
      </c>
      <c r="Y140" s="398">
        <f>[1]RONET_Input!AB111</f>
        <v>1</v>
      </c>
      <c r="Z140" s="438">
        <f>[1]RONET_Input!Z111</f>
        <v>1</v>
      </c>
      <c r="AA140" s="442"/>
      <c r="AB140" s="398"/>
      <c r="AC140" s="438"/>
      <c r="AD140" s="442">
        <f>[1]RONET_Input!AH111</f>
        <v>4</v>
      </c>
      <c r="AE140" s="398">
        <f>[1]RONET_Input!D111</f>
        <v>8.68</v>
      </c>
      <c r="AF140" s="398"/>
      <c r="AG140" s="398"/>
      <c r="AH140" s="398"/>
      <c r="AI140" s="438"/>
      <c r="AJ140" s="442">
        <v>1</v>
      </c>
      <c r="AK140" s="442">
        <f>[1]RONET_Input!AF111</f>
        <v>4</v>
      </c>
      <c r="AL140" s="507"/>
      <c r="AM140" s="507"/>
      <c r="AN140" s="507"/>
      <c r="AO140" s="507"/>
      <c r="AP140" s="507"/>
      <c r="AQ140" s="507"/>
      <c r="AR140" s="507"/>
      <c r="AS140" s="507"/>
      <c r="AT140" s="507"/>
      <c r="AU140" s="507"/>
      <c r="AV140" s="507"/>
      <c r="AW140" s="507"/>
      <c r="AX140" s="508"/>
      <c r="AY140" s="509">
        <f>[1]RONET_Input!AG111</f>
        <v>3</v>
      </c>
      <c r="AZ140" s="359" t="s">
        <v>321</v>
      </c>
      <c r="BA140" s="360" t="s">
        <v>502</v>
      </c>
      <c r="BB140" s="360" t="s">
        <v>443</v>
      </c>
      <c r="BC140" s="510">
        <v>0.17023732927744398</v>
      </c>
      <c r="BD140" s="510">
        <v>4.8619999999999997E-2</v>
      </c>
      <c r="BE140" s="438">
        <v>5</v>
      </c>
      <c r="BF140" s="511">
        <v>1.6270109341176477</v>
      </c>
      <c r="BG140" s="512">
        <v>0.46467641352548683</v>
      </c>
      <c r="BH140" s="512">
        <v>9.557310027262174</v>
      </c>
      <c r="BI140" s="513">
        <v>0</v>
      </c>
      <c r="BJ140" s="514">
        <v>375</v>
      </c>
      <c r="BK140" s="515">
        <v>0.22366666666666665</v>
      </c>
      <c r="BL140" s="512">
        <v>0.47925204534862509</v>
      </c>
      <c r="BM140" s="516">
        <v>6.4108143749999999E-2</v>
      </c>
      <c r="BN140" s="517">
        <v>375</v>
      </c>
      <c r="BO140" s="518">
        <v>397.50000000000011</v>
      </c>
      <c r="BP140" s="518">
        <v>421.34999999999991</v>
      </c>
      <c r="BQ140" s="518">
        <v>446.63099999999997</v>
      </c>
      <c r="BR140" s="518">
        <v>473.42885999999999</v>
      </c>
      <c r="BS140" s="518">
        <v>501.83459160000012</v>
      </c>
      <c r="BT140" s="518">
        <v>531.9446670960001</v>
      </c>
      <c r="BU140" s="518">
        <v>563.86134712175999</v>
      </c>
      <c r="BV140" s="518">
        <v>597.69302794906582</v>
      </c>
      <c r="BW140" s="518">
        <v>633.55460962600955</v>
      </c>
      <c r="BX140" s="518">
        <v>671.56788620357008</v>
      </c>
      <c r="BY140" s="518">
        <v>711.86195937578441</v>
      </c>
      <c r="BZ140" s="518">
        <v>754.57367693833146</v>
      </c>
      <c r="CA140" s="518">
        <v>799.84809755463141</v>
      </c>
      <c r="CB140" s="518">
        <v>847.83898340790915</v>
      </c>
      <c r="CC140" s="518">
        <v>898.70932241238381</v>
      </c>
      <c r="CD140" s="518">
        <v>952.63188175712685</v>
      </c>
      <c r="CE140" s="518">
        <v>1009.7897946625544</v>
      </c>
      <c r="CF140" s="518">
        <v>1070.3771823423076</v>
      </c>
      <c r="CG140" s="519">
        <v>1134.5998132828461</v>
      </c>
      <c r="CH140" s="520">
        <v>8.68</v>
      </c>
      <c r="CI140" s="521">
        <v>8.8536000000000001</v>
      </c>
      <c r="CJ140" s="521">
        <v>9.0306720000000009</v>
      </c>
      <c r="CK140" s="521">
        <v>9.211285440000001</v>
      </c>
      <c r="CL140" s="521">
        <v>2.5</v>
      </c>
      <c r="CM140" s="521">
        <v>2.5499999999999998</v>
      </c>
      <c r="CN140" s="521">
        <v>2.601</v>
      </c>
      <c r="CO140" s="521">
        <v>2.6530200000000002</v>
      </c>
      <c r="CP140" s="521">
        <v>2.7060804000000003</v>
      </c>
      <c r="CQ140" s="521">
        <v>2.7602020080000003</v>
      </c>
      <c r="CR140" s="521">
        <v>2.8154060481600003</v>
      </c>
      <c r="CS140" s="521">
        <v>2.8717141691232002</v>
      </c>
      <c r="CT140" s="521">
        <v>2.5</v>
      </c>
      <c r="CU140" s="521">
        <v>2.5499999999999998</v>
      </c>
      <c r="CV140" s="521">
        <v>2.601</v>
      </c>
      <c r="CW140" s="521">
        <v>2.6530200000000002</v>
      </c>
      <c r="CX140" s="521">
        <v>2.7060804000000003</v>
      </c>
      <c r="CY140" s="521">
        <v>2.7602020080000003</v>
      </c>
      <c r="CZ140" s="521">
        <v>2.8154060481600003</v>
      </c>
      <c r="DA140" s="522">
        <v>2.8717141691232002</v>
      </c>
      <c r="DB140" s="523">
        <v>0</v>
      </c>
      <c r="DC140" s="524">
        <v>0</v>
      </c>
      <c r="DD140" s="524">
        <v>0</v>
      </c>
      <c r="DE140" s="524">
        <v>0</v>
      </c>
      <c r="DF140" s="524">
        <v>-0.10094343704064301</v>
      </c>
      <c r="DG140" s="524">
        <v>5.9461305417098931E-2</v>
      </c>
      <c r="DH140" s="524">
        <v>6.5505568218820143E-2</v>
      </c>
      <c r="DI140" s="524">
        <v>7.2161384716031507E-2</v>
      </c>
      <c r="DJ140" s="524">
        <v>7.9490457576046669E-2</v>
      </c>
      <c r="DK140" s="524">
        <v>2.3992188044566753</v>
      </c>
      <c r="DL140" s="524">
        <v>1.0488457865207301E-2</v>
      </c>
      <c r="DM140" s="524">
        <v>1.0474966174945977E-2</v>
      </c>
      <c r="DN140" s="524">
        <v>-0.14204821504706761</v>
      </c>
      <c r="DO140" s="524">
        <v>1.3055024964015172E-2</v>
      </c>
      <c r="DP140" s="524">
        <v>1.3234562968816643E-2</v>
      </c>
      <c r="DQ140" s="524">
        <v>1.3404121757701781E-2</v>
      </c>
      <c r="DR140" s="524">
        <v>1.3561151749940104E-2</v>
      </c>
      <c r="DS140" s="524">
        <v>0.33410774042142488</v>
      </c>
      <c r="DT140" s="524">
        <v>1.5470476580308201E-2</v>
      </c>
      <c r="DU140" s="525">
        <v>1.57770625712913E-2</v>
      </c>
      <c r="DV140" s="526">
        <v>3.4</v>
      </c>
      <c r="DW140" s="507">
        <v>1</v>
      </c>
      <c r="DX140" s="509">
        <v>8.68</v>
      </c>
      <c r="DY140" s="507">
        <v>2</v>
      </c>
      <c r="DZ140" s="507">
        <v>15</v>
      </c>
      <c r="EA140" s="507">
        <v>0</v>
      </c>
      <c r="EB140" s="507">
        <v>0</v>
      </c>
      <c r="EC140" s="507">
        <v>111.62500000000001</v>
      </c>
      <c r="ED140" s="507">
        <v>102.18750000000001</v>
      </c>
      <c r="EE140" s="507">
        <v>0</v>
      </c>
      <c r="EF140" s="507">
        <v>25.062499999999996</v>
      </c>
      <c r="EG140" s="507">
        <v>29.3125</v>
      </c>
      <c r="EH140" s="507">
        <v>12.8125</v>
      </c>
      <c r="EI140" s="507">
        <v>16.6875</v>
      </c>
      <c r="EJ140" s="507">
        <v>56.4375</v>
      </c>
      <c r="EK140" s="507">
        <v>10.4375</v>
      </c>
      <c r="EL140" s="507">
        <v>10.4375</v>
      </c>
      <c r="EM140" s="508">
        <v>375</v>
      </c>
    </row>
    <row r="141" spans="2:143" x14ac:dyDescent="0.25">
      <c r="B141" s="506" t="str">
        <f>[1]RONET_Input!J112</f>
        <v>214tt00062</v>
      </c>
      <c r="C141" s="359">
        <f>[1]RONET_Input!B112</f>
        <v>110</v>
      </c>
      <c r="D141" s="397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442">
        <f>[1]RONET_Input!K112</f>
        <v>10.690574189299999</v>
      </c>
      <c r="Q141" s="398">
        <f>[1]RONET_Input!Y112</f>
        <v>1</v>
      </c>
      <c r="R141" s="398">
        <f>[1]RONET_Input!X112</f>
        <v>3.4</v>
      </c>
      <c r="S141" s="398"/>
      <c r="T141" s="398"/>
      <c r="U141" s="398">
        <f>[1]RONET_Input!AA112</f>
        <v>8</v>
      </c>
      <c r="V141" s="398">
        <f>[1]RONET_Input!AC112</f>
        <v>1</v>
      </c>
      <c r="W141" s="398">
        <f>[1]RONET_Input!AD112</f>
        <v>1</v>
      </c>
      <c r="X141" s="398">
        <f>[1]RONET_Input!AE112</f>
        <v>4</v>
      </c>
      <c r="Y141" s="398">
        <f>[1]RONET_Input!AB112</f>
        <v>1</v>
      </c>
      <c r="Z141" s="438">
        <f>[1]RONET_Input!Z112</f>
        <v>1</v>
      </c>
      <c r="AA141" s="442"/>
      <c r="AB141" s="398"/>
      <c r="AC141" s="438"/>
      <c r="AD141" s="442">
        <f>[1]RONET_Input!AH112</f>
        <v>5</v>
      </c>
      <c r="AE141" s="398">
        <f>[1]RONET_Input!D112</f>
        <v>14.26</v>
      </c>
      <c r="AF141" s="398"/>
      <c r="AG141" s="398"/>
      <c r="AH141" s="398"/>
      <c r="AI141" s="438"/>
      <c r="AJ141" s="442">
        <v>1</v>
      </c>
      <c r="AK141" s="442">
        <f>[1]RONET_Input!AF112</f>
        <v>4</v>
      </c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8"/>
      <c r="AY141" s="509">
        <f>[1]RONET_Input!AG112</f>
        <v>3</v>
      </c>
      <c r="AZ141" s="359" t="s">
        <v>321</v>
      </c>
      <c r="BA141" s="360" t="s">
        <v>502</v>
      </c>
      <c r="BB141" s="360" t="s">
        <v>443</v>
      </c>
      <c r="BC141" s="510">
        <v>0.51977571708376591</v>
      </c>
      <c r="BD141" s="510">
        <v>4.8619999999999997E-2</v>
      </c>
      <c r="BE141" s="438">
        <v>1</v>
      </c>
      <c r="BF141" s="511">
        <v>7.0569479628939158</v>
      </c>
      <c r="BG141" s="512">
        <v>0.66010934847232861</v>
      </c>
      <c r="BH141" s="512">
        <v>13.576909676518484</v>
      </c>
      <c r="BI141" s="513">
        <v>0</v>
      </c>
      <c r="BJ141" s="514">
        <v>375</v>
      </c>
      <c r="BK141" s="515">
        <v>0.22366666666666665</v>
      </c>
      <c r="BL141" s="512">
        <v>1.4632723421604372</v>
      </c>
      <c r="BM141" s="516">
        <v>6.4108143749999999E-2</v>
      </c>
      <c r="BN141" s="517">
        <v>375</v>
      </c>
      <c r="BO141" s="518">
        <v>397.50000000000011</v>
      </c>
      <c r="BP141" s="518">
        <v>421.34999999999991</v>
      </c>
      <c r="BQ141" s="518">
        <v>446.63099999999997</v>
      </c>
      <c r="BR141" s="518">
        <v>473.42885999999999</v>
      </c>
      <c r="BS141" s="518">
        <v>501.83459160000012</v>
      </c>
      <c r="BT141" s="518">
        <v>531.9446670960001</v>
      </c>
      <c r="BU141" s="518">
        <v>563.86134712175999</v>
      </c>
      <c r="BV141" s="518">
        <v>597.69302794906582</v>
      </c>
      <c r="BW141" s="518">
        <v>633.55460962600955</v>
      </c>
      <c r="BX141" s="518">
        <v>671.56788620357008</v>
      </c>
      <c r="BY141" s="518">
        <v>711.86195937578441</v>
      </c>
      <c r="BZ141" s="518">
        <v>754.57367693833146</v>
      </c>
      <c r="CA141" s="518">
        <v>799.84809755463141</v>
      </c>
      <c r="CB141" s="518">
        <v>847.83898340790915</v>
      </c>
      <c r="CC141" s="518">
        <v>898.70932241238381</v>
      </c>
      <c r="CD141" s="518">
        <v>952.63188175712685</v>
      </c>
      <c r="CE141" s="518">
        <v>1009.7897946625544</v>
      </c>
      <c r="CF141" s="518">
        <v>1070.3771823423076</v>
      </c>
      <c r="CG141" s="519">
        <v>1134.5998132828461</v>
      </c>
      <c r="CH141" s="520">
        <v>2.5</v>
      </c>
      <c r="CI141" s="521">
        <v>2.5499999999999998</v>
      </c>
      <c r="CJ141" s="521">
        <v>2.601</v>
      </c>
      <c r="CK141" s="521">
        <v>2.6530200000000002</v>
      </c>
      <c r="CL141" s="521">
        <v>2.7060804000000003</v>
      </c>
      <c r="CM141" s="521">
        <v>2.7602020080000003</v>
      </c>
      <c r="CN141" s="521">
        <v>2.8154060481600003</v>
      </c>
      <c r="CO141" s="521">
        <v>2.8717141691232002</v>
      </c>
      <c r="CP141" s="521">
        <v>2.5</v>
      </c>
      <c r="CQ141" s="521">
        <v>2.5499999999999998</v>
      </c>
      <c r="CR141" s="521">
        <v>2.601</v>
      </c>
      <c r="CS141" s="521">
        <v>2.6530200000000002</v>
      </c>
      <c r="CT141" s="521">
        <v>2.7060804000000003</v>
      </c>
      <c r="CU141" s="521">
        <v>2.7602020080000003</v>
      </c>
      <c r="CV141" s="521">
        <v>2.8154060481600003</v>
      </c>
      <c r="CW141" s="521">
        <v>2.8717141691232002</v>
      </c>
      <c r="CX141" s="521">
        <v>2.5</v>
      </c>
      <c r="CY141" s="521">
        <v>2.5499999999999998</v>
      </c>
      <c r="CZ141" s="521">
        <v>2.601</v>
      </c>
      <c r="DA141" s="522">
        <v>2.6530200000000002</v>
      </c>
      <c r="DB141" s="523">
        <v>-0.16855637671593549</v>
      </c>
      <c r="DC141" s="524">
        <v>0.33492528749735229</v>
      </c>
      <c r="DD141" s="524">
        <v>0.36836140764638281</v>
      </c>
      <c r="DE141" s="524">
        <v>0.40499985324112542</v>
      </c>
      <c r="DF141" s="524">
        <v>0.4451033219030599</v>
      </c>
      <c r="DG141" s="524">
        <v>0.4889422107600172</v>
      </c>
      <c r="DH141" s="524">
        <v>0.533190155383786</v>
      </c>
      <c r="DI141" s="524">
        <v>0.5644144590519995</v>
      </c>
      <c r="DJ141" s="524">
        <v>0.13031789228447765</v>
      </c>
      <c r="DK141" s="524">
        <v>7.3283739668433743</v>
      </c>
      <c r="DL141" s="524">
        <v>3.5317685298027257E-2</v>
      </c>
      <c r="DM141" s="524">
        <v>3.562413956802124E-2</v>
      </c>
      <c r="DN141" s="524">
        <v>3.5887473057784725E-2</v>
      </c>
      <c r="DO141" s="524">
        <v>3.6099224156767029E-2</v>
      </c>
      <c r="DP141" s="524">
        <v>3.6249862045157899E-2</v>
      </c>
      <c r="DQ141" s="524">
        <v>3.632866885136643E-2</v>
      </c>
      <c r="DR141" s="524">
        <v>-0.42729688013185085</v>
      </c>
      <c r="DS141" s="524">
        <v>1.0248597724370494</v>
      </c>
      <c r="DT141" s="524">
        <v>5.2485061826044177E-2</v>
      </c>
      <c r="DU141" s="525">
        <v>5.3975240522484258E-2</v>
      </c>
      <c r="DV141" s="526">
        <v>3.4</v>
      </c>
      <c r="DW141" s="507">
        <v>1</v>
      </c>
      <c r="DX141" s="509">
        <v>14.26</v>
      </c>
      <c r="DY141" s="507">
        <v>2</v>
      </c>
      <c r="DZ141" s="507">
        <v>20</v>
      </c>
      <c r="EA141" s="507">
        <v>0</v>
      </c>
      <c r="EB141" s="507">
        <v>0</v>
      </c>
      <c r="EC141" s="507">
        <v>111.62500000000001</v>
      </c>
      <c r="ED141" s="507">
        <v>102.18750000000001</v>
      </c>
      <c r="EE141" s="507">
        <v>0</v>
      </c>
      <c r="EF141" s="507">
        <v>25.062499999999996</v>
      </c>
      <c r="EG141" s="507">
        <v>29.3125</v>
      </c>
      <c r="EH141" s="507">
        <v>12.8125</v>
      </c>
      <c r="EI141" s="507">
        <v>16.6875</v>
      </c>
      <c r="EJ141" s="507">
        <v>56.4375</v>
      </c>
      <c r="EK141" s="507">
        <v>10.4375</v>
      </c>
      <c r="EL141" s="507">
        <v>10.4375</v>
      </c>
      <c r="EM141" s="508">
        <v>375</v>
      </c>
    </row>
    <row r="142" spans="2:143" x14ac:dyDescent="0.25">
      <c r="B142" s="506" t="str">
        <f>[1]RONET_Input!J113</f>
        <v>214TT00015</v>
      </c>
      <c r="C142" s="359">
        <f>[1]RONET_Input!B113</f>
        <v>111</v>
      </c>
      <c r="D142" s="397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442">
        <f>[1]RONET_Input!K113</f>
        <v>1.8537620344800001</v>
      </c>
      <c r="Q142" s="398">
        <f>[1]RONET_Input!Y113</f>
        <v>1</v>
      </c>
      <c r="R142" s="398">
        <f>[1]RONET_Input!X113</f>
        <v>3.4</v>
      </c>
      <c r="S142" s="398"/>
      <c r="T142" s="398"/>
      <c r="U142" s="398">
        <f>[1]RONET_Input!AA113</f>
        <v>8</v>
      </c>
      <c r="V142" s="398">
        <f>[1]RONET_Input!AC113</f>
        <v>1</v>
      </c>
      <c r="W142" s="398">
        <f>[1]RONET_Input!AD113</f>
        <v>1</v>
      </c>
      <c r="X142" s="398">
        <f>[1]RONET_Input!AE113</f>
        <v>4</v>
      </c>
      <c r="Y142" s="398">
        <f>[1]RONET_Input!AB113</f>
        <v>1</v>
      </c>
      <c r="Z142" s="438">
        <f>[1]RONET_Input!Z113</f>
        <v>1</v>
      </c>
      <c r="AA142" s="442"/>
      <c r="AB142" s="398"/>
      <c r="AC142" s="438"/>
      <c r="AD142" s="442">
        <f>[1]RONET_Input!AH113</f>
        <v>4</v>
      </c>
      <c r="AE142" s="398">
        <f>[1]RONET_Input!D113</f>
        <v>10.244999999999999</v>
      </c>
      <c r="AF142" s="398"/>
      <c r="AG142" s="398"/>
      <c r="AH142" s="398"/>
      <c r="AI142" s="438"/>
      <c r="AJ142" s="442">
        <v>1</v>
      </c>
      <c r="AK142" s="442">
        <f>[1]RONET_Input!AF113</f>
        <v>4</v>
      </c>
      <c r="AL142" s="507"/>
      <c r="AM142" s="507"/>
      <c r="AN142" s="507"/>
      <c r="AO142" s="507"/>
      <c r="AP142" s="507"/>
      <c r="AQ142" s="507"/>
      <c r="AR142" s="507"/>
      <c r="AS142" s="507"/>
      <c r="AT142" s="507"/>
      <c r="AU142" s="507"/>
      <c r="AV142" s="507"/>
      <c r="AW142" s="507"/>
      <c r="AX142" s="508"/>
      <c r="AY142" s="509">
        <f>[1]RONET_Input!AG113</f>
        <v>3</v>
      </c>
      <c r="AZ142" s="359" t="s">
        <v>321</v>
      </c>
      <c r="BA142" s="360" t="s">
        <v>502</v>
      </c>
      <c r="BB142" s="360" t="s">
        <v>443</v>
      </c>
      <c r="BC142" s="510">
        <v>9.0129910116417605E-2</v>
      </c>
      <c r="BD142" s="510">
        <v>4.8620000000000003E-2</v>
      </c>
      <c r="BE142" s="438">
        <v>5</v>
      </c>
      <c r="BF142" s="511">
        <v>0.91143689080528223</v>
      </c>
      <c r="BG142" s="512">
        <v>0.49166876538225679</v>
      </c>
      <c r="BH142" s="512">
        <v>10.11247974870952</v>
      </c>
      <c r="BI142" s="513">
        <v>0</v>
      </c>
      <c r="BJ142" s="514">
        <v>375</v>
      </c>
      <c r="BK142" s="515">
        <v>0.22366666666666665</v>
      </c>
      <c r="BL142" s="512">
        <v>0.25373367846945</v>
      </c>
      <c r="BM142" s="516">
        <v>6.4108143749999999E-2</v>
      </c>
      <c r="BN142" s="517">
        <v>375</v>
      </c>
      <c r="BO142" s="518">
        <v>397.50000000000011</v>
      </c>
      <c r="BP142" s="518">
        <v>421.34999999999991</v>
      </c>
      <c r="BQ142" s="518">
        <v>446.63099999999997</v>
      </c>
      <c r="BR142" s="518">
        <v>473.42885999999999</v>
      </c>
      <c r="BS142" s="518">
        <v>501.83459160000012</v>
      </c>
      <c r="BT142" s="518">
        <v>531.9446670960001</v>
      </c>
      <c r="BU142" s="518">
        <v>563.86134712175999</v>
      </c>
      <c r="BV142" s="518">
        <v>597.69302794906582</v>
      </c>
      <c r="BW142" s="518">
        <v>633.55460962600955</v>
      </c>
      <c r="BX142" s="518">
        <v>671.56788620357008</v>
      </c>
      <c r="BY142" s="518">
        <v>711.86195937578441</v>
      </c>
      <c r="BZ142" s="518">
        <v>754.57367693833146</v>
      </c>
      <c r="CA142" s="518">
        <v>799.84809755463141</v>
      </c>
      <c r="CB142" s="518">
        <v>847.83898340790915</v>
      </c>
      <c r="CC142" s="518">
        <v>898.70932241238381</v>
      </c>
      <c r="CD142" s="518">
        <v>952.63188175712685</v>
      </c>
      <c r="CE142" s="518">
        <v>1009.7897946625544</v>
      </c>
      <c r="CF142" s="518">
        <v>1070.3771823423076</v>
      </c>
      <c r="CG142" s="519">
        <v>1134.5998132828461</v>
      </c>
      <c r="CH142" s="520">
        <v>10.244999999999999</v>
      </c>
      <c r="CI142" s="521">
        <v>10.4499</v>
      </c>
      <c r="CJ142" s="521">
        <v>10.658897999999999</v>
      </c>
      <c r="CK142" s="521">
        <v>10.872075959999998</v>
      </c>
      <c r="CL142" s="521">
        <v>2.5</v>
      </c>
      <c r="CM142" s="521">
        <v>2.5499999999999998</v>
      </c>
      <c r="CN142" s="521">
        <v>2.601</v>
      </c>
      <c r="CO142" s="521">
        <v>2.6530200000000002</v>
      </c>
      <c r="CP142" s="521">
        <v>2.7060804000000003</v>
      </c>
      <c r="CQ142" s="521">
        <v>2.7602020080000003</v>
      </c>
      <c r="CR142" s="521">
        <v>2.8154060481600003</v>
      </c>
      <c r="CS142" s="521">
        <v>2.8717141691232002</v>
      </c>
      <c r="CT142" s="521">
        <v>2.5</v>
      </c>
      <c r="CU142" s="521">
        <v>2.5499999999999998</v>
      </c>
      <c r="CV142" s="521">
        <v>2.601</v>
      </c>
      <c r="CW142" s="521">
        <v>2.6530200000000002</v>
      </c>
      <c r="CX142" s="521">
        <v>2.7060804000000003</v>
      </c>
      <c r="CY142" s="521">
        <v>2.7602020080000003</v>
      </c>
      <c r="CZ142" s="521">
        <v>2.8154060481600003</v>
      </c>
      <c r="DA142" s="522">
        <v>2.8717141691232002</v>
      </c>
      <c r="DB142" s="523">
        <v>0</v>
      </c>
      <c r="DC142" s="524">
        <v>0</v>
      </c>
      <c r="DD142" s="524">
        <v>0</v>
      </c>
      <c r="DE142" s="524">
        <v>0</v>
      </c>
      <c r="DF142" s="524">
        <v>-4.1744035326208295E-2</v>
      </c>
      <c r="DG142" s="524">
        <v>4.4359580922042396E-2</v>
      </c>
      <c r="DH142" s="524">
        <v>4.8857437161503647E-2</v>
      </c>
      <c r="DI142" s="524">
        <v>5.3809048017136402E-2</v>
      </c>
      <c r="DJ142" s="524">
        <v>5.9259721539774241E-2</v>
      </c>
      <c r="DK142" s="524">
        <v>1.2702347723211753</v>
      </c>
      <c r="DL142" s="524">
        <v>5.5529757701398563E-3</v>
      </c>
      <c r="DM142" s="524">
        <v>5.545832772562681E-3</v>
      </c>
      <c r="DN142" s="524">
        <v>-7.5205555143105202E-2</v>
      </c>
      <c r="DO142" s="524">
        <v>6.911810891115644E-3</v>
      </c>
      <c r="DP142" s="524">
        <v>7.0068649212975953E-3</v>
      </c>
      <c r="DQ142" s="524">
        <v>7.096635587147071E-3</v>
      </c>
      <c r="DR142" s="524">
        <v>7.179773046751825E-3</v>
      </c>
      <c r="DS142" s="524">
        <v>0.17688893934834726</v>
      </c>
      <c r="DT142" s="524">
        <v>8.1906399117016582E-3</v>
      </c>
      <c r="DU142" s="525">
        <v>8.3529578235693736E-3</v>
      </c>
      <c r="DV142" s="526">
        <v>3.4</v>
      </c>
      <c r="DW142" s="507">
        <v>1</v>
      </c>
      <c r="DX142" s="509">
        <v>10.244999999999999</v>
      </c>
      <c r="DY142" s="507">
        <v>2</v>
      </c>
      <c r="DZ142" s="507">
        <v>15</v>
      </c>
      <c r="EA142" s="507">
        <v>0</v>
      </c>
      <c r="EB142" s="507">
        <v>0</v>
      </c>
      <c r="EC142" s="507">
        <v>111.62500000000001</v>
      </c>
      <c r="ED142" s="507">
        <v>102.18750000000001</v>
      </c>
      <c r="EE142" s="507">
        <v>0</v>
      </c>
      <c r="EF142" s="507">
        <v>25.062499999999996</v>
      </c>
      <c r="EG142" s="507">
        <v>29.3125</v>
      </c>
      <c r="EH142" s="507">
        <v>12.8125</v>
      </c>
      <c r="EI142" s="507">
        <v>16.6875</v>
      </c>
      <c r="EJ142" s="507">
        <v>56.4375</v>
      </c>
      <c r="EK142" s="507">
        <v>10.4375</v>
      </c>
      <c r="EL142" s="507">
        <v>10.4375</v>
      </c>
      <c r="EM142" s="508">
        <v>375</v>
      </c>
    </row>
    <row r="143" spans="2:143" x14ac:dyDescent="0.25">
      <c r="B143" s="506" t="str">
        <f>[1]RONET_Input!J114</f>
        <v>214TT00101</v>
      </c>
      <c r="C143" s="359">
        <f>[1]RONET_Input!B114</f>
        <v>112</v>
      </c>
      <c r="D143" s="397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442">
        <f>[1]RONET_Input!K114</f>
        <v>0.121398353296</v>
      </c>
      <c r="Q143" s="398">
        <f>[1]RONET_Input!Y114</f>
        <v>1</v>
      </c>
      <c r="R143" s="398">
        <f>[1]RONET_Input!X114</f>
        <v>3.4</v>
      </c>
      <c r="S143" s="398"/>
      <c r="T143" s="398"/>
      <c r="U143" s="398">
        <f>[1]RONET_Input!AA114</f>
        <v>8</v>
      </c>
      <c r="V143" s="398">
        <f>[1]RONET_Input!AC114</f>
        <v>1</v>
      </c>
      <c r="W143" s="398">
        <f>[1]RONET_Input!AD114</f>
        <v>1</v>
      </c>
      <c r="X143" s="398">
        <f>[1]RONET_Input!AE114</f>
        <v>4</v>
      </c>
      <c r="Y143" s="398">
        <f>[1]RONET_Input!AB114</f>
        <v>1</v>
      </c>
      <c r="Z143" s="438">
        <f>[1]RONET_Input!Z114</f>
        <v>1</v>
      </c>
      <c r="AA143" s="442"/>
      <c r="AB143" s="398"/>
      <c r="AC143" s="438"/>
      <c r="AD143" s="442">
        <f>[1]RONET_Input!AH114</f>
        <v>3</v>
      </c>
      <c r="AE143" s="398">
        <f>[1]RONET_Input!D114</f>
        <v>0</v>
      </c>
      <c r="AF143" s="398"/>
      <c r="AG143" s="398"/>
      <c r="AH143" s="398"/>
      <c r="AI143" s="438"/>
      <c r="AJ143" s="442">
        <v>1</v>
      </c>
      <c r="AK143" s="442">
        <f>[1]RONET_Input!AF114</f>
        <v>4</v>
      </c>
      <c r="AL143" s="507"/>
      <c r="AM143" s="507"/>
      <c r="AN143" s="507"/>
      <c r="AO143" s="507"/>
      <c r="AP143" s="507"/>
      <c r="AQ143" s="507"/>
      <c r="AR143" s="507"/>
      <c r="AS143" s="507"/>
      <c r="AT143" s="507"/>
      <c r="AU143" s="507"/>
      <c r="AV143" s="507"/>
      <c r="AW143" s="507"/>
      <c r="AX143" s="508"/>
      <c r="AY143" s="509">
        <f>[1]RONET_Input!AG114</f>
        <v>3</v>
      </c>
      <c r="AZ143" s="359" t="s">
        <v>321</v>
      </c>
      <c r="BA143" s="360" t="s">
        <v>502</v>
      </c>
      <c r="BB143" s="360" t="s">
        <v>443</v>
      </c>
      <c r="BC143" s="510">
        <v>5.9023879372515206E-3</v>
      </c>
      <c r="BD143" s="510">
        <v>4.8620000000000003E-2</v>
      </c>
      <c r="BE143" s="438">
        <v>6</v>
      </c>
      <c r="BF143" s="511">
        <v>5.0241443536749836E-2</v>
      </c>
      <c r="BG143" s="512">
        <v>0.41385605465544034</v>
      </c>
      <c r="BH143" s="512">
        <v>8.5120537773640539</v>
      </c>
      <c r="BI143" s="513">
        <v>0</v>
      </c>
      <c r="BJ143" s="514">
        <v>375</v>
      </c>
      <c r="BK143" s="515">
        <v>0.22366666666666665</v>
      </c>
      <c r="BL143" s="512">
        <v>1.6616399607390003E-2</v>
      </c>
      <c r="BM143" s="516">
        <v>6.4108143749999999E-2</v>
      </c>
      <c r="BN143" s="517">
        <v>375</v>
      </c>
      <c r="BO143" s="518">
        <v>397.50000000000011</v>
      </c>
      <c r="BP143" s="518">
        <v>421.34999999999991</v>
      </c>
      <c r="BQ143" s="518">
        <v>446.63099999999997</v>
      </c>
      <c r="BR143" s="518">
        <v>473.42885999999999</v>
      </c>
      <c r="BS143" s="518">
        <v>501.83459160000012</v>
      </c>
      <c r="BT143" s="518">
        <v>531.9446670960001</v>
      </c>
      <c r="BU143" s="518">
        <v>563.86134712175999</v>
      </c>
      <c r="BV143" s="518">
        <v>597.69302794906582</v>
      </c>
      <c r="BW143" s="518">
        <v>633.55460962600955</v>
      </c>
      <c r="BX143" s="518">
        <v>671.56788620357008</v>
      </c>
      <c r="BY143" s="518">
        <v>711.86195937578441</v>
      </c>
      <c r="BZ143" s="518">
        <v>754.57367693833146</v>
      </c>
      <c r="CA143" s="518">
        <v>799.84809755463141</v>
      </c>
      <c r="CB143" s="518">
        <v>847.83898340790915</v>
      </c>
      <c r="CC143" s="518">
        <v>898.70932241238381</v>
      </c>
      <c r="CD143" s="518">
        <v>952.63188175712685</v>
      </c>
      <c r="CE143" s="518">
        <v>1009.7897946625544</v>
      </c>
      <c r="CF143" s="518">
        <v>1070.3771823423076</v>
      </c>
      <c r="CG143" s="519">
        <v>1134.5998132828461</v>
      </c>
      <c r="CH143" s="520">
        <v>4.5</v>
      </c>
      <c r="CI143" s="521">
        <v>4.59</v>
      </c>
      <c r="CJ143" s="521">
        <v>4.6818</v>
      </c>
      <c r="CK143" s="521">
        <v>4.775436</v>
      </c>
      <c r="CL143" s="521">
        <v>4.8709447199999998</v>
      </c>
      <c r="CM143" s="521">
        <v>2.5</v>
      </c>
      <c r="CN143" s="521">
        <v>2.5499999999999998</v>
      </c>
      <c r="CO143" s="521">
        <v>2.601</v>
      </c>
      <c r="CP143" s="521">
        <v>2.6530200000000002</v>
      </c>
      <c r="CQ143" s="521">
        <v>2.7060804000000003</v>
      </c>
      <c r="CR143" s="521">
        <v>2.7602020080000003</v>
      </c>
      <c r="CS143" s="521">
        <v>2.8154060481600003</v>
      </c>
      <c r="CT143" s="521">
        <v>2.8717141691232002</v>
      </c>
      <c r="CU143" s="521">
        <v>2.5</v>
      </c>
      <c r="CV143" s="521">
        <v>2.5499999999999998</v>
      </c>
      <c r="CW143" s="521">
        <v>2.601</v>
      </c>
      <c r="CX143" s="521">
        <v>2.6530200000000002</v>
      </c>
      <c r="CY143" s="521">
        <v>2.7060804000000003</v>
      </c>
      <c r="CZ143" s="521">
        <v>2.7602020080000003</v>
      </c>
      <c r="DA143" s="522">
        <v>2.8154060481600003</v>
      </c>
      <c r="DB143" s="523">
        <v>0</v>
      </c>
      <c r="DC143" s="524">
        <v>0</v>
      </c>
      <c r="DD143" s="524">
        <v>0</v>
      </c>
      <c r="DE143" s="524">
        <v>0</v>
      </c>
      <c r="DF143" s="524">
        <v>0</v>
      </c>
      <c r="DG143" s="524">
        <v>-4.9183259490219854E-3</v>
      </c>
      <c r="DH143" s="524">
        <v>4.996875822592655E-4</v>
      </c>
      <c r="DI143" s="524">
        <v>5.5132036343328444E-4</v>
      </c>
      <c r="DJ143" s="524">
        <v>6.0823156952190087E-4</v>
      </c>
      <c r="DK143" s="524">
        <v>8.3193576707692868E-2</v>
      </c>
      <c r="DL143" s="524">
        <v>3.7360037453951049E-4</v>
      </c>
      <c r="DM143" s="524">
        <v>3.7418046876660366E-4</v>
      </c>
      <c r="DN143" s="524">
        <v>3.7396934552857281E-4</v>
      </c>
      <c r="DO143" s="524">
        <v>-4.9089439790632461E-3</v>
      </c>
      <c r="DP143" s="524">
        <v>4.6947174839398476E-4</v>
      </c>
      <c r="DQ143" s="524">
        <v>4.7647468662775569E-4</v>
      </c>
      <c r="DR143" s="524">
        <v>4.831604035072691E-4</v>
      </c>
      <c r="DS143" s="524">
        <v>1.159837016784613E-2</v>
      </c>
      <c r="DT143" s="524">
        <v>5.5224307850784693E-4</v>
      </c>
      <c r="DU143" s="525">
        <v>5.6454303088537827E-4</v>
      </c>
      <c r="DV143" s="526">
        <v>3.4</v>
      </c>
      <c r="DW143" s="507">
        <v>1</v>
      </c>
      <c r="DX143" s="509">
        <v>4.5</v>
      </c>
      <c r="DY143" s="507">
        <v>2</v>
      </c>
      <c r="DZ143" s="507">
        <v>10</v>
      </c>
      <c r="EA143" s="507">
        <v>0</v>
      </c>
      <c r="EB143" s="507">
        <v>0</v>
      </c>
      <c r="EC143" s="507">
        <v>111.62500000000001</v>
      </c>
      <c r="ED143" s="507">
        <v>102.18750000000001</v>
      </c>
      <c r="EE143" s="507">
        <v>0</v>
      </c>
      <c r="EF143" s="507">
        <v>25.062499999999996</v>
      </c>
      <c r="EG143" s="507">
        <v>29.3125</v>
      </c>
      <c r="EH143" s="507">
        <v>12.8125</v>
      </c>
      <c r="EI143" s="507">
        <v>16.6875</v>
      </c>
      <c r="EJ143" s="507">
        <v>56.4375</v>
      </c>
      <c r="EK143" s="507">
        <v>10.4375</v>
      </c>
      <c r="EL143" s="507">
        <v>10.4375</v>
      </c>
      <c r="EM143" s="508">
        <v>375</v>
      </c>
    </row>
    <row r="144" spans="2:143" x14ac:dyDescent="0.25">
      <c r="B144" s="506" t="str">
        <f>[1]RONET_Input!J115</f>
        <v>214tt00103</v>
      </c>
      <c r="C144" s="359">
        <f>[1]RONET_Input!B115</f>
        <v>113</v>
      </c>
      <c r="D144" s="397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442">
        <f>[1]RONET_Input!K115</f>
        <v>4.5853894954200003</v>
      </c>
      <c r="Q144" s="398">
        <f>[1]RONET_Input!Y115</f>
        <v>1</v>
      </c>
      <c r="R144" s="398">
        <f>[1]RONET_Input!X115</f>
        <v>3.4</v>
      </c>
      <c r="S144" s="398"/>
      <c r="T144" s="398"/>
      <c r="U144" s="398">
        <f>[1]RONET_Input!AA115</f>
        <v>8</v>
      </c>
      <c r="V144" s="398">
        <f>[1]RONET_Input!AC115</f>
        <v>1</v>
      </c>
      <c r="W144" s="398">
        <f>[1]RONET_Input!AD115</f>
        <v>1</v>
      </c>
      <c r="X144" s="398">
        <f>[1]RONET_Input!AE115</f>
        <v>4</v>
      </c>
      <c r="Y144" s="398">
        <f>[1]RONET_Input!AB115</f>
        <v>1</v>
      </c>
      <c r="Z144" s="438">
        <f>[1]RONET_Input!Z115</f>
        <v>1</v>
      </c>
      <c r="AA144" s="442"/>
      <c r="AB144" s="398"/>
      <c r="AC144" s="438"/>
      <c r="AD144" s="442">
        <f>[1]RONET_Input!AH115</f>
        <v>3</v>
      </c>
      <c r="AE144" s="398">
        <f>[1]RONET_Input!D115</f>
        <v>7.7350000000000003</v>
      </c>
      <c r="AF144" s="398"/>
      <c r="AG144" s="398"/>
      <c r="AH144" s="398"/>
      <c r="AI144" s="438"/>
      <c r="AJ144" s="442">
        <v>1</v>
      </c>
      <c r="AK144" s="442">
        <f>[1]RONET_Input!AF115</f>
        <v>4</v>
      </c>
      <c r="AL144" s="507"/>
      <c r="AM144" s="507"/>
      <c r="AN144" s="507"/>
      <c r="AO144" s="507"/>
      <c r="AP144" s="507"/>
      <c r="AQ144" s="507"/>
      <c r="AR144" s="507"/>
      <c r="AS144" s="507"/>
      <c r="AT144" s="507"/>
      <c r="AU144" s="507"/>
      <c r="AV144" s="507"/>
      <c r="AW144" s="507"/>
      <c r="AX144" s="508"/>
      <c r="AY144" s="509">
        <f>[1]RONET_Input!AG115</f>
        <v>3</v>
      </c>
      <c r="AZ144" s="359" t="s">
        <v>321</v>
      </c>
      <c r="BA144" s="360" t="s">
        <v>502</v>
      </c>
      <c r="BB144" s="360" t="s">
        <v>443</v>
      </c>
      <c r="BC144" s="510">
        <v>0.22294163726732044</v>
      </c>
      <c r="BD144" s="510">
        <v>4.8620000000000003E-2</v>
      </c>
      <c r="BE144" s="438">
        <v>5</v>
      </c>
      <c r="BF144" s="511">
        <v>2.0650531017022256</v>
      </c>
      <c r="BG144" s="512">
        <v>0.45035500337863366</v>
      </c>
      <c r="BH144" s="512">
        <v>9.2627520234190381</v>
      </c>
      <c r="BI144" s="513">
        <v>0</v>
      </c>
      <c r="BJ144" s="514">
        <v>375</v>
      </c>
      <c r="BK144" s="515">
        <v>0.22366666666666665</v>
      </c>
      <c r="BL144" s="512">
        <v>0.62762518718561255</v>
      </c>
      <c r="BM144" s="516">
        <v>6.4108143749999999E-2</v>
      </c>
      <c r="BN144" s="517">
        <v>375</v>
      </c>
      <c r="BO144" s="518">
        <v>397.50000000000011</v>
      </c>
      <c r="BP144" s="518">
        <v>421.34999999999991</v>
      </c>
      <c r="BQ144" s="518">
        <v>446.63099999999997</v>
      </c>
      <c r="BR144" s="518">
        <v>473.42885999999999</v>
      </c>
      <c r="BS144" s="518">
        <v>501.83459160000012</v>
      </c>
      <c r="BT144" s="518">
        <v>531.9446670960001</v>
      </c>
      <c r="BU144" s="518">
        <v>563.86134712175999</v>
      </c>
      <c r="BV144" s="518">
        <v>597.69302794906582</v>
      </c>
      <c r="BW144" s="518">
        <v>633.55460962600955</v>
      </c>
      <c r="BX144" s="518">
        <v>671.56788620357008</v>
      </c>
      <c r="BY144" s="518">
        <v>711.86195937578441</v>
      </c>
      <c r="BZ144" s="518">
        <v>754.57367693833146</v>
      </c>
      <c r="CA144" s="518">
        <v>799.84809755463141</v>
      </c>
      <c r="CB144" s="518">
        <v>847.83898340790915</v>
      </c>
      <c r="CC144" s="518">
        <v>898.70932241238381</v>
      </c>
      <c r="CD144" s="518">
        <v>952.63188175712685</v>
      </c>
      <c r="CE144" s="518">
        <v>1009.7897946625544</v>
      </c>
      <c r="CF144" s="518">
        <v>1070.3771823423076</v>
      </c>
      <c r="CG144" s="519">
        <v>1134.5998132828461</v>
      </c>
      <c r="CH144" s="520">
        <v>7.7350000000000003</v>
      </c>
      <c r="CI144" s="521">
        <v>7.8897000000000004</v>
      </c>
      <c r="CJ144" s="521">
        <v>8.0474940000000004</v>
      </c>
      <c r="CK144" s="521">
        <v>8.2084438800000008</v>
      </c>
      <c r="CL144" s="521">
        <v>2.5</v>
      </c>
      <c r="CM144" s="521">
        <v>2.5499999999999998</v>
      </c>
      <c r="CN144" s="521">
        <v>2.601</v>
      </c>
      <c r="CO144" s="521">
        <v>2.6530200000000002</v>
      </c>
      <c r="CP144" s="521">
        <v>2.7060804000000003</v>
      </c>
      <c r="CQ144" s="521">
        <v>2.7602020080000003</v>
      </c>
      <c r="CR144" s="521">
        <v>2.8154060481600003</v>
      </c>
      <c r="CS144" s="521">
        <v>2.8717141691232002</v>
      </c>
      <c r="CT144" s="521">
        <v>2.5</v>
      </c>
      <c r="CU144" s="521">
        <v>2.5499999999999998</v>
      </c>
      <c r="CV144" s="521">
        <v>2.601</v>
      </c>
      <c r="CW144" s="521">
        <v>2.6530200000000002</v>
      </c>
      <c r="CX144" s="521">
        <v>2.7060804000000003</v>
      </c>
      <c r="CY144" s="521">
        <v>2.7602020080000003</v>
      </c>
      <c r="CZ144" s="521">
        <v>2.8154060481600003</v>
      </c>
      <c r="DA144" s="522">
        <v>2.8717141691232002</v>
      </c>
      <c r="DB144" s="523">
        <v>0</v>
      </c>
      <c r="DC144" s="524">
        <v>0</v>
      </c>
      <c r="DD144" s="524">
        <v>0</v>
      </c>
      <c r="DE144" s="524">
        <v>0</v>
      </c>
      <c r="DF144" s="524">
        <v>-0.14754446152174738</v>
      </c>
      <c r="DG144" s="524">
        <v>6.0971400463367742E-2</v>
      </c>
      <c r="DH144" s="524">
        <v>6.7181608310115271E-2</v>
      </c>
      <c r="DI144" s="524">
        <v>7.4020728039215056E-2</v>
      </c>
      <c r="DJ144" s="524">
        <v>8.1552253440466294E-2</v>
      </c>
      <c r="DK144" s="524">
        <v>3.1420004689828347</v>
      </c>
      <c r="DL144" s="524">
        <v>1.3735612387737683E-2</v>
      </c>
      <c r="DM144" s="524">
        <v>1.3717943762829421E-2</v>
      </c>
      <c r="DN144" s="524">
        <v>-0.1860253668681684</v>
      </c>
      <c r="DO144" s="524">
        <v>1.7096771033689673E-2</v>
      </c>
      <c r="DP144" s="524">
        <v>1.733189277174807E-2</v>
      </c>
      <c r="DQ144" s="524">
        <v>1.7553945797177839E-2</v>
      </c>
      <c r="DR144" s="524">
        <v>1.7759591196563895E-2</v>
      </c>
      <c r="DS144" s="524">
        <v>0.43754520227372151</v>
      </c>
      <c r="DT144" s="524">
        <v>2.026002988156983E-2</v>
      </c>
      <c r="DU144" s="525">
        <v>2.0661532789792769E-2</v>
      </c>
      <c r="DV144" s="526">
        <v>3.4</v>
      </c>
      <c r="DW144" s="507">
        <v>1</v>
      </c>
      <c r="DX144" s="509">
        <v>7.7350000000000003</v>
      </c>
      <c r="DY144" s="507">
        <v>2</v>
      </c>
      <c r="DZ144" s="507">
        <v>10</v>
      </c>
      <c r="EA144" s="507">
        <v>0</v>
      </c>
      <c r="EB144" s="507">
        <v>0</v>
      </c>
      <c r="EC144" s="507">
        <v>111.62500000000001</v>
      </c>
      <c r="ED144" s="507">
        <v>102.18750000000001</v>
      </c>
      <c r="EE144" s="507">
        <v>0</v>
      </c>
      <c r="EF144" s="507">
        <v>25.062499999999996</v>
      </c>
      <c r="EG144" s="507">
        <v>29.3125</v>
      </c>
      <c r="EH144" s="507">
        <v>12.8125</v>
      </c>
      <c r="EI144" s="507">
        <v>16.6875</v>
      </c>
      <c r="EJ144" s="507">
        <v>56.4375</v>
      </c>
      <c r="EK144" s="507">
        <v>10.4375</v>
      </c>
      <c r="EL144" s="507">
        <v>10.4375</v>
      </c>
      <c r="EM144" s="508">
        <v>375</v>
      </c>
    </row>
    <row r="145" spans="2:143" x14ac:dyDescent="0.25">
      <c r="B145" s="506" t="str">
        <f>[1]RONET_Input!J116</f>
        <v xml:space="preserve">Input VPROMMS: 214TT00101 (66.67 pct); 214tt00103 (33.33 pct); </v>
      </c>
      <c r="C145" s="359">
        <f>[1]RONET_Input!B116</f>
        <v>114</v>
      </c>
      <c r="D145" s="397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442">
        <f>[1]RONET_Input!K116</f>
        <v>6.8848521721300002E-2</v>
      </c>
      <c r="Q145" s="398">
        <f>[1]RONET_Input!Y116</f>
        <v>2</v>
      </c>
      <c r="R145" s="398">
        <f>[1]RONET_Input!X116</f>
        <v>3.5</v>
      </c>
      <c r="S145" s="398"/>
      <c r="T145" s="398"/>
      <c r="U145" s="398">
        <f>[1]RONET_Input!AA116</f>
        <v>8</v>
      </c>
      <c r="V145" s="398">
        <f>[1]RONET_Input!AC116</f>
        <v>1</v>
      </c>
      <c r="W145" s="398">
        <f>[1]RONET_Input!AD116</f>
        <v>1</v>
      </c>
      <c r="X145" s="398">
        <f>[1]RONET_Input!AE116</f>
        <v>4</v>
      </c>
      <c r="Y145" s="398">
        <f>[1]RONET_Input!AB116</f>
        <v>1</v>
      </c>
      <c r="Z145" s="438">
        <f>[1]RONET_Input!Z116</f>
        <v>1</v>
      </c>
      <c r="AA145" s="442"/>
      <c r="AB145" s="398"/>
      <c r="AC145" s="438"/>
      <c r="AD145" s="442">
        <f>[1]RONET_Input!AH116</f>
        <v>4</v>
      </c>
      <c r="AE145" s="398">
        <f>[1]RONET_Input!D116</f>
        <v>8.11</v>
      </c>
      <c r="AF145" s="398"/>
      <c r="AG145" s="398"/>
      <c r="AH145" s="398"/>
      <c r="AI145" s="438"/>
      <c r="AJ145" s="442">
        <v>1</v>
      </c>
      <c r="AK145" s="442">
        <f>[1]RONET_Input!AF116</f>
        <v>4</v>
      </c>
      <c r="AL145" s="507"/>
      <c r="AM145" s="507"/>
      <c r="AN145" s="507"/>
      <c r="AO145" s="507"/>
      <c r="AP145" s="507"/>
      <c r="AQ145" s="507"/>
      <c r="AR145" s="507"/>
      <c r="AS145" s="507"/>
      <c r="AT145" s="507"/>
      <c r="AU145" s="507"/>
      <c r="AV145" s="507"/>
      <c r="AW145" s="507"/>
      <c r="AX145" s="508"/>
      <c r="AY145" s="509">
        <f>[1]RONET_Input!AG116</f>
        <v>3</v>
      </c>
      <c r="AZ145" s="359" t="s">
        <v>321</v>
      </c>
      <c r="BA145" s="360" t="s">
        <v>502</v>
      </c>
      <c r="BB145" s="360" t="s">
        <v>443</v>
      </c>
      <c r="BC145" s="510">
        <v>3.445868512151065E-3</v>
      </c>
      <c r="BD145" s="510">
        <v>5.0049999999999997E-2</v>
      </c>
      <c r="BE145" s="438">
        <v>5</v>
      </c>
      <c r="BF145" s="511">
        <v>2.9988107113046253E-2</v>
      </c>
      <c r="BG145" s="512">
        <v>0.43556646335034799</v>
      </c>
      <c r="BH145" s="512">
        <v>8.7026266403665922</v>
      </c>
      <c r="BI145" s="513">
        <v>0</v>
      </c>
      <c r="BJ145" s="514">
        <v>375</v>
      </c>
      <c r="BK145" s="515">
        <v>0.22366666666666665</v>
      </c>
      <c r="BL145" s="512">
        <v>9.4236414106029405E-3</v>
      </c>
      <c r="BM145" s="516">
        <v>3.2054071874999999E-2</v>
      </c>
      <c r="BN145" s="517">
        <v>375</v>
      </c>
      <c r="BO145" s="518">
        <v>397.50000000000011</v>
      </c>
      <c r="BP145" s="518">
        <v>421.34999999999991</v>
      </c>
      <c r="BQ145" s="518">
        <v>446.63099999999997</v>
      </c>
      <c r="BR145" s="518">
        <v>473.42885999999999</v>
      </c>
      <c r="BS145" s="518">
        <v>501.83459160000012</v>
      </c>
      <c r="BT145" s="518">
        <v>531.9446670960001</v>
      </c>
      <c r="BU145" s="518">
        <v>563.86134712175999</v>
      </c>
      <c r="BV145" s="518">
        <v>597.69302794906582</v>
      </c>
      <c r="BW145" s="518">
        <v>633.55460962600955</v>
      </c>
      <c r="BX145" s="518">
        <v>671.56788620357008</v>
      </c>
      <c r="BY145" s="518">
        <v>711.86195937578441</v>
      </c>
      <c r="BZ145" s="518">
        <v>754.57367693833146</v>
      </c>
      <c r="CA145" s="518">
        <v>799.84809755463141</v>
      </c>
      <c r="CB145" s="518">
        <v>847.83898340790915</v>
      </c>
      <c r="CC145" s="518">
        <v>898.70932241238381</v>
      </c>
      <c r="CD145" s="518">
        <v>952.63188175712685</v>
      </c>
      <c r="CE145" s="518">
        <v>1009.7897946625544</v>
      </c>
      <c r="CF145" s="518">
        <v>1070.3771823423076</v>
      </c>
      <c r="CG145" s="519">
        <v>1134.5998132828461</v>
      </c>
      <c r="CH145" s="520">
        <v>8.11</v>
      </c>
      <c r="CI145" s="521">
        <v>8.2721999999999998</v>
      </c>
      <c r="CJ145" s="521">
        <v>8.4376440000000006</v>
      </c>
      <c r="CK145" s="521">
        <v>8.6063968800000001</v>
      </c>
      <c r="CL145" s="521">
        <v>2.5</v>
      </c>
      <c r="CM145" s="521">
        <v>2.5499999999999998</v>
      </c>
      <c r="CN145" s="521">
        <v>2.601</v>
      </c>
      <c r="CO145" s="521">
        <v>2.6530200000000002</v>
      </c>
      <c r="CP145" s="521">
        <v>2.7060804000000003</v>
      </c>
      <c r="CQ145" s="521">
        <v>2.7602020080000003</v>
      </c>
      <c r="CR145" s="521">
        <v>2.8154060481600003</v>
      </c>
      <c r="CS145" s="521">
        <v>2.8717141691232002</v>
      </c>
      <c r="CT145" s="521">
        <v>2.5</v>
      </c>
      <c r="CU145" s="521">
        <v>2.5499999999999998</v>
      </c>
      <c r="CV145" s="521">
        <v>2.601</v>
      </c>
      <c r="CW145" s="521">
        <v>2.6530200000000002</v>
      </c>
      <c r="CX145" s="521">
        <v>2.7060804000000003</v>
      </c>
      <c r="CY145" s="521">
        <v>2.7602020080000003</v>
      </c>
      <c r="CZ145" s="521">
        <v>2.8154060481600003</v>
      </c>
      <c r="DA145" s="522">
        <v>2.8717141691232002</v>
      </c>
      <c r="DB145" s="523">
        <v>0</v>
      </c>
      <c r="DC145" s="524">
        <v>0</v>
      </c>
      <c r="DD145" s="524">
        <v>0</v>
      </c>
      <c r="DE145" s="524">
        <v>0</v>
      </c>
      <c r="DF145" s="524">
        <v>-2.273533448326653E-3</v>
      </c>
      <c r="DG145" s="524">
        <v>9.5235608293361192E-4</v>
      </c>
      <c r="DH145" s="524">
        <v>1.0518359849649569E-3</v>
      </c>
      <c r="DI145" s="524">
        <v>1.1616064531177403E-3</v>
      </c>
      <c r="DJ145" s="524">
        <v>1.2827257132421123E-3</v>
      </c>
      <c r="DK145" s="524">
        <v>4.6984942264249561E-2</v>
      </c>
      <c r="DL145" s="524">
        <v>1.184759039768099E-5</v>
      </c>
      <c r="DM145" s="524">
        <v>8.5339964401645596E-6</v>
      </c>
      <c r="DN145" s="524">
        <v>-3.0922497515585637E-3</v>
      </c>
      <c r="DO145" s="524">
        <v>4.3239282149613173E-5</v>
      </c>
      <c r="DP145" s="524">
        <v>4.2686668823030058E-5</v>
      </c>
      <c r="DQ145" s="524">
        <v>4.1786139514882539E-5</v>
      </c>
      <c r="DR145" s="524">
        <v>4.0485447073411104E-5</v>
      </c>
      <c r="DS145" s="524">
        <v>6.3389215927495517E-3</v>
      </c>
      <c r="DT145" s="524">
        <v>6.8784145385455964E-5</v>
      </c>
      <c r="DU145" s="525">
        <v>6.9954081958261902E-5</v>
      </c>
      <c r="DV145" s="526">
        <v>3.5</v>
      </c>
      <c r="DW145" s="507">
        <v>1</v>
      </c>
      <c r="DX145" s="509">
        <v>8.11</v>
      </c>
      <c r="DY145" s="507">
        <v>2</v>
      </c>
      <c r="DZ145" s="507">
        <v>15</v>
      </c>
      <c r="EA145" s="507">
        <v>0</v>
      </c>
      <c r="EB145" s="507">
        <v>0</v>
      </c>
      <c r="EC145" s="507">
        <v>111.62500000000001</v>
      </c>
      <c r="ED145" s="507">
        <v>102.18750000000001</v>
      </c>
      <c r="EE145" s="507">
        <v>0</v>
      </c>
      <c r="EF145" s="507">
        <v>25.062499999999996</v>
      </c>
      <c r="EG145" s="507">
        <v>29.3125</v>
      </c>
      <c r="EH145" s="507">
        <v>12.8125</v>
      </c>
      <c r="EI145" s="507">
        <v>16.6875</v>
      </c>
      <c r="EJ145" s="507">
        <v>56.4375</v>
      </c>
      <c r="EK145" s="507">
        <v>10.4375</v>
      </c>
      <c r="EL145" s="507">
        <v>10.4375</v>
      </c>
      <c r="EM145" s="508">
        <v>375</v>
      </c>
    </row>
    <row r="146" spans="2:143" x14ac:dyDescent="0.25">
      <c r="B146" s="506" t="str">
        <f>[1]RONET_Input!J117</f>
        <v>214TT00101</v>
      </c>
      <c r="C146" s="359">
        <f>[1]RONET_Input!B117</f>
        <v>115</v>
      </c>
      <c r="D146" s="397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442">
        <f>[1]RONET_Input!K117</f>
        <v>4.3419493958899998E-2</v>
      </c>
      <c r="Q146" s="398">
        <f>[1]RONET_Input!Y117</f>
        <v>1</v>
      </c>
      <c r="R146" s="398">
        <f>[1]RONET_Input!X117</f>
        <v>3.4</v>
      </c>
      <c r="S146" s="398"/>
      <c r="T146" s="398"/>
      <c r="U146" s="398">
        <f>[1]RONET_Input!AA117</f>
        <v>8</v>
      </c>
      <c r="V146" s="398">
        <f>[1]RONET_Input!AC117</f>
        <v>1</v>
      </c>
      <c r="W146" s="398">
        <f>[1]RONET_Input!AD117</f>
        <v>1</v>
      </c>
      <c r="X146" s="398">
        <f>[1]RONET_Input!AE117</f>
        <v>4</v>
      </c>
      <c r="Y146" s="398">
        <f>[1]RONET_Input!AB117</f>
        <v>1</v>
      </c>
      <c r="Z146" s="438">
        <f>[1]RONET_Input!Z117</f>
        <v>1</v>
      </c>
      <c r="AA146" s="442"/>
      <c r="AB146" s="398"/>
      <c r="AC146" s="438"/>
      <c r="AD146" s="442">
        <f>[1]RONET_Input!AH117</f>
        <v>3</v>
      </c>
      <c r="AE146" s="398">
        <f>[1]RONET_Input!D117</f>
        <v>0</v>
      </c>
      <c r="AF146" s="398"/>
      <c r="AG146" s="398"/>
      <c r="AH146" s="398"/>
      <c r="AI146" s="438"/>
      <c r="AJ146" s="442">
        <v>1</v>
      </c>
      <c r="AK146" s="442">
        <f>[1]RONET_Input!AF117</f>
        <v>4</v>
      </c>
      <c r="AL146" s="507"/>
      <c r="AM146" s="507"/>
      <c r="AN146" s="507"/>
      <c r="AO146" s="507"/>
      <c r="AP146" s="507"/>
      <c r="AQ146" s="507"/>
      <c r="AR146" s="507"/>
      <c r="AS146" s="507"/>
      <c r="AT146" s="507"/>
      <c r="AU146" s="507"/>
      <c r="AV146" s="507"/>
      <c r="AW146" s="507"/>
      <c r="AX146" s="508"/>
      <c r="AY146" s="509">
        <f>[1]RONET_Input!AG117</f>
        <v>3</v>
      </c>
      <c r="AZ146" s="359" t="s">
        <v>321</v>
      </c>
      <c r="BA146" s="360" t="s">
        <v>502</v>
      </c>
      <c r="BB146" s="360" t="s">
        <v>443</v>
      </c>
      <c r="BC146" s="510">
        <v>2.1110557962817182E-3</v>
      </c>
      <c r="BD146" s="510">
        <v>4.862000000000001E-2</v>
      </c>
      <c r="BE146" s="438">
        <v>6</v>
      </c>
      <c r="BF146" s="511">
        <v>1.7969420464966083E-2</v>
      </c>
      <c r="BG146" s="512">
        <v>0.41385605465544045</v>
      </c>
      <c r="BH146" s="512">
        <v>8.5120537773640557</v>
      </c>
      <c r="BI146" s="513">
        <v>0</v>
      </c>
      <c r="BJ146" s="514">
        <v>375</v>
      </c>
      <c r="BK146" s="515">
        <v>0.22366666666666665</v>
      </c>
      <c r="BL146" s="512">
        <v>5.943043235624436E-3</v>
      </c>
      <c r="BM146" s="516">
        <v>6.4108143749999999E-2</v>
      </c>
      <c r="BN146" s="517">
        <v>375</v>
      </c>
      <c r="BO146" s="518">
        <v>397.50000000000011</v>
      </c>
      <c r="BP146" s="518">
        <v>421.34999999999991</v>
      </c>
      <c r="BQ146" s="518">
        <v>446.63099999999997</v>
      </c>
      <c r="BR146" s="518">
        <v>473.42885999999999</v>
      </c>
      <c r="BS146" s="518">
        <v>501.83459160000012</v>
      </c>
      <c r="BT146" s="518">
        <v>531.9446670960001</v>
      </c>
      <c r="BU146" s="518">
        <v>563.86134712175999</v>
      </c>
      <c r="BV146" s="518">
        <v>597.69302794906582</v>
      </c>
      <c r="BW146" s="518">
        <v>633.55460962600955</v>
      </c>
      <c r="BX146" s="518">
        <v>671.56788620357008</v>
      </c>
      <c r="BY146" s="518">
        <v>711.86195937578441</v>
      </c>
      <c r="BZ146" s="518">
        <v>754.57367693833146</v>
      </c>
      <c r="CA146" s="518">
        <v>799.84809755463141</v>
      </c>
      <c r="CB146" s="518">
        <v>847.83898340790915</v>
      </c>
      <c r="CC146" s="518">
        <v>898.70932241238381</v>
      </c>
      <c r="CD146" s="518">
        <v>952.63188175712685</v>
      </c>
      <c r="CE146" s="518">
        <v>1009.7897946625544</v>
      </c>
      <c r="CF146" s="518">
        <v>1070.3771823423076</v>
      </c>
      <c r="CG146" s="519">
        <v>1134.5998132828461</v>
      </c>
      <c r="CH146" s="520">
        <v>4.5</v>
      </c>
      <c r="CI146" s="521">
        <v>4.59</v>
      </c>
      <c r="CJ146" s="521">
        <v>4.6818</v>
      </c>
      <c r="CK146" s="521">
        <v>4.775436</v>
      </c>
      <c r="CL146" s="521">
        <v>4.8709447199999998</v>
      </c>
      <c r="CM146" s="521">
        <v>2.5</v>
      </c>
      <c r="CN146" s="521">
        <v>2.5499999999999998</v>
      </c>
      <c r="CO146" s="521">
        <v>2.601</v>
      </c>
      <c r="CP146" s="521">
        <v>2.6530200000000002</v>
      </c>
      <c r="CQ146" s="521">
        <v>2.7060804000000003</v>
      </c>
      <c r="CR146" s="521">
        <v>2.7602020080000003</v>
      </c>
      <c r="CS146" s="521">
        <v>2.8154060481600003</v>
      </c>
      <c r="CT146" s="521">
        <v>2.8717141691232002</v>
      </c>
      <c r="CU146" s="521">
        <v>2.5</v>
      </c>
      <c r="CV146" s="521">
        <v>2.5499999999999998</v>
      </c>
      <c r="CW146" s="521">
        <v>2.601</v>
      </c>
      <c r="CX146" s="521">
        <v>2.6530200000000002</v>
      </c>
      <c r="CY146" s="521">
        <v>2.7060804000000003</v>
      </c>
      <c r="CZ146" s="521">
        <v>2.7602020080000003</v>
      </c>
      <c r="DA146" s="522">
        <v>2.8154060481600003</v>
      </c>
      <c r="DB146" s="523">
        <v>0</v>
      </c>
      <c r="DC146" s="524">
        <v>0</v>
      </c>
      <c r="DD146" s="524">
        <v>0</v>
      </c>
      <c r="DE146" s="524">
        <v>0</v>
      </c>
      <c r="DF146" s="524">
        <v>0</v>
      </c>
      <c r="DG146" s="524">
        <v>-1.7590948973646211E-3</v>
      </c>
      <c r="DH146" s="524">
        <v>1.7871891479732645E-4</v>
      </c>
      <c r="DI146" s="524">
        <v>1.9718596290299768E-4</v>
      </c>
      <c r="DJ146" s="524">
        <v>2.1754089937345723E-4</v>
      </c>
      <c r="DK146" s="524">
        <v>2.9755123551564476E-2</v>
      </c>
      <c r="DL146" s="524">
        <v>1.3362239902718186E-4</v>
      </c>
      <c r="DM146" s="524">
        <v>1.33829876287829E-4</v>
      </c>
      <c r="DN146" s="524">
        <v>1.3375436567414096E-4</v>
      </c>
      <c r="DO146" s="524">
        <v>-1.7557393297075148E-3</v>
      </c>
      <c r="DP146" s="524">
        <v>1.6791188010240043E-4</v>
      </c>
      <c r="DQ146" s="524">
        <v>1.7041656015843402E-4</v>
      </c>
      <c r="DR146" s="524">
        <v>1.7280778240963933E-4</v>
      </c>
      <c r="DS146" s="524">
        <v>4.1482882573208209E-3</v>
      </c>
      <c r="DT146" s="524">
        <v>1.9751598238446598E-4</v>
      </c>
      <c r="DU146" s="525">
        <v>2.0191519945332234E-4</v>
      </c>
      <c r="DV146" s="526">
        <v>3.4</v>
      </c>
      <c r="DW146" s="507">
        <v>1</v>
      </c>
      <c r="DX146" s="509">
        <v>4.5</v>
      </c>
      <c r="DY146" s="507">
        <v>2</v>
      </c>
      <c r="DZ146" s="507">
        <v>10</v>
      </c>
      <c r="EA146" s="507">
        <v>0</v>
      </c>
      <c r="EB146" s="507">
        <v>0</v>
      </c>
      <c r="EC146" s="507">
        <v>111.62500000000001</v>
      </c>
      <c r="ED146" s="507">
        <v>102.18750000000001</v>
      </c>
      <c r="EE146" s="507">
        <v>0</v>
      </c>
      <c r="EF146" s="507">
        <v>25.062499999999996</v>
      </c>
      <c r="EG146" s="507">
        <v>29.3125</v>
      </c>
      <c r="EH146" s="507">
        <v>12.8125</v>
      </c>
      <c r="EI146" s="507">
        <v>16.6875</v>
      </c>
      <c r="EJ146" s="507">
        <v>56.4375</v>
      </c>
      <c r="EK146" s="507">
        <v>10.4375</v>
      </c>
      <c r="EL146" s="507">
        <v>10.4375</v>
      </c>
      <c r="EM146" s="508">
        <v>375</v>
      </c>
    </row>
    <row r="147" spans="2:143" x14ac:dyDescent="0.25">
      <c r="B147" s="506" t="str">
        <f>[1]RONET_Input!J118</f>
        <v>214tt00103</v>
      </c>
      <c r="C147" s="359">
        <f>[1]RONET_Input!B118</f>
        <v>116</v>
      </c>
      <c r="D147" s="397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442">
        <f>[1]RONET_Input!K118</f>
        <v>4.6246282341300009E-2</v>
      </c>
      <c r="Q147" s="398">
        <f>[1]RONET_Input!Y118</f>
        <v>1</v>
      </c>
      <c r="R147" s="398">
        <f>[1]RONET_Input!X118</f>
        <v>3.4</v>
      </c>
      <c r="S147" s="398"/>
      <c r="T147" s="398"/>
      <c r="U147" s="398">
        <f>[1]RONET_Input!AA118</f>
        <v>8</v>
      </c>
      <c r="V147" s="398">
        <f>[1]RONET_Input!AC118</f>
        <v>1</v>
      </c>
      <c r="W147" s="398">
        <f>[1]RONET_Input!AD118</f>
        <v>1</v>
      </c>
      <c r="X147" s="398">
        <f>[1]RONET_Input!AE118</f>
        <v>4</v>
      </c>
      <c r="Y147" s="398">
        <f>[1]RONET_Input!AB118</f>
        <v>1</v>
      </c>
      <c r="Z147" s="438">
        <f>[1]RONET_Input!Z118</f>
        <v>1</v>
      </c>
      <c r="AA147" s="442"/>
      <c r="AB147" s="398"/>
      <c r="AC147" s="438"/>
      <c r="AD147" s="442">
        <f>[1]RONET_Input!AH118</f>
        <v>3</v>
      </c>
      <c r="AE147" s="398">
        <f>[1]RONET_Input!D118</f>
        <v>0</v>
      </c>
      <c r="AF147" s="398"/>
      <c r="AG147" s="398"/>
      <c r="AH147" s="398"/>
      <c r="AI147" s="438"/>
      <c r="AJ147" s="442">
        <v>1</v>
      </c>
      <c r="AK147" s="442">
        <f>[1]RONET_Input!AF118</f>
        <v>4</v>
      </c>
      <c r="AL147" s="507"/>
      <c r="AM147" s="507"/>
      <c r="AN147" s="507"/>
      <c r="AO147" s="507"/>
      <c r="AP147" s="507"/>
      <c r="AQ147" s="507"/>
      <c r="AR147" s="507"/>
      <c r="AS147" s="507"/>
      <c r="AT147" s="507"/>
      <c r="AU147" s="507"/>
      <c r="AV147" s="507"/>
      <c r="AW147" s="507"/>
      <c r="AX147" s="508"/>
      <c r="AY147" s="509">
        <f>[1]RONET_Input!AG118</f>
        <v>3</v>
      </c>
      <c r="AZ147" s="359" t="s">
        <v>321</v>
      </c>
      <c r="BA147" s="360" t="s">
        <v>502</v>
      </c>
      <c r="BB147" s="360" t="s">
        <v>443</v>
      </c>
      <c r="BC147" s="510">
        <v>2.2484942474340066E-3</v>
      </c>
      <c r="BD147" s="510">
        <v>4.8620000000000003E-2</v>
      </c>
      <c r="BE147" s="438">
        <v>6</v>
      </c>
      <c r="BF147" s="511">
        <v>1.9139303952251989E-2</v>
      </c>
      <c r="BG147" s="512">
        <v>0.41385605465544051</v>
      </c>
      <c r="BH147" s="512">
        <v>8.5120537773640574</v>
      </c>
      <c r="BI147" s="513">
        <v>0</v>
      </c>
      <c r="BJ147" s="514">
        <v>375</v>
      </c>
      <c r="BK147" s="515">
        <v>0.22366666666666665</v>
      </c>
      <c r="BL147" s="512">
        <v>6.3299598954654392E-3</v>
      </c>
      <c r="BM147" s="516">
        <v>6.4108143749999999E-2</v>
      </c>
      <c r="BN147" s="517">
        <v>375</v>
      </c>
      <c r="BO147" s="518">
        <v>397.50000000000011</v>
      </c>
      <c r="BP147" s="518">
        <v>421.34999999999991</v>
      </c>
      <c r="BQ147" s="518">
        <v>446.63099999999997</v>
      </c>
      <c r="BR147" s="518">
        <v>473.42885999999999</v>
      </c>
      <c r="BS147" s="518">
        <v>501.83459160000012</v>
      </c>
      <c r="BT147" s="518">
        <v>531.9446670960001</v>
      </c>
      <c r="BU147" s="518">
        <v>563.86134712175999</v>
      </c>
      <c r="BV147" s="518">
        <v>597.69302794906582</v>
      </c>
      <c r="BW147" s="518">
        <v>633.55460962600955</v>
      </c>
      <c r="BX147" s="518">
        <v>671.56788620357008</v>
      </c>
      <c r="BY147" s="518">
        <v>711.86195937578441</v>
      </c>
      <c r="BZ147" s="518">
        <v>754.57367693833146</v>
      </c>
      <c r="CA147" s="518">
        <v>799.84809755463141</v>
      </c>
      <c r="CB147" s="518">
        <v>847.83898340790915</v>
      </c>
      <c r="CC147" s="518">
        <v>898.70932241238381</v>
      </c>
      <c r="CD147" s="518">
        <v>952.63188175712685</v>
      </c>
      <c r="CE147" s="518">
        <v>1009.7897946625544</v>
      </c>
      <c r="CF147" s="518">
        <v>1070.3771823423076</v>
      </c>
      <c r="CG147" s="519">
        <v>1134.5998132828461</v>
      </c>
      <c r="CH147" s="520">
        <v>4.5</v>
      </c>
      <c r="CI147" s="521">
        <v>4.59</v>
      </c>
      <c r="CJ147" s="521">
        <v>4.6818</v>
      </c>
      <c r="CK147" s="521">
        <v>4.775436</v>
      </c>
      <c r="CL147" s="521">
        <v>4.8709447199999998</v>
      </c>
      <c r="CM147" s="521">
        <v>2.5</v>
      </c>
      <c r="CN147" s="521">
        <v>2.5499999999999998</v>
      </c>
      <c r="CO147" s="521">
        <v>2.601</v>
      </c>
      <c r="CP147" s="521">
        <v>2.6530200000000002</v>
      </c>
      <c r="CQ147" s="521">
        <v>2.7060804000000003</v>
      </c>
      <c r="CR147" s="521">
        <v>2.7602020080000003</v>
      </c>
      <c r="CS147" s="521">
        <v>2.8154060481600003</v>
      </c>
      <c r="CT147" s="521">
        <v>2.8717141691232002</v>
      </c>
      <c r="CU147" s="521">
        <v>2.5</v>
      </c>
      <c r="CV147" s="521">
        <v>2.5499999999999998</v>
      </c>
      <c r="CW147" s="521">
        <v>2.601</v>
      </c>
      <c r="CX147" s="521">
        <v>2.6530200000000002</v>
      </c>
      <c r="CY147" s="521">
        <v>2.7060804000000003</v>
      </c>
      <c r="CZ147" s="521">
        <v>2.7602020080000003</v>
      </c>
      <c r="DA147" s="522">
        <v>2.8154060481600003</v>
      </c>
      <c r="DB147" s="523">
        <v>0</v>
      </c>
      <c r="DC147" s="524">
        <v>0</v>
      </c>
      <c r="DD147" s="524">
        <v>0</v>
      </c>
      <c r="DE147" s="524">
        <v>0</v>
      </c>
      <c r="DF147" s="524">
        <v>0</v>
      </c>
      <c r="DG147" s="524">
        <v>-1.8736192403732334E-3</v>
      </c>
      <c r="DH147" s="524">
        <v>1.90354254272781E-4</v>
      </c>
      <c r="DI147" s="524">
        <v>2.1002358348038482E-4</v>
      </c>
      <c r="DJ147" s="524">
        <v>2.3170371038244361E-4</v>
      </c>
      <c r="DK147" s="524">
        <v>3.1692304985600932E-2</v>
      </c>
      <c r="DL147" s="524">
        <v>1.4232176907410295E-4</v>
      </c>
      <c r="DM147" s="524">
        <v>1.4254275396131336E-4</v>
      </c>
      <c r="DN147" s="524">
        <v>1.4246232729480789E-4</v>
      </c>
      <c r="DO147" s="524">
        <v>-1.8700452114029098E-3</v>
      </c>
      <c r="DP147" s="524">
        <v>1.7884363698537301E-4</v>
      </c>
      <c r="DQ147" s="524">
        <v>1.8151138205756579E-4</v>
      </c>
      <c r="DR147" s="524">
        <v>1.84058282753247E-4</v>
      </c>
      <c r="DS147" s="524">
        <v>4.4183589556053473E-3</v>
      </c>
      <c r="DT147" s="524">
        <v>2.103750885931021E-4</v>
      </c>
      <c r="DU147" s="525">
        <v>2.1506071286222714E-4</v>
      </c>
      <c r="DV147" s="526">
        <v>3.4</v>
      </c>
      <c r="DW147" s="507">
        <v>1</v>
      </c>
      <c r="DX147" s="509">
        <v>4.5</v>
      </c>
      <c r="DY147" s="507">
        <v>2</v>
      </c>
      <c r="DZ147" s="507">
        <v>10</v>
      </c>
      <c r="EA147" s="507">
        <v>0</v>
      </c>
      <c r="EB147" s="507">
        <v>0</v>
      </c>
      <c r="EC147" s="507">
        <v>111.62500000000001</v>
      </c>
      <c r="ED147" s="507">
        <v>102.18750000000001</v>
      </c>
      <c r="EE147" s="507">
        <v>0</v>
      </c>
      <c r="EF147" s="507">
        <v>25.062499999999996</v>
      </c>
      <c r="EG147" s="507">
        <v>29.3125</v>
      </c>
      <c r="EH147" s="507">
        <v>12.8125</v>
      </c>
      <c r="EI147" s="507">
        <v>16.6875</v>
      </c>
      <c r="EJ147" s="507">
        <v>56.4375</v>
      </c>
      <c r="EK147" s="507">
        <v>10.4375</v>
      </c>
      <c r="EL147" s="507">
        <v>10.4375</v>
      </c>
      <c r="EM147" s="508">
        <v>375</v>
      </c>
    </row>
    <row r="148" spans="2:143" x14ac:dyDescent="0.25">
      <c r="B148" s="506" t="str">
        <f>[1]RONET_Input!J119</f>
        <v>214TT00101</v>
      </c>
      <c r="C148" s="359">
        <f>[1]RONET_Input!B119</f>
        <v>117</v>
      </c>
      <c r="D148" s="397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442">
        <f>[1]RONET_Input!K119</f>
        <v>2.4010723812799999E-2</v>
      </c>
      <c r="Q148" s="398">
        <f>[1]RONET_Input!Y119</f>
        <v>1</v>
      </c>
      <c r="R148" s="398">
        <f>[1]RONET_Input!X119</f>
        <v>3.4</v>
      </c>
      <c r="S148" s="398"/>
      <c r="T148" s="398"/>
      <c r="U148" s="398">
        <f>[1]RONET_Input!AA119</f>
        <v>8</v>
      </c>
      <c r="V148" s="398">
        <f>[1]RONET_Input!AC119</f>
        <v>1</v>
      </c>
      <c r="W148" s="398">
        <f>[1]RONET_Input!AD119</f>
        <v>1</v>
      </c>
      <c r="X148" s="398">
        <f>[1]RONET_Input!AE119</f>
        <v>4</v>
      </c>
      <c r="Y148" s="398">
        <f>[1]RONET_Input!AB119</f>
        <v>1</v>
      </c>
      <c r="Z148" s="438">
        <f>[1]RONET_Input!Z119</f>
        <v>1</v>
      </c>
      <c r="AA148" s="442"/>
      <c r="AB148" s="398"/>
      <c r="AC148" s="438"/>
      <c r="AD148" s="442">
        <f>[1]RONET_Input!AH119</f>
        <v>3</v>
      </c>
      <c r="AE148" s="398">
        <f>[1]RONET_Input!D119</f>
        <v>0</v>
      </c>
      <c r="AF148" s="398"/>
      <c r="AG148" s="398"/>
      <c r="AH148" s="398"/>
      <c r="AI148" s="438"/>
      <c r="AJ148" s="442">
        <v>1</v>
      </c>
      <c r="AK148" s="442">
        <f>[1]RONET_Input!AF119</f>
        <v>4</v>
      </c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8"/>
      <c r="AY148" s="509">
        <f>[1]RONET_Input!AG119</f>
        <v>3</v>
      </c>
      <c r="AZ148" s="359" t="s">
        <v>321</v>
      </c>
      <c r="BA148" s="360" t="s">
        <v>502</v>
      </c>
      <c r="BB148" s="360" t="s">
        <v>443</v>
      </c>
      <c r="BC148" s="510">
        <v>1.1674013917783359E-3</v>
      </c>
      <c r="BD148" s="510">
        <v>4.8619999999999997E-2</v>
      </c>
      <c r="BE148" s="438">
        <v>6</v>
      </c>
      <c r="BF148" s="511">
        <v>9.9369834265868404E-3</v>
      </c>
      <c r="BG148" s="512">
        <v>0.4138560546554404</v>
      </c>
      <c r="BH148" s="512">
        <v>8.5120537773640557</v>
      </c>
      <c r="BI148" s="513">
        <v>0</v>
      </c>
      <c r="BJ148" s="514">
        <v>375</v>
      </c>
      <c r="BK148" s="515">
        <v>0.22366666666666665</v>
      </c>
      <c r="BL148" s="512">
        <v>3.2864678218770004E-3</v>
      </c>
      <c r="BM148" s="516">
        <v>6.4108143749999999E-2</v>
      </c>
      <c r="BN148" s="517">
        <v>375</v>
      </c>
      <c r="BO148" s="518">
        <v>397.50000000000011</v>
      </c>
      <c r="BP148" s="518">
        <v>421.34999999999991</v>
      </c>
      <c r="BQ148" s="518">
        <v>446.63099999999997</v>
      </c>
      <c r="BR148" s="518">
        <v>473.42885999999999</v>
      </c>
      <c r="BS148" s="518">
        <v>501.83459160000012</v>
      </c>
      <c r="BT148" s="518">
        <v>531.9446670960001</v>
      </c>
      <c r="BU148" s="518">
        <v>563.86134712175999</v>
      </c>
      <c r="BV148" s="518">
        <v>597.69302794906582</v>
      </c>
      <c r="BW148" s="518">
        <v>633.55460962600955</v>
      </c>
      <c r="BX148" s="518">
        <v>671.56788620357008</v>
      </c>
      <c r="BY148" s="518">
        <v>711.86195937578441</v>
      </c>
      <c r="BZ148" s="518">
        <v>754.57367693833146</v>
      </c>
      <c r="CA148" s="518">
        <v>799.84809755463141</v>
      </c>
      <c r="CB148" s="518">
        <v>847.83898340790915</v>
      </c>
      <c r="CC148" s="518">
        <v>898.70932241238381</v>
      </c>
      <c r="CD148" s="518">
        <v>952.63188175712685</v>
      </c>
      <c r="CE148" s="518">
        <v>1009.7897946625544</v>
      </c>
      <c r="CF148" s="518">
        <v>1070.3771823423076</v>
      </c>
      <c r="CG148" s="519">
        <v>1134.5998132828461</v>
      </c>
      <c r="CH148" s="520">
        <v>4.5</v>
      </c>
      <c r="CI148" s="521">
        <v>4.59</v>
      </c>
      <c r="CJ148" s="521">
        <v>4.6818</v>
      </c>
      <c r="CK148" s="521">
        <v>4.775436</v>
      </c>
      <c r="CL148" s="521">
        <v>4.8709447199999998</v>
      </c>
      <c r="CM148" s="521">
        <v>2.5</v>
      </c>
      <c r="CN148" s="521">
        <v>2.5499999999999998</v>
      </c>
      <c r="CO148" s="521">
        <v>2.601</v>
      </c>
      <c r="CP148" s="521">
        <v>2.6530200000000002</v>
      </c>
      <c r="CQ148" s="521">
        <v>2.7060804000000003</v>
      </c>
      <c r="CR148" s="521">
        <v>2.7602020080000003</v>
      </c>
      <c r="CS148" s="521">
        <v>2.8154060481600003</v>
      </c>
      <c r="CT148" s="521">
        <v>2.8717141691232002</v>
      </c>
      <c r="CU148" s="521">
        <v>2.5</v>
      </c>
      <c r="CV148" s="521">
        <v>2.5499999999999998</v>
      </c>
      <c r="CW148" s="521">
        <v>2.601</v>
      </c>
      <c r="CX148" s="521">
        <v>2.6530200000000002</v>
      </c>
      <c r="CY148" s="521">
        <v>2.7060804000000003</v>
      </c>
      <c r="CZ148" s="521">
        <v>2.7602020080000003</v>
      </c>
      <c r="DA148" s="522">
        <v>2.8154060481600003</v>
      </c>
      <c r="DB148" s="523">
        <v>0</v>
      </c>
      <c r="DC148" s="524">
        <v>0</v>
      </c>
      <c r="DD148" s="524">
        <v>0</v>
      </c>
      <c r="DE148" s="524">
        <v>0</v>
      </c>
      <c r="DF148" s="524">
        <v>0</v>
      </c>
      <c r="DG148" s="524">
        <v>-9.7276909263632836E-4</v>
      </c>
      <c r="DH148" s="524">
        <v>9.88305047355891E-5</v>
      </c>
      <c r="DI148" s="524">
        <v>1.0904267330951725E-4</v>
      </c>
      <c r="DJ148" s="524">
        <v>1.2029883300317731E-4</v>
      </c>
      <c r="DK148" s="524">
        <v>1.645440765128749E-2</v>
      </c>
      <c r="DL148" s="524">
        <v>7.3892397762222346E-5</v>
      </c>
      <c r="DM148" s="524">
        <v>7.4007131462424779E-5</v>
      </c>
      <c r="DN148" s="524">
        <v>7.3965374538865255E-5</v>
      </c>
      <c r="DO148" s="524">
        <v>-9.7091348353304727E-4</v>
      </c>
      <c r="DP148" s="524">
        <v>9.2854278353475105E-5</v>
      </c>
      <c r="DQ148" s="524">
        <v>9.4239351636958135E-5</v>
      </c>
      <c r="DR148" s="524">
        <v>9.5561683424221378E-5</v>
      </c>
      <c r="DS148" s="524">
        <v>2.2939789150167016E-3</v>
      </c>
      <c r="DT148" s="524">
        <v>1.0922517213435116E-4</v>
      </c>
      <c r="DU148" s="525">
        <v>1.1165791320067592E-4</v>
      </c>
      <c r="DV148" s="526">
        <v>3.4</v>
      </c>
      <c r="DW148" s="507">
        <v>1</v>
      </c>
      <c r="DX148" s="509">
        <v>4.5</v>
      </c>
      <c r="DY148" s="507">
        <v>2</v>
      </c>
      <c r="DZ148" s="507">
        <v>10</v>
      </c>
      <c r="EA148" s="507">
        <v>0</v>
      </c>
      <c r="EB148" s="507">
        <v>0</v>
      </c>
      <c r="EC148" s="507">
        <v>111.62500000000001</v>
      </c>
      <c r="ED148" s="507">
        <v>102.18750000000001</v>
      </c>
      <c r="EE148" s="507">
        <v>0</v>
      </c>
      <c r="EF148" s="507">
        <v>25.062499999999996</v>
      </c>
      <c r="EG148" s="507">
        <v>29.3125</v>
      </c>
      <c r="EH148" s="507">
        <v>12.8125</v>
      </c>
      <c r="EI148" s="507">
        <v>16.6875</v>
      </c>
      <c r="EJ148" s="507">
        <v>56.4375</v>
      </c>
      <c r="EK148" s="507">
        <v>10.4375</v>
      </c>
      <c r="EL148" s="507">
        <v>10.4375</v>
      </c>
      <c r="EM148" s="508">
        <v>375</v>
      </c>
    </row>
    <row r="149" spans="2:143" x14ac:dyDescent="0.25">
      <c r="B149" s="506">
        <f>[1]RONET_Input!J120</f>
        <v>0</v>
      </c>
      <c r="C149" s="359">
        <f>[1]RONET_Input!B120</f>
        <v>118</v>
      </c>
      <c r="D149" s="397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442">
        <f>[1]RONET_Input!K120</f>
        <v>1.32393220727E-2</v>
      </c>
      <c r="Q149" s="398">
        <f>[1]RONET_Input!Y120</f>
        <v>2</v>
      </c>
      <c r="R149" s="398">
        <f>[1]RONET_Input!X120</f>
        <v>3.5</v>
      </c>
      <c r="S149" s="398"/>
      <c r="T149" s="398"/>
      <c r="U149" s="398">
        <f>[1]RONET_Input!AA120</f>
        <v>8</v>
      </c>
      <c r="V149" s="398">
        <f>[1]RONET_Input!AC120</f>
        <v>1</v>
      </c>
      <c r="W149" s="398">
        <f>[1]RONET_Input!AD120</f>
        <v>1</v>
      </c>
      <c r="X149" s="398">
        <f>[1]RONET_Input!AE120</f>
        <v>4</v>
      </c>
      <c r="Y149" s="398">
        <f>[1]RONET_Input!AB120</f>
        <v>1</v>
      </c>
      <c r="Z149" s="438">
        <f>[1]RONET_Input!Z120</f>
        <v>1</v>
      </c>
      <c r="AA149" s="442"/>
      <c r="AB149" s="398"/>
      <c r="AC149" s="438"/>
      <c r="AD149" s="442">
        <f>[1]RONET_Input!AH120</f>
        <v>3</v>
      </c>
      <c r="AE149" s="398">
        <f>[1]RONET_Input!D120</f>
        <v>0</v>
      </c>
      <c r="AF149" s="398"/>
      <c r="AG149" s="398"/>
      <c r="AH149" s="398"/>
      <c r="AI149" s="438"/>
      <c r="AJ149" s="442">
        <v>1</v>
      </c>
      <c r="AK149" s="442">
        <f>[1]RONET_Input!AF120</f>
        <v>4</v>
      </c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8"/>
      <c r="AY149" s="509">
        <f>[1]RONET_Input!AG120</f>
        <v>3</v>
      </c>
      <c r="AZ149" s="359" t="s">
        <v>321</v>
      </c>
      <c r="BA149" s="360" t="s">
        <v>502</v>
      </c>
      <c r="BB149" s="360" t="s">
        <v>443</v>
      </c>
      <c r="BC149" s="510">
        <v>6.6262806973863496E-4</v>
      </c>
      <c r="BD149" s="510">
        <v>5.0049999999999997E-2</v>
      </c>
      <c r="BE149" s="438">
        <v>6</v>
      </c>
      <c r="BF149" s="511">
        <v>5.2367306753137314E-3</v>
      </c>
      <c r="BG149" s="512">
        <v>0.39554371791529075</v>
      </c>
      <c r="BH149" s="512">
        <v>7.9029713869188969</v>
      </c>
      <c r="BI149" s="513">
        <v>0</v>
      </c>
      <c r="BJ149" s="514">
        <v>375</v>
      </c>
      <c r="BK149" s="515">
        <v>0.22366666666666665</v>
      </c>
      <c r="BL149" s="512">
        <v>1.8121322087008122E-3</v>
      </c>
      <c r="BM149" s="516">
        <v>3.2054071874999999E-2</v>
      </c>
      <c r="BN149" s="517">
        <v>375</v>
      </c>
      <c r="BO149" s="518">
        <v>397.50000000000011</v>
      </c>
      <c r="BP149" s="518">
        <v>421.34999999999991</v>
      </c>
      <c r="BQ149" s="518">
        <v>446.63099999999997</v>
      </c>
      <c r="BR149" s="518">
        <v>473.42885999999999</v>
      </c>
      <c r="BS149" s="518">
        <v>501.83459160000012</v>
      </c>
      <c r="BT149" s="518">
        <v>531.9446670960001</v>
      </c>
      <c r="BU149" s="518">
        <v>563.86134712175999</v>
      </c>
      <c r="BV149" s="518">
        <v>597.69302794906582</v>
      </c>
      <c r="BW149" s="518">
        <v>633.55460962600955</v>
      </c>
      <c r="BX149" s="518">
        <v>671.56788620357008</v>
      </c>
      <c r="BY149" s="518">
        <v>711.86195937578441</v>
      </c>
      <c r="BZ149" s="518">
        <v>754.57367693833146</v>
      </c>
      <c r="CA149" s="518">
        <v>799.84809755463141</v>
      </c>
      <c r="CB149" s="518">
        <v>847.83898340790915</v>
      </c>
      <c r="CC149" s="518">
        <v>898.70932241238381</v>
      </c>
      <c r="CD149" s="518">
        <v>952.63188175712685</v>
      </c>
      <c r="CE149" s="518">
        <v>1009.7897946625544</v>
      </c>
      <c r="CF149" s="518">
        <v>1070.3771823423076</v>
      </c>
      <c r="CG149" s="519">
        <v>1134.5998132828461</v>
      </c>
      <c r="CH149" s="520">
        <v>4.5</v>
      </c>
      <c r="CI149" s="521">
        <v>4.59</v>
      </c>
      <c r="CJ149" s="521">
        <v>4.6818</v>
      </c>
      <c r="CK149" s="521">
        <v>4.775436</v>
      </c>
      <c r="CL149" s="521">
        <v>4.8709447199999998</v>
      </c>
      <c r="CM149" s="521">
        <v>2.5</v>
      </c>
      <c r="CN149" s="521">
        <v>2.5499999999999998</v>
      </c>
      <c r="CO149" s="521">
        <v>2.601</v>
      </c>
      <c r="CP149" s="521">
        <v>2.6530200000000002</v>
      </c>
      <c r="CQ149" s="521">
        <v>2.7060804000000003</v>
      </c>
      <c r="CR149" s="521">
        <v>2.7602020080000003</v>
      </c>
      <c r="CS149" s="521">
        <v>2.8154060481600003</v>
      </c>
      <c r="CT149" s="521">
        <v>2.8717141691232002</v>
      </c>
      <c r="CU149" s="521">
        <v>2.5</v>
      </c>
      <c r="CV149" s="521">
        <v>2.5499999999999998</v>
      </c>
      <c r="CW149" s="521">
        <v>2.601</v>
      </c>
      <c r="CX149" s="521">
        <v>2.6530200000000002</v>
      </c>
      <c r="CY149" s="521">
        <v>2.7060804000000003</v>
      </c>
      <c r="CZ149" s="521">
        <v>2.7602020080000003</v>
      </c>
      <c r="DA149" s="522">
        <v>2.8154060481600003</v>
      </c>
      <c r="DB149" s="523">
        <v>0</v>
      </c>
      <c r="DC149" s="524">
        <v>0</v>
      </c>
      <c r="DD149" s="524">
        <v>0</v>
      </c>
      <c r="DE149" s="524">
        <v>0</v>
      </c>
      <c r="DF149" s="524">
        <v>0</v>
      </c>
      <c r="DG149" s="524">
        <v>-5.5958980192689196E-4</v>
      </c>
      <c r="DH149" s="524">
        <v>4.8074867832436936E-5</v>
      </c>
      <c r="DI149" s="524">
        <v>5.3241183163100884E-5</v>
      </c>
      <c r="DJ149" s="524">
        <v>5.8951981226739629E-5</v>
      </c>
      <c r="DK149" s="524">
        <v>9.0358343060310767E-3</v>
      </c>
      <c r="DL149" s="524">
        <v>3.1674061028396077E-6</v>
      </c>
      <c r="DM149" s="524">
        <v>2.6294893899355635E-6</v>
      </c>
      <c r="DN149" s="524">
        <v>1.9851164745783838E-6</v>
      </c>
      <c r="DO149" s="524">
        <v>-5.9384613862569586E-4</v>
      </c>
      <c r="DP149" s="524">
        <v>9.1334586916299622E-6</v>
      </c>
      <c r="DQ149" s="524">
        <v>9.0649405550817692E-6</v>
      </c>
      <c r="DR149" s="524">
        <v>8.9309071618108235E-6</v>
      </c>
      <c r="DS149" s="524">
        <v>1.220226169634425E-3</v>
      </c>
      <c r="DT149" s="524">
        <v>1.4644124319903619E-5</v>
      </c>
      <c r="DU149" s="525">
        <v>1.502732886272647E-5</v>
      </c>
      <c r="DV149" s="526">
        <v>3.5</v>
      </c>
      <c r="DW149" s="507">
        <v>1</v>
      </c>
      <c r="DX149" s="509">
        <v>4.5</v>
      </c>
      <c r="DY149" s="507">
        <v>2</v>
      </c>
      <c r="DZ149" s="507">
        <v>10</v>
      </c>
      <c r="EA149" s="507">
        <v>0</v>
      </c>
      <c r="EB149" s="507">
        <v>0</v>
      </c>
      <c r="EC149" s="507">
        <v>111.62500000000001</v>
      </c>
      <c r="ED149" s="507">
        <v>102.18750000000001</v>
      </c>
      <c r="EE149" s="507">
        <v>0</v>
      </c>
      <c r="EF149" s="507">
        <v>25.062499999999996</v>
      </c>
      <c r="EG149" s="507">
        <v>29.3125</v>
      </c>
      <c r="EH149" s="507">
        <v>12.8125</v>
      </c>
      <c r="EI149" s="507">
        <v>16.6875</v>
      </c>
      <c r="EJ149" s="507">
        <v>56.4375</v>
      </c>
      <c r="EK149" s="507">
        <v>10.4375</v>
      </c>
      <c r="EL149" s="507">
        <v>10.4375</v>
      </c>
      <c r="EM149" s="508">
        <v>375</v>
      </c>
    </row>
    <row r="150" spans="2:143" x14ac:dyDescent="0.25">
      <c r="B150" s="506">
        <f>[1]RONET_Input!J121</f>
        <v>0</v>
      </c>
      <c r="C150" s="359">
        <f>[1]RONET_Input!B121</f>
        <v>119</v>
      </c>
      <c r="D150" s="397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442">
        <f>[1]RONET_Input!K121</f>
        <v>1.3608384608799999E-2</v>
      </c>
      <c r="Q150" s="398">
        <f>[1]RONET_Input!Y121</f>
        <v>2</v>
      </c>
      <c r="R150" s="398">
        <f>[1]RONET_Input!X121</f>
        <v>3.5</v>
      </c>
      <c r="S150" s="398"/>
      <c r="T150" s="398"/>
      <c r="U150" s="398">
        <f>[1]RONET_Input!AA121</f>
        <v>8</v>
      </c>
      <c r="V150" s="398">
        <f>[1]RONET_Input!AC121</f>
        <v>1</v>
      </c>
      <c r="W150" s="398">
        <f>[1]RONET_Input!AD121</f>
        <v>1</v>
      </c>
      <c r="X150" s="398">
        <f>[1]RONET_Input!AE121</f>
        <v>4</v>
      </c>
      <c r="Y150" s="398">
        <f>[1]RONET_Input!AB121</f>
        <v>1</v>
      </c>
      <c r="Z150" s="438">
        <f>[1]RONET_Input!Z121</f>
        <v>1</v>
      </c>
      <c r="AA150" s="442"/>
      <c r="AB150" s="398"/>
      <c r="AC150" s="438"/>
      <c r="AD150" s="442">
        <f>[1]RONET_Input!AH121</f>
        <v>3</v>
      </c>
      <c r="AE150" s="398">
        <f>[1]RONET_Input!D121</f>
        <v>0</v>
      </c>
      <c r="AF150" s="398"/>
      <c r="AG150" s="398"/>
      <c r="AH150" s="398"/>
      <c r="AI150" s="438"/>
      <c r="AJ150" s="442">
        <v>1</v>
      </c>
      <c r="AK150" s="442">
        <f>[1]RONET_Input!AF121</f>
        <v>4</v>
      </c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8"/>
      <c r="AY150" s="509">
        <f>[1]RONET_Input!AG121</f>
        <v>3</v>
      </c>
      <c r="AZ150" s="359" t="s">
        <v>321</v>
      </c>
      <c r="BA150" s="360" t="s">
        <v>502</v>
      </c>
      <c r="BB150" s="360" t="s">
        <v>443</v>
      </c>
      <c r="BC150" s="510">
        <v>6.8109964967044006E-4</v>
      </c>
      <c r="BD150" s="510">
        <v>5.0050000000000004E-2</v>
      </c>
      <c r="BE150" s="438">
        <v>6</v>
      </c>
      <c r="BF150" s="511">
        <v>5.3827110429859708E-3</v>
      </c>
      <c r="BG150" s="512">
        <v>0.39554371791529069</v>
      </c>
      <c r="BH150" s="512">
        <v>7.9029713869188942</v>
      </c>
      <c r="BI150" s="513">
        <v>0</v>
      </c>
      <c r="BJ150" s="514">
        <v>375</v>
      </c>
      <c r="BK150" s="515">
        <v>0.22366666666666665</v>
      </c>
      <c r="BL150" s="512">
        <v>1.8626476433295E-3</v>
      </c>
      <c r="BM150" s="516">
        <v>3.2054071874999999E-2</v>
      </c>
      <c r="BN150" s="517">
        <v>375</v>
      </c>
      <c r="BO150" s="518">
        <v>397.50000000000011</v>
      </c>
      <c r="BP150" s="518">
        <v>421.34999999999991</v>
      </c>
      <c r="BQ150" s="518">
        <v>446.63099999999997</v>
      </c>
      <c r="BR150" s="518">
        <v>473.42885999999999</v>
      </c>
      <c r="BS150" s="518">
        <v>501.83459160000012</v>
      </c>
      <c r="BT150" s="518">
        <v>531.9446670960001</v>
      </c>
      <c r="BU150" s="518">
        <v>563.86134712175999</v>
      </c>
      <c r="BV150" s="518">
        <v>597.69302794906582</v>
      </c>
      <c r="BW150" s="518">
        <v>633.55460962600955</v>
      </c>
      <c r="BX150" s="518">
        <v>671.56788620357008</v>
      </c>
      <c r="BY150" s="518">
        <v>711.86195937578441</v>
      </c>
      <c r="BZ150" s="518">
        <v>754.57367693833146</v>
      </c>
      <c r="CA150" s="518">
        <v>799.84809755463141</v>
      </c>
      <c r="CB150" s="518">
        <v>847.83898340790915</v>
      </c>
      <c r="CC150" s="518">
        <v>898.70932241238381</v>
      </c>
      <c r="CD150" s="518">
        <v>952.63188175712685</v>
      </c>
      <c r="CE150" s="518">
        <v>1009.7897946625544</v>
      </c>
      <c r="CF150" s="518">
        <v>1070.3771823423076</v>
      </c>
      <c r="CG150" s="519">
        <v>1134.5998132828461</v>
      </c>
      <c r="CH150" s="520">
        <v>4.5</v>
      </c>
      <c r="CI150" s="521">
        <v>4.59</v>
      </c>
      <c r="CJ150" s="521">
        <v>4.6818</v>
      </c>
      <c r="CK150" s="521">
        <v>4.775436</v>
      </c>
      <c r="CL150" s="521">
        <v>4.8709447199999998</v>
      </c>
      <c r="CM150" s="521">
        <v>2.5</v>
      </c>
      <c r="CN150" s="521">
        <v>2.5499999999999998</v>
      </c>
      <c r="CO150" s="521">
        <v>2.601</v>
      </c>
      <c r="CP150" s="521">
        <v>2.6530200000000002</v>
      </c>
      <c r="CQ150" s="521">
        <v>2.7060804000000003</v>
      </c>
      <c r="CR150" s="521">
        <v>2.7602020080000003</v>
      </c>
      <c r="CS150" s="521">
        <v>2.8154060481600003</v>
      </c>
      <c r="CT150" s="521">
        <v>2.8717141691232002</v>
      </c>
      <c r="CU150" s="521">
        <v>2.5</v>
      </c>
      <c r="CV150" s="521">
        <v>2.5499999999999998</v>
      </c>
      <c r="CW150" s="521">
        <v>2.601</v>
      </c>
      <c r="CX150" s="521">
        <v>2.6530200000000002</v>
      </c>
      <c r="CY150" s="521">
        <v>2.7060804000000003</v>
      </c>
      <c r="CZ150" s="521">
        <v>2.7602020080000003</v>
      </c>
      <c r="DA150" s="522">
        <v>2.8154060481600003</v>
      </c>
      <c r="DB150" s="523">
        <v>0</v>
      </c>
      <c r="DC150" s="524">
        <v>0</v>
      </c>
      <c r="DD150" s="524">
        <v>0</v>
      </c>
      <c r="DE150" s="524">
        <v>0</v>
      </c>
      <c r="DF150" s="524">
        <v>0</v>
      </c>
      <c r="DG150" s="524">
        <v>-5.7518906224707819E-4</v>
      </c>
      <c r="DH150" s="524">
        <v>4.9415014446250105E-5</v>
      </c>
      <c r="DI150" s="524">
        <v>5.4725347229450747E-5</v>
      </c>
      <c r="DJ150" s="524">
        <v>6.059534087764825E-5</v>
      </c>
      <c r="DK150" s="524">
        <v>9.2877194030512381E-3</v>
      </c>
      <c r="DL150" s="524">
        <v>3.2557014795027081E-6</v>
      </c>
      <c r="DM150" s="524">
        <v>2.7027896705369026E-6</v>
      </c>
      <c r="DN150" s="524">
        <v>2.0404540603353657E-6</v>
      </c>
      <c r="DO150" s="524">
        <v>-6.1040033685207779E-4</v>
      </c>
      <c r="DP150" s="524">
        <v>9.3880651895752402E-6</v>
      </c>
      <c r="DQ150" s="524">
        <v>9.3176370249224011E-6</v>
      </c>
      <c r="DR150" s="524">
        <v>9.1798672844445664E-6</v>
      </c>
      <c r="DS150" s="524">
        <v>1.2542414887200966E-3</v>
      </c>
      <c r="DT150" s="524">
        <v>1.505234746235597E-5</v>
      </c>
      <c r="DU150" s="525">
        <v>1.5446234307464612E-5</v>
      </c>
      <c r="DV150" s="526">
        <v>3.5</v>
      </c>
      <c r="DW150" s="507">
        <v>1</v>
      </c>
      <c r="DX150" s="509">
        <v>4.5</v>
      </c>
      <c r="DY150" s="507">
        <v>2</v>
      </c>
      <c r="DZ150" s="507">
        <v>10</v>
      </c>
      <c r="EA150" s="507">
        <v>0</v>
      </c>
      <c r="EB150" s="507">
        <v>0</v>
      </c>
      <c r="EC150" s="507">
        <v>111.62500000000001</v>
      </c>
      <c r="ED150" s="507">
        <v>102.18750000000001</v>
      </c>
      <c r="EE150" s="507">
        <v>0</v>
      </c>
      <c r="EF150" s="507">
        <v>25.062499999999996</v>
      </c>
      <c r="EG150" s="507">
        <v>29.3125</v>
      </c>
      <c r="EH150" s="507">
        <v>12.8125</v>
      </c>
      <c r="EI150" s="507">
        <v>16.6875</v>
      </c>
      <c r="EJ150" s="507">
        <v>56.4375</v>
      </c>
      <c r="EK150" s="507">
        <v>10.4375</v>
      </c>
      <c r="EL150" s="507">
        <v>10.4375</v>
      </c>
      <c r="EM150" s="508">
        <v>375</v>
      </c>
    </row>
    <row r="151" spans="2:143" x14ac:dyDescent="0.25">
      <c r="B151" s="506" t="str">
        <f>[1]RONET_Input!J122</f>
        <v xml:space="preserve">Input VPROMMS: QL45_2 (36.99 pct); ql45_1 (34.25 pct); 213TT00009 (21.92 pct); 214TT00101 (5.48 pct); 214tt00085 (1.37 pct); </v>
      </c>
      <c r="C151" s="359">
        <f>[1]RONET_Input!B122</f>
        <v>120</v>
      </c>
      <c r="D151" s="397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442">
        <f>[1]RONET_Input!K122</f>
        <v>1.7155204122100001</v>
      </c>
      <c r="Q151" s="398">
        <f>[1]RONET_Input!Y122</f>
        <v>2</v>
      </c>
      <c r="R151" s="398">
        <f>[1]RONET_Input!X122</f>
        <v>3.5</v>
      </c>
      <c r="S151" s="398"/>
      <c r="T151" s="398"/>
      <c r="U151" s="398">
        <f>[1]RONET_Input!AA122</f>
        <v>8</v>
      </c>
      <c r="V151" s="398">
        <f>[1]RONET_Input!AC122</f>
        <v>1</v>
      </c>
      <c r="W151" s="398">
        <f>[1]RONET_Input!AD122</f>
        <v>1</v>
      </c>
      <c r="X151" s="398">
        <f>[1]RONET_Input!AE122</f>
        <v>4</v>
      </c>
      <c r="Y151" s="398">
        <f>[1]RONET_Input!AB122</f>
        <v>1</v>
      </c>
      <c r="Z151" s="438">
        <f>[1]RONET_Input!Z122</f>
        <v>1</v>
      </c>
      <c r="AA151" s="442"/>
      <c r="AB151" s="398"/>
      <c r="AC151" s="438"/>
      <c r="AD151" s="442">
        <f>[1]RONET_Input!AH122</f>
        <v>4</v>
      </c>
      <c r="AE151" s="398">
        <f>[1]RONET_Input!D122</f>
        <v>9.93</v>
      </c>
      <c r="AF151" s="398"/>
      <c r="AG151" s="398"/>
      <c r="AH151" s="398"/>
      <c r="AI151" s="438"/>
      <c r="AJ151" s="442">
        <v>1</v>
      </c>
      <c r="AK151" s="442">
        <f>[1]RONET_Input!AF122</f>
        <v>4</v>
      </c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8"/>
      <c r="AY151" s="509">
        <f>[1]RONET_Input!AG122</f>
        <v>3</v>
      </c>
      <c r="AZ151" s="359" t="s">
        <v>321</v>
      </c>
      <c r="BA151" s="360" t="s">
        <v>502</v>
      </c>
      <c r="BB151" s="360" t="s">
        <v>443</v>
      </c>
      <c r="BC151" s="510">
        <v>8.5861796631110501E-2</v>
      </c>
      <c r="BD151" s="510">
        <v>5.0049999999999997E-2</v>
      </c>
      <c r="BE151" s="438">
        <v>5</v>
      </c>
      <c r="BF151" s="511">
        <v>0.798479539735924</v>
      </c>
      <c r="BG151" s="512">
        <v>0.46544449955409833</v>
      </c>
      <c r="BH151" s="512">
        <v>9.2995904006812857</v>
      </c>
      <c r="BI151" s="513">
        <v>0</v>
      </c>
      <c r="BJ151" s="514">
        <v>375</v>
      </c>
      <c r="BK151" s="515">
        <v>0.22366666666666665</v>
      </c>
      <c r="BL151" s="512">
        <v>0.23481185642124378</v>
      </c>
      <c r="BM151" s="516">
        <v>3.2054071874999999E-2</v>
      </c>
      <c r="BN151" s="517">
        <v>375</v>
      </c>
      <c r="BO151" s="518">
        <v>397.50000000000011</v>
      </c>
      <c r="BP151" s="518">
        <v>421.34999999999991</v>
      </c>
      <c r="BQ151" s="518">
        <v>446.63099999999997</v>
      </c>
      <c r="BR151" s="518">
        <v>473.42885999999999</v>
      </c>
      <c r="BS151" s="518">
        <v>501.83459160000012</v>
      </c>
      <c r="BT151" s="518">
        <v>531.9446670960001</v>
      </c>
      <c r="BU151" s="518">
        <v>563.86134712175999</v>
      </c>
      <c r="BV151" s="518">
        <v>597.69302794906582</v>
      </c>
      <c r="BW151" s="518">
        <v>633.55460962600955</v>
      </c>
      <c r="BX151" s="518">
        <v>671.56788620357008</v>
      </c>
      <c r="BY151" s="518">
        <v>711.86195937578441</v>
      </c>
      <c r="BZ151" s="518">
        <v>754.57367693833146</v>
      </c>
      <c r="CA151" s="518">
        <v>799.84809755463141</v>
      </c>
      <c r="CB151" s="518">
        <v>847.83898340790915</v>
      </c>
      <c r="CC151" s="518">
        <v>898.70932241238381</v>
      </c>
      <c r="CD151" s="518">
        <v>952.63188175712685</v>
      </c>
      <c r="CE151" s="518">
        <v>1009.7897946625544</v>
      </c>
      <c r="CF151" s="518">
        <v>1070.3771823423076</v>
      </c>
      <c r="CG151" s="519">
        <v>1134.5998132828461</v>
      </c>
      <c r="CH151" s="520">
        <v>9.93</v>
      </c>
      <c r="CI151" s="521">
        <v>10.1286</v>
      </c>
      <c r="CJ151" s="521">
        <v>10.331172</v>
      </c>
      <c r="CK151" s="521">
        <v>10.53779544</v>
      </c>
      <c r="CL151" s="521">
        <v>2.5</v>
      </c>
      <c r="CM151" s="521">
        <v>2.5499999999999998</v>
      </c>
      <c r="CN151" s="521">
        <v>2.601</v>
      </c>
      <c r="CO151" s="521">
        <v>2.6530200000000002</v>
      </c>
      <c r="CP151" s="521">
        <v>2.7060804000000003</v>
      </c>
      <c r="CQ151" s="521">
        <v>2.7602020080000003</v>
      </c>
      <c r="CR151" s="521">
        <v>2.8154060481600003</v>
      </c>
      <c r="CS151" s="521">
        <v>2.8717141691232002</v>
      </c>
      <c r="CT151" s="521">
        <v>2.5</v>
      </c>
      <c r="CU151" s="521">
        <v>2.5499999999999998</v>
      </c>
      <c r="CV151" s="521">
        <v>2.601</v>
      </c>
      <c r="CW151" s="521">
        <v>2.6530200000000002</v>
      </c>
      <c r="CX151" s="521">
        <v>2.7060804000000003</v>
      </c>
      <c r="CY151" s="521">
        <v>2.7602020080000003</v>
      </c>
      <c r="CZ151" s="521">
        <v>2.8154060481600003</v>
      </c>
      <c r="DA151" s="522">
        <v>2.8717141691232002</v>
      </c>
      <c r="DB151" s="523">
        <v>0</v>
      </c>
      <c r="DC151" s="524">
        <v>0</v>
      </c>
      <c r="DD151" s="524">
        <v>0</v>
      </c>
      <c r="DE151" s="524">
        <v>0</v>
      </c>
      <c r="DF151" s="524">
        <v>-4.4708309395675883E-2</v>
      </c>
      <c r="DG151" s="524">
        <v>3.6898420890832589E-2</v>
      </c>
      <c r="DH151" s="524">
        <v>4.0728727483949012E-2</v>
      </c>
      <c r="DI151" s="524">
        <v>4.4953377280693679E-2</v>
      </c>
      <c r="DJ151" s="524">
        <v>4.9612539108421061E-2</v>
      </c>
      <c r="DK151" s="524">
        <v>1.1707386811747871</v>
      </c>
      <c r="DL151" s="524">
        <v>2.9521016072064921E-4</v>
      </c>
      <c r="DM151" s="524">
        <v>2.1264429104361771E-4</v>
      </c>
      <c r="DN151" s="524">
        <v>-7.705056602266655E-2</v>
      </c>
      <c r="DO151" s="524">
        <v>1.0774068822746452E-3</v>
      </c>
      <c r="DP151" s="524">
        <v>1.0636372410665618E-3</v>
      </c>
      <c r="DQ151" s="524">
        <v>1.0411984672004659E-3</v>
      </c>
      <c r="DR151" s="524">
        <v>1.0087887018552233E-3</v>
      </c>
      <c r="DS151" s="524">
        <v>0.15794891614058088</v>
      </c>
      <c r="DT151" s="524">
        <v>1.7139163266690627E-3</v>
      </c>
      <c r="DU151" s="525">
        <v>1.7430680066393145E-3</v>
      </c>
      <c r="DV151" s="526">
        <v>3.5</v>
      </c>
      <c r="DW151" s="507">
        <v>1</v>
      </c>
      <c r="DX151" s="509">
        <v>9.93</v>
      </c>
      <c r="DY151" s="507">
        <v>2</v>
      </c>
      <c r="DZ151" s="507">
        <v>15</v>
      </c>
      <c r="EA151" s="507">
        <v>0</v>
      </c>
      <c r="EB151" s="507">
        <v>0</v>
      </c>
      <c r="EC151" s="507">
        <v>111.62500000000001</v>
      </c>
      <c r="ED151" s="507">
        <v>102.18750000000001</v>
      </c>
      <c r="EE151" s="507">
        <v>0</v>
      </c>
      <c r="EF151" s="507">
        <v>25.062499999999996</v>
      </c>
      <c r="EG151" s="507">
        <v>29.3125</v>
      </c>
      <c r="EH151" s="507">
        <v>12.8125</v>
      </c>
      <c r="EI151" s="507">
        <v>16.6875</v>
      </c>
      <c r="EJ151" s="507">
        <v>56.4375</v>
      </c>
      <c r="EK151" s="507">
        <v>10.4375</v>
      </c>
      <c r="EL151" s="507">
        <v>10.4375</v>
      </c>
      <c r="EM151" s="508">
        <v>375</v>
      </c>
    </row>
    <row r="152" spans="2:143" x14ac:dyDescent="0.25">
      <c r="B152" s="506" t="str">
        <f>[1]RONET_Input!J123</f>
        <v xml:space="preserve">Input VPROMMS: 212th00023 (50.0 pct); 214TT00015 (25.0 pct); 212TH00023 (25.0 pct); </v>
      </c>
      <c r="C152" s="359">
        <f>[1]RONET_Input!B123</f>
        <v>121</v>
      </c>
      <c r="D152" s="397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442">
        <f>[1]RONET_Input!K123</f>
        <v>2.09700823011E-2</v>
      </c>
      <c r="Q152" s="398">
        <f>[1]RONET_Input!Y123</f>
        <v>2</v>
      </c>
      <c r="R152" s="398">
        <f>[1]RONET_Input!X123</f>
        <v>3.5</v>
      </c>
      <c r="S152" s="398"/>
      <c r="T152" s="398"/>
      <c r="U152" s="398">
        <f>[1]RONET_Input!AA123</f>
        <v>8</v>
      </c>
      <c r="V152" s="398">
        <f>[1]RONET_Input!AC123</f>
        <v>1</v>
      </c>
      <c r="W152" s="398">
        <f>[1]RONET_Input!AD123</f>
        <v>1</v>
      </c>
      <c r="X152" s="398">
        <f>[1]RONET_Input!AE123</f>
        <v>4</v>
      </c>
      <c r="Y152" s="398">
        <f>[1]RONET_Input!AB123</f>
        <v>1</v>
      </c>
      <c r="Z152" s="438">
        <f>[1]RONET_Input!Z123</f>
        <v>1</v>
      </c>
      <c r="AA152" s="442"/>
      <c r="AB152" s="398"/>
      <c r="AC152" s="438"/>
      <c r="AD152" s="442">
        <f>[1]RONET_Input!AH123</f>
        <v>4</v>
      </c>
      <c r="AE152" s="398">
        <f>[1]RONET_Input!D123</f>
        <v>9.34</v>
      </c>
      <c r="AF152" s="398"/>
      <c r="AG152" s="398"/>
      <c r="AH152" s="398"/>
      <c r="AI152" s="438"/>
      <c r="AJ152" s="442">
        <v>1</v>
      </c>
      <c r="AK152" s="442">
        <f>[1]RONET_Input!AF123</f>
        <v>4</v>
      </c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8"/>
      <c r="AY152" s="509">
        <f>[1]RONET_Input!AG123</f>
        <v>3</v>
      </c>
      <c r="AZ152" s="359" t="s">
        <v>321</v>
      </c>
      <c r="BA152" s="360" t="s">
        <v>502</v>
      </c>
      <c r="BB152" s="360" t="s">
        <v>443</v>
      </c>
      <c r="BC152" s="510">
        <v>1.0495526191700551E-3</v>
      </c>
      <c r="BD152" s="510">
        <v>5.0050000000000004E-2</v>
      </c>
      <c r="BE152" s="438">
        <v>5</v>
      </c>
      <c r="BF152" s="511">
        <v>9.5435981279268257E-3</v>
      </c>
      <c r="BG152" s="512">
        <v>0.45510542070815857</v>
      </c>
      <c r="BH152" s="512">
        <v>9.0930153987644058</v>
      </c>
      <c r="BI152" s="513">
        <v>0</v>
      </c>
      <c r="BJ152" s="514">
        <v>375</v>
      </c>
      <c r="BK152" s="515">
        <v>0.22366666666666665</v>
      </c>
      <c r="BL152" s="512">
        <v>2.8702800149630627E-3</v>
      </c>
      <c r="BM152" s="516">
        <v>3.2054071874999999E-2</v>
      </c>
      <c r="BN152" s="517">
        <v>375</v>
      </c>
      <c r="BO152" s="518">
        <v>397.50000000000011</v>
      </c>
      <c r="BP152" s="518">
        <v>421.34999999999991</v>
      </c>
      <c r="BQ152" s="518">
        <v>446.63099999999997</v>
      </c>
      <c r="BR152" s="518">
        <v>473.42885999999999</v>
      </c>
      <c r="BS152" s="518">
        <v>501.83459160000012</v>
      </c>
      <c r="BT152" s="518">
        <v>531.9446670960001</v>
      </c>
      <c r="BU152" s="518">
        <v>563.86134712175999</v>
      </c>
      <c r="BV152" s="518">
        <v>597.69302794906582</v>
      </c>
      <c r="BW152" s="518">
        <v>633.55460962600955</v>
      </c>
      <c r="BX152" s="518">
        <v>671.56788620357008</v>
      </c>
      <c r="BY152" s="518">
        <v>711.86195937578441</v>
      </c>
      <c r="BZ152" s="518">
        <v>754.57367693833146</v>
      </c>
      <c r="CA152" s="518">
        <v>799.84809755463141</v>
      </c>
      <c r="CB152" s="518">
        <v>847.83898340790915</v>
      </c>
      <c r="CC152" s="518">
        <v>898.70932241238381</v>
      </c>
      <c r="CD152" s="518">
        <v>952.63188175712685</v>
      </c>
      <c r="CE152" s="518">
        <v>1009.7897946625544</v>
      </c>
      <c r="CF152" s="518">
        <v>1070.3771823423076</v>
      </c>
      <c r="CG152" s="519">
        <v>1134.5998132828461</v>
      </c>
      <c r="CH152" s="520">
        <v>9.34</v>
      </c>
      <c r="CI152" s="521">
        <v>9.5267999999999997</v>
      </c>
      <c r="CJ152" s="521">
        <v>9.7173359999999995</v>
      </c>
      <c r="CK152" s="521">
        <v>9.9116827199999999</v>
      </c>
      <c r="CL152" s="521">
        <v>2.5</v>
      </c>
      <c r="CM152" s="521">
        <v>2.5499999999999998</v>
      </c>
      <c r="CN152" s="521">
        <v>2.601</v>
      </c>
      <c r="CO152" s="521">
        <v>2.6530200000000002</v>
      </c>
      <c r="CP152" s="521">
        <v>2.7060804000000003</v>
      </c>
      <c r="CQ152" s="521">
        <v>2.7602020080000003</v>
      </c>
      <c r="CR152" s="521">
        <v>2.8154060481600003</v>
      </c>
      <c r="CS152" s="521">
        <v>2.8717141691232002</v>
      </c>
      <c r="CT152" s="521">
        <v>2.5</v>
      </c>
      <c r="CU152" s="521">
        <v>2.5499999999999998</v>
      </c>
      <c r="CV152" s="521">
        <v>2.601</v>
      </c>
      <c r="CW152" s="521">
        <v>2.6530200000000002</v>
      </c>
      <c r="CX152" s="521">
        <v>2.7060804000000003</v>
      </c>
      <c r="CY152" s="521">
        <v>2.7602020080000003</v>
      </c>
      <c r="CZ152" s="521">
        <v>2.8154060481600003</v>
      </c>
      <c r="DA152" s="522">
        <v>2.8717141691232002</v>
      </c>
      <c r="DB152" s="523">
        <v>0</v>
      </c>
      <c r="DC152" s="524">
        <v>0</v>
      </c>
      <c r="DD152" s="524">
        <v>0</v>
      </c>
      <c r="DE152" s="524">
        <v>0</v>
      </c>
      <c r="DF152" s="524">
        <v>-5.9703222286783264E-4</v>
      </c>
      <c r="DG152" s="524">
        <v>3.9532567904889066E-4</v>
      </c>
      <c r="DH152" s="524">
        <v>4.3643698117673546E-4</v>
      </c>
      <c r="DI152" s="524">
        <v>4.8178896013461366E-4</v>
      </c>
      <c r="DJ152" s="524">
        <v>5.3181594342959848E-4</v>
      </c>
      <c r="DK152" s="524">
        <v>1.4310809899189527E-2</v>
      </c>
      <c r="DL152" s="524">
        <v>3.6085734231856674E-6</v>
      </c>
      <c r="DM152" s="524">
        <v>2.5993093712597774E-6</v>
      </c>
      <c r="DN152" s="524">
        <v>-9.4184639211618336E-4</v>
      </c>
      <c r="DO152" s="524">
        <v>1.3169945884797512E-5</v>
      </c>
      <c r="DP152" s="524">
        <v>1.3001629316055762E-5</v>
      </c>
      <c r="DQ152" s="524">
        <v>1.2727343489224181E-5</v>
      </c>
      <c r="DR152" s="524">
        <v>1.2331174815386099E-5</v>
      </c>
      <c r="DS152" s="524">
        <v>1.9307271118800718E-3</v>
      </c>
      <c r="DT152" s="524">
        <v>2.0950474370135235E-5</v>
      </c>
      <c r="DU152" s="525">
        <v>2.1306817042505283E-5</v>
      </c>
      <c r="DV152" s="526">
        <v>3.5</v>
      </c>
      <c r="DW152" s="507">
        <v>1</v>
      </c>
      <c r="DX152" s="509">
        <v>9.34</v>
      </c>
      <c r="DY152" s="507">
        <v>2</v>
      </c>
      <c r="DZ152" s="507">
        <v>15</v>
      </c>
      <c r="EA152" s="507">
        <v>0</v>
      </c>
      <c r="EB152" s="507">
        <v>0</v>
      </c>
      <c r="EC152" s="507">
        <v>111.62500000000001</v>
      </c>
      <c r="ED152" s="507">
        <v>102.18750000000001</v>
      </c>
      <c r="EE152" s="507">
        <v>0</v>
      </c>
      <c r="EF152" s="507">
        <v>25.062499999999996</v>
      </c>
      <c r="EG152" s="507">
        <v>29.3125</v>
      </c>
      <c r="EH152" s="507">
        <v>12.8125</v>
      </c>
      <c r="EI152" s="507">
        <v>16.6875</v>
      </c>
      <c r="EJ152" s="507">
        <v>56.4375</v>
      </c>
      <c r="EK152" s="507">
        <v>10.4375</v>
      </c>
      <c r="EL152" s="507">
        <v>10.4375</v>
      </c>
      <c r="EM152" s="508">
        <v>375</v>
      </c>
    </row>
    <row r="153" spans="2:143" x14ac:dyDescent="0.25">
      <c r="B153" s="506" t="str">
        <f>[1]RONET_Input!J124</f>
        <v xml:space="preserve">Input VPROMMS: 212th00023 (67.04 pct); 212TH00023 (32.96 pct); </v>
      </c>
      <c r="C153" s="359">
        <f>[1]RONET_Input!B124</f>
        <v>122</v>
      </c>
      <c r="D153" s="397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442">
        <f>[1]RONET_Input!K124</f>
        <v>2.9353545153199998</v>
      </c>
      <c r="Q153" s="398">
        <f>[1]RONET_Input!Y124</f>
        <v>2</v>
      </c>
      <c r="R153" s="398">
        <f>[1]RONET_Input!X124</f>
        <v>3.5</v>
      </c>
      <c r="S153" s="398"/>
      <c r="T153" s="398"/>
      <c r="U153" s="398">
        <f>[1]RONET_Input!AA124</f>
        <v>8</v>
      </c>
      <c r="V153" s="398">
        <f>[1]RONET_Input!AC124</f>
        <v>1</v>
      </c>
      <c r="W153" s="398">
        <f>[1]RONET_Input!AD124</f>
        <v>1</v>
      </c>
      <c r="X153" s="398">
        <f>[1]RONET_Input!AE124</f>
        <v>4</v>
      </c>
      <c r="Y153" s="398">
        <f>[1]RONET_Input!AB124</f>
        <v>1</v>
      </c>
      <c r="Z153" s="438">
        <f>[1]RONET_Input!Z124</f>
        <v>1</v>
      </c>
      <c r="AA153" s="442"/>
      <c r="AB153" s="398"/>
      <c r="AC153" s="438"/>
      <c r="AD153" s="442">
        <f>[1]RONET_Input!AH124</f>
        <v>3</v>
      </c>
      <c r="AE153" s="398">
        <f>[1]RONET_Input!D124</f>
        <v>7.5250000000000004</v>
      </c>
      <c r="AF153" s="398"/>
      <c r="AG153" s="398"/>
      <c r="AH153" s="398"/>
      <c r="AI153" s="438"/>
      <c r="AJ153" s="442">
        <v>1</v>
      </c>
      <c r="AK153" s="442">
        <f>[1]RONET_Input!AF124</f>
        <v>4</v>
      </c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8"/>
      <c r="AY153" s="509">
        <f>[1]RONET_Input!AG124</f>
        <v>3</v>
      </c>
      <c r="AZ153" s="359" t="s">
        <v>321</v>
      </c>
      <c r="BA153" s="360" t="s">
        <v>502</v>
      </c>
      <c r="BB153" s="360" t="s">
        <v>443</v>
      </c>
      <c r="BC153" s="510">
        <v>0.146914493491766</v>
      </c>
      <c r="BD153" s="510">
        <v>5.0050000000000004E-2</v>
      </c>
      <c r="BE153" s="438">
        <v>5</v>
      </c>
      <c r="BF153" s="511">
        <v>1.2540950973420639</v>
      </c>
      <c r="BG153" s="512">
        <v>0.42723803574552149</v>
      </c>
      <c r="BH153" s="512">
        <v>8.5362244904200093</v>
      </c>
      <c r="BI153" s="513">
        <v>0</v>
      </c>
      <c r="BJ153" s="514">
        <v>375</v>
      </c>
      <c r="BK153" s="515">
        <v>0.22366666666666665</v>
      </c>
      <c r="BL153" s="512">
        <v>0.40177664928442502</v>
      </c>
      <c r="BM153" s="516">
        <v>3.2054071874999999E-2</v>
      </c>
      <c r="BN153" s="517">
        <v>375</v>
      </c>
      <c r="BO153" s="518">
        <v>397.50000000000011</v>
      </c>
      <c r="BP153" s="518">
        <v>421.34999999999991</v>
      </c>
      <c r="BQ153" s="518">
        <v>446.63099999999997</v>
      </c>
      <c r="BR153" s="518">
        <v>473.42885999999999</v>
      </c>
      <c r="BS153" s="518">
        <v>501.83459160000012</v>
      </c>
      <c r="BT153" s="518">
        <v>531.9446670960001</v>
      </c>
      <c r="BU153" s="518">
        <v>563.86134712175999</v>
      </c>
      <c r="BV153" s="518">
        <v>597.69302794906582</v>
      </c>
      <c r="BW153" s="518">
        <v>633.55460962600955</v>
      </c>
      <c r="BX153" s="518">
        <v>671.56788620357008</v>
      </c>
      <c r="BY153" s="518">
        <v>711.86195937578441</v>
      </c>
      <c r="BZ153" s="518">
        <v>754.57367693833146</v>
      </c>
      <c r="CA153" s="518">
        <v>799.84809755463141</v>
      </c>
      <c r="CB153" s="518">
        <v>847.83898340790915</v>
      </c>
      <c r="CC153" s="518">
        <v>898.70932241238381</v>
      </c>
      <c r="CD153" s="518">
        <v>952.63188175712685</v>
      </c>
      <c r="CE153" s="518">
        <v>1009.7897946625544</v>
      </c>
      <c r="CF153" s="518">
        <v>1070.3771823423076</v>
      </c>
      <c r="CG153" s="519">
        <v>1134.5998132828461</v>
      </c>
      <c r="CH153" s="520">
        <v>7.5250000000000004</v>
      </c>
      <c r="CI153" s="521">
        <v>7.6755000000000004</v>
      </c>
      <c r="CJ153" s="521">
        <v>7.8290100000000002</v>
      </c>
      <c r="CK153" s="521">
        <v>7.9855901999999999</v>
      </c>
      <c r="CL153" s="521">
        <v>2.5</v>
      </c>
      <c r="CM153" s="521">
        <v>2.5499999999999998</v>
      </c>
      <c r="CN153" s="521">
        <v>2.601</v>
      </c>
      <c r="CO153" s="521">
        <v>2.6530200000000002</v>
      </c>
      <c r="CP153" s="521">
        <v>2.7060804000000003</v>
      </c>
      <c r="CQ153" s="521">
        <v>2.7602020080000003</v>
      </c>
      <c r="CR153" s="521">
        <v>2.8154060481600003</v>
      </c>
      <c r="CS153" s="521">
        <v>2.8717141691232002</v>
      </c>
      <c r="CT153" s="521">
        <v>2.5</v>
      </c>
      <c r="CU153" s="521">
        <v>2.5499999999999998</v>
      </c>
      <c r="CV153" s="521">
        <v>2.601</v>
      </c>
      <c r="CW153" s="521">
        <v>2.6530200000000002</v>
      </c>
      <c r="CX153" s="521">
        <v>2.7060804000000003</v>
      </c>
      <c r="CY153" s="521">
        <v>2.7602020080000003</v>
      </c>
      <c r="CZ153" s="521">
        <v>2.8154060481600003</v>
      </c>
      <c r="DA153" s="522">
        <v>2.8717141691232002</v>
      </c>
      <c r="DB153" s="523">
        <v>0</v>
      </c>
      <c r="DC153" s="524">
        <v>0</v>
      </c>
      <c r="DD153" s="524">
        <v>0</v>
      </c>
      <c r="DE153" s="524">
        <v>0</v>
      </c>
      <c r="DF153" s="524">
        <v>-0.10262511643474131</v>
      </c>
      <c r="DG153" s="524">
        <v>3.4324683676785483E-2</v>
      </c>
      <c r="DH153" s="524">
        <v>3.7920016258745359E-2</v>
      </c>
      <c r="DI153" s="524">
        <v>4.1887835158832321E-2</v>
      </c>
      <c r="DJ153" s="524">
        <v>4.6266471569477108E-2</v>
      </c>
      <c r="DK153" s="524">
        <v>2.0032015064274975</v>
      </c>
      <c r="DL153" s="524">
        <v>5.0512163660210163E-4</v>
      </c>
      <c r="DM153" s="524">
        <v>3.6384666450456349E-4</v>
      </c>
      <c r="DN153" s="524">
        <v>-0.13183796897597622</v>
      </c>
      <c r="DO153" s="524">
        <v>1.8435054075792712E-3</v>
      </c>
      <c r="DP153" s="524">
        <v>1.8199447561251803E-3</v>
      </c>
      <c r="DQ153" s="524">
        <v>1.7815507179561596E-3</v>
      </c>
      <c r="DR153" s="524">
        <v>1.7260957374327646E-3</v>
      </c>
      <c r="DS153" s="524">
        <v>0.27025971879045163</v>
      </c>
      <c r="DT153" s="524">
        <v>2.9326098323061434E-3</v>
      </c>
      <c r="DU153" s="525">
        <v>2.9824900405628352E-3</v>
      </c>
      <c r="DV153" s="526">
        <v>3.5</v>
      </c>
      <c r="DW153" s="507">
        <v>1</v>
      </c>
      <c r="DX153" s="509">
        <v>7.5250000000000004</v>
      </c>
      <c r="DY153" s="507">
        <v>2</v>
      </c>
      <c r="DZ153" s="507">
        <v>10</v>
      </c>
      <c r="EA153" s="507">
        <v>0</v>
      </c>
      <c r="EB153" s="507">
        <v>0</v>
      </c>
      <c r="EC153" s="507">
        <v>111.62500000000001</v>
      </c>
      <c r="ED153" s="507">
        <v>102.18750000000001</v>
      </c>
      <c r="EE153" s="507">
        <v>0</v>
      </c>
      <c r="EF153" s="507">
        <v>25.062499999999996</v>
      </c>
      <c r="EG153" s="507">
        <v>29.3125</v>
      </c>
      <c r="EH153" s="507">
        <v>12.8125</v>
      </c>
      <c r="EI153" s="507">
        <v>16.6875</v>
      </c>
      <c r="EJ153" s="507">
        <v>56.4375</v>
      </c>
      <c r="EK153" s="507">
        <v>10.4375</v>
      </c>
      <c r="EL153" s="507">
        <v>10.4375</v>
      </c>
      <c r="EM153" s="508">
        <v>375</v>
      </c>
    </row>
    <row r="154" spans="2:143" x14ac:dyDescent="0.25">
      <c r="B154" s="506" t="str">
        <f>[1]RONET_Input!J125</f>
        <v xml:space="preserve">Input VPROMMS: 213TT00005 (50.0 pct); 214TT00083 (50.0 pct); </v>
      </c>
      <c r="C154" s="359">
        <f>[1]RONET_Input!B125</f>
        <v>123</v>
      </c>
      <c r="D154" s="397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442">
        <f>[1]RONET_Input!K125</f>
        <v>2.0769699217599999</v>
      </c>
      <c r="Q154" s="398">
        <f>[1]RONET_Input!Y125</f>
        <v>2</v>
      </c>
      <c r="R154" s="398">
        <f>[1]RONET_Input!X125</f>
        <v>3.5</v>
      </c>
      <c r="S154" s="398"/>
      <c r="T154" s="398"/>
      <c r="U154" s="398">
        <f>[1]RONET_Input!AA125</f>
        <v>8</v>
      </c>
      <c r="V154" s="398">
        <f>[1]RONET_Input!AC125</f>
        <v>1</v>
      </c>
      <c r="W154" s="398">
        <f>[1]RONET_Input!AD125</f>
        <v>1</v>
      </c>
      <c r="X154" s="398">
        <f>[1]RONET_Input!AE125</f>
        <v>4</v>
      </c>
      <c r="Y154" s="398">
        <f>[1]RONET_Input!AB125</f>
        <v>1</v>
      </c>
      <c r="Z154" s="438">
        <f>[1]RONET_Input!Z125</f>
        <v>1</v>
      </c>
      <c r="AA154" s="442"/>
      <c r="AB154" s="398"/>
      <c r="AC154" s="438"/>
      <c r="AD154" s="442">
        <f>[1]RONET_Input!AH125</f>
        <v>4</v>
      </c>
      <c r="AE154" s="398">
        <f>[1]RONET_Input!D125</f>
        <v>8.81</v>
      </c>
      <c r="AF154" s="398"/>
      <c r="AG154" s="398"/>
      <c r="AH154" s="398"/>
      <c r="AI154" s="438"/>
      <c r="AJ154" s="442">
        <v>1</v>
      </c>
      <c r="AK154" s="442">
        <f>[1]RONET_Input!AF125</f>
        <v>4</v>
      </c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8"/>
      <c r="AY154" s="509">
        <f>[1]RONET_Input!AG125</f>
        <v>3</v>
      </c>
      <c r="AZ154" s="359" t="s">
        <v>321</v>
      </c>
      <c r="BA154" s="360" t="s">
        <v>502</v>
      </c>
      <c r="BB154" s="360" t="s">
        <v>443</v>
      </c>
      <c r="BC154" s="510">
        <v>0.103952344584088</v>
      </c>
      <c r="BD154" s="510">
        <v>5.0050000000000004E-2</v>
      </c>
      <c r="BE154" s="438">
        <v>5</v>
      </c>
      <c r="BF154" s="511">
        <v>0.92705650431066633</v>
      </c>
      <c r="BG154" s="512">
        <v>0.44635047171270037</v>
      </c>
      <c r="BH154" s="512">
        <v>8.9180913429110955</v>
      </c>
      <c r="BI154" s="513">
        <v>0</v>
      </c>
      <c r="BJ154" s="514">
        <v>375</v>
      </c>
      <c r="BK154" s="515">
        <v>0.22366666666666665</v>
      </c>
      <c r="BL154" s="512">
        <v>0.28428525804089994</v>
      </c>
      <c r="BM154" s="516">
        <v>3.2054071874999999E-2</v>
      </c>
      <c r="BN154" s="517">
        <v>375</v>
      </c>
      <c r="BO154" s="518">
        <v>397.50000000000011</v>
      </c>
      <c r="BP154" s="518">
        <v>421.34999999999991</v>
      </c>
      <c r="BQ154" s="518">
        <v>446.63099999999997</v>
      </c>
      <c r="BR154" s="518">
        <v>473.42885999999999</v>
      </c>
      <c r="BS154" s="518">
        <v>501.83459160000012</v>
      </c>
      <c r="BT154" s="518">
        <v>531.9446670960001</v>
      </c>
      <c r="BU154" s="518">
        <v>563.86134712175999</v>
      </c>
      <c r="BV154" s="518">
        <v>597.69302794906582</v>
      </c>
      <c r="BW154" s="518">
        <v>633.55460962600955</v>
      </c>
      <c r="BX154" s="518">
        <v>671.56788620357008</v>
      </c>
      <c r="BY154" s="518">
        <v>711.86195937578441</v>
      </c>
      <c r="BZ154" s="518">
        <v>754.57367693833146</v>
      </c>
      <c r="CA154" s="518">
        <v>799.84809755463141</v>
      </c>
      <c r="CB154" s="518">
        <v>847.83898340790915</v>
      </c>
      <c r="CC154" s="518">
        <v>898.70932241238381</v>
      </c>
      <c r="CD154" s="518">
        <v>952.63188175712685</v>
      </c>
      <c r="CE154" s="518">
        <v>1009.7897946625544</v>
      </c>
      <c r="CF154" s="518">
        <v>1070.3771823423076</v>
      </c>
      <c r="CG154" s="519">
        <v>1134.5998132828461</v>
      </c>
      <c r="CH154" s="520">
        <v>8.81</v>
      </c>
      <c r="CI154" s="521">
        <v>8.9862000000000002</v>
      </c>
      <c r="CJ154" s="521">
        <v>9.1659240000000004</v>
      </c>
      <c r="CK154" s="521">
        <v>9.3492424800000009</v>
      </c>
      <c r="CL154" s="521">
        <v>2.5</v>
      </c>
      <c r="CM154" s="521">
        <v>2.5499999999999998</v>
      </c>
      <c r="CN154" s="521">
        <v>2.601</v>
      </c>
      <c r="CO154" s="521">
        <v>2.6530200000000002</v>
      </c>
      <c r="CP154" s="521">
        <v>2.7060804000000003</v>
      </c>
      <c r="CQ154" s="521">
        <v>2.7602020080000003</v>
      </c>
      <c r="CR154" s="521">
        <v>2.8154060481600003</v>
      </c>
      <c r="CS154" s="521">
        <v>2.8717141691232002</v>
      </c>
      <c r="CT154" s="521">
        <v>2.5</v>
      </c>
      <c r="CU154" s="521">
        <v>2.5499999999999998</v>
      </c>
      <c r="CV154" s="521">
        <v>2.601</v>
      </c>
      <c r="CW154" s="521">
        <v>2.6530200000000002</v>
      </c>
      <c r="CX154" s="521">
        <v>2.7060804000000003</v>
      </c>
      <c r="CY154" s="521">
        <v>2.7602020080000003</v>
      </c>
      <c r="CZ154" s="521">
        <v>2.8154060481600003</v>
      </c>
      <c r="DA154" s="522">
        <v>2.8717141691232002</v>
      </c>
      <c r="DB154" s="523">
        <v>0</v>
      </c>
      <c r="DC154" s="524">
        <v>0</v>
      </c>
      <c r="DD154" s="524">
        <v>0</v>
      </c>
      <c r="DE154" s="524">
        <v>0</v>
      </c>
      <c r="DF154" s="524">
        <v>-6.3369132396885963E-2</v>
      </c>
      <c r="DG154" s="524">
        <v>3.4483347757615218E-2</v>
      </c>
      <c r="DH154" s="524">
        <v>3.807564692210616E-2</v>
      </c>
      <c r="DI154" s="524">
        <v>4.2038966100160696E-2</v>
      </c>
      <c r="DJ154" s="524">
        <v>4.6411400330623298E-2</v>
      </c>
      <c r="DK154" s="524">
        <v>1.4174060592543671</v>
      </c>
      <c r="DL154" s="524">
        <v>3.5740911040801904E-4</v>
      </c>
      <c r="DM154" s="524">
        <v>2.5744712414277338E-4</v>
      </c>
      <c r="DN154" s="524">
        <v>-9.328464234214634E-2</v>
      </c>
      <c r="DO154" s="524">
        <v>1.3044098292592787E-3</v>
      </c>
      <c r="DP154" s="524">
        <v>1.2877390100611841E-3</v>
      </c>
      <c r="DQ154" s="524">
        <v>1.2605725257282541E-3</v>
      </c>
      <c r="DR154" s="524">
        <v>1.2213342238612257E-3</v>
      </c>
      <c r="DS154" s="524">
        <v>0.1912277730207626</v>
      </c>
      <c r="DT154" s="524">
        <v>2.0750278653456911E-3</v>
      </c>
      <c r="DU154" s="525">
        <v>2.1103216234590327E-3</v>
      </c>
      <c r="DV154" s="526">
        <v>3.5</v>
      </c>
      <c r="DW154" s="507">
        <v>1</v>
      </c>
      <c r="DX154" s="509">
        <v>8.81</v>
      </c>
      <c r="DY154" s="507">
        <v>2</v>
      </c>
      <c r="DZ154" s="507">
        <v>15</v>
      </c>
      <c r="EA154" s="507">
        <v>0</v>
      </c>
      <c r="EB154" s="507">
        <v>0</v>
      </c>
      <c r="EC154" s="507">
        <v>111.62500000000001</v>
      </c>
      <c r="ED154" s="507">
        <v>102.18750000000001</v>
      </c>
      <c r="EE154" s="507">
        <v>0</v>
      </c>
      <c r="EF154" s="507">
        <v>25.062499999999996</v>
      </c>
      <c r="EG154" s="507">
        <v>29.3125</v>
      </c>
      <c r="EH154" s="507">
        <v>12.8125</v>
      </c>
      <c r="EI154" s="507">
        <v>16.6875</v>
      </c>
      <c r="EJ154" s="507">
        <v>56.4375</v>
      </c>
      <c r="EK154" s="507">
        <v>10.4375</v>
      </c>
      <c r="EL154" s="507">
        <v>10.4375</v>
      </c>
      <c r="EM154" s="508">
        <v>375</v>
      </c>
    </row>
    <row r="155" spans="2:143" x14ac:dyDescent="0.25">
      <c r="B155" s="506" t="str">
        <f>[1]RONET_Input!J126</f>
        <v>214tt00024</v>
      </c>
      <c r="C155" s="359">
        <f>[1]RONET_Input!B126</f>
        <v>124</v>
      </c>
      <c r="D155" s="397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442">
        <f>[1]RONET_Input!K126</f>
        <v>3.5744032960999998</v>
      </c>
      <c r="Q155" s="398">
        <f>[1]RONET_Input!Y126</f>
        <v>1</v>
      </c>
      <c r="R155" s="398">
        <f>[1]RONET_Input!X126</f>
        <v>3.4</v>
      </c>
      <c r="S155" s="398"/>
      <c r="T155" s="398"/>
      <c r="U155" s="398">
        <f>[1]RONET_Input!AA126</f>
        <v>8</v>
      </c>
      <c r="V155" s="398">
        <f>[1]RONET_Input!AC126</f>
        <v>1</v>
      </c>
      <c r="W155" s="398">
        <f>[1]RONET_Input!AD126</f>
        <v>1</v>
      </c>
      <c r="X155" s="398">
        <f>[1]RONET_Input!AE126</f>
        <v>4</v>
      </c>
      <c r="Y155" s="398">
        <f>[1]RONET_Input!AB126</f>
        <v>1</v>
      </c>
      <c r="Z155" s="438">
        <f>[1]RONET_Input!Z126</f>
        <v>1</v>
      </c>
      <c r="AA155" s="442"/>
      <c r="AB155" s="398"/>
      <c r="AC155" s="438"/>
      <c r="AD155" s="442">
        <f>[1]RONET_Input!AH126</f>
        <v>4</v>
      </c>
      <c r="AE155" s="398">
        <f>[1]RONET_Input!D126</f>
        <v>11.54</v>
      </c>
      <c r="AF155" s="398"/>
      <c r="AG155" s="398"/>
      <c r="AH155" s="398"/>
      <c r="AI155" s="438"/>
      <c r="AJ155" s="442">
        <v>1</v>
      </c>
      <c r="AK155" s="442">
        <f>[1]RONET_Input!AF126</f>
        <v>4</v>
      </c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8"/>
      <c r="AY155" s="509">
        <f>[1]RONET_Input!AG126</f>
        <v>3</v>
      </c>
      <c r="AZ155" s="359" t="s">
        <v>321</v>
      </c>
      <c r="BA155" s="360" t="s">
        <v>502</v>
      </c>
      <c r="BB155" s="360" t="s">
        <v>443</v>
      </c>
      <c r="BC155" s="510">
        <v>0.17378748825638202</v>
      </c>
      <c r="BD155" s="510">
        <v>4.8620000000000003E-2</v>
      </c>
      <c r="BE155" s="438">
        <v>1</v>
      </c>
      <c r="BF155" s="511">
        <v>2.0149646066113149</v>
      </c>
      <c r="BG155" s="512">
        <v>0.56372055408795785</v>
      </c>
      <c r="BH155" s="512">
        <v>11.594416990702546</v>
      </c>
      <c r="BI155" s="513">
        <v>0</v>
      </c>
      <c r="BJ155" s="514">
        <v>375</v>
      </c>
      <c r="BK155" s="515">
        <v>0.22366666666666665</v>
      </c>
      <c r="BL155" s="512">
        <v>0.48924645115368753</v>
      </c>
      <c r="BM155" s="516">
        <v>6.4108143749999999E-2</v>
      </c>
      <c r="BN155" s="517">
        <v>375</v>
      </c>
      <c r="BO155" s="518">
        <v>397.50000000000011</v>
      </c>
      <c r="BP155" s="518">
        <v>421.34999999999991</v>
      </c>
      <c r="BQ155" s="518">
        <v>446.63099999999997</v>
      </c>
      <c r="BR155" s="518">
        <v>473.42885999999999</v>
      </c>
      <c r="BS155" s="518">
        <v>501.83459160000012</v>
      </c>
      <c r="BT155" s="518">
        <v>531.9446670960001</v>
      </c>
      <c r="BU155" s="518">
        <v>563.86134712175999</v>
      </c>
      <c r="BV155" s="518">
        <v>597.69302794906582</v>
      </c>
      <c r="BW155" s="518">
        <v>633.55460962600955</v>
      </c>
      <c r="BX155" s="518">
        <v>671.56788620357008</v>
      </c>
      <c r="BY155" s="518">
        <v>711.86195937578441</v>
      </c>
      <c r="BZ155" s="518">
        <v>754.57367693833146</v>
      </c>
      <c r="CA155" s="518">
        <v>799.84809755463141</v>
      </c>
      <c r="CB155" s="518">
        <v>847.83898340790915</v>
      </c>
      <c r="CC155" s="518">
        <v>898.70932241238381</v>
      </c>
      <c r="CD155" s="518">
        <v>952.63188175712685</v>
      </c>
      <c r="CE155" s="518">
        <v>1009.7897946625544</v>
      </c>
      <c r="CF155" s="518">
        <v>1070.3771823423076</v>
      </c>
      <c r="CG155" s="519">
        <v>1134.5998132828461</v>
      </c>
      <c r="CH155" s="520">
        <v>2.5</v>
      </c>
      <c r="CI155" s="521">
        <v>2.5499999999999998</v>
      </c>
      <c r="CJ155" s="521">
        <v>2.601</v>
      </c>
      <c r="CK155" s="521">
        <v>2.6530200000000002</v>
      </c>
      <c r="CL155" s="521">
        <v>2.7060804000000003</v>
      </c>
      <c r="CM155" s="521">
        <v>2.7602020080000003</v>
      </c>
      <c r="CN155" s="521">
        <v>2.8154060481600003</v>
      </c>
      <c r="CO155" s="521">
        <v>2.8717141691232002</v>
      </c>
      <c r="CP155" s="521">
        <v>2.5</v>
      </c>
      <c r="CQ155" s="521">
        <v>2.5499999999999998</v>
      </c>
      <c r="CR155" s="521">
        <v>2.601</v>
      </c>
      <c r="CS155" s="521">
        <v>2.6530200000000002</v>
      </c>
      <c r="CT155" s="521">
        <v>2.7060804000000003</v>
      </c>
      <c r="CU155" s="521">
        <v>2.7602020080000003</v>
      </c>
      <c r="CV155" s="521">
        <v>2.8154060481600003</v>
      </c>
      <c r="CW155" s="521">
        <v>2.8717141691232002</v>
      </c>
      <c r="CX155" s="521">
        <v>2.5</v>
      </c>
      <c r="CY155" s="521">
        <v>2.5499999999999998</v>
      </c>
      <c r="CZ155" s="521">
        <v>2.601</v>
      </c>
      <c r="DA155" s="522">
        <v>2.6530200000000002</v>
      </c>
      <c r="DB155" s="523">
        <v>-9.1435306111793901E-2</v>
      </c>
      <c r="DC155" s="524">
        <v>7.3473615538827391E-2</v>
      </c>
      <c r="DD155" s="524">
        <v>8.0917575603498604E-2</v>
      </c>
      <c r="DE155" s="524">
        <v>8.9111028402604153E-2</v>
      </c>
      <c r="DF155" s="524">
        <v>9.8128248578956023E-2</v>
      </c>
      <c r="DG155" s="524">
        <v>0.10805043932512409</v>
      </c>
      <c r="DH155" s="524">
        <v>0.11896622240077293</v>
      </c>
      <c r="DI155" s="524">
        <v>0.13097210680880245</v>
      </c>
      <c r="DJ155" s="524">
        <v>-1.2006966507416894E-2</v>
      </c>
      <c r="DK155" s="524">
        <v>2.4502485646052623</v>
      </c>
      <c r="DL155" s="524">
        <v>1.1808500507507202E-2</v>
      </c>
      <c r="DM155" s="524">
        <v>1.1910963774060757E-2</v>
      </c>
      <c r="DN155" s="524">
        <v>1.1999009568151753E-2</v>
      </c>
      <c r="DO155" s="524">
        <v>1.2069808742522725E-2</v>
      </c>
      <c r="DP155" s="524">
        <v>1.2120174658819316E-2</v>
      </c>
      <c r="DQ155" s="524">
        <v>1.2146523786834118E-2</v>
      </c>
      <c r="DR155" s="524">
        <v>-0.14286710420897819</v>
      </c>
      <c r="DS155" s="524">
        <v>0.34266280592353759</v>
      </c>
      <c r="DT155" s="524">
        <v>1.7548428612449207E-2</v>
      </c>
      <c r="DU155" s="525">
        <v>1.8046671227861522E-2</v>
      </c>
      <c r="DV155" s="526">
        <v>3.4</v>
      </c>
      <c r="DW155" s="507">
        <v>1</v>
      </c>
      <c r="DX155" s="509">
        <v>11.54</v>
      </c>
      <c r="DY155" s="507">
        <v>2</v>
      </c>
      <c r="DZ155" s="507">
        <v>15</v>
      </c>
      <c r="EA155" s="507">
        <v>0</v>
      </c>
      <c r="EB155" s="507">
        <v>0</v>
      </c>
      <c r="EC155" s="507">
        <v>111.62500000000001</v>
      </c>
      <c r="ED155" s="507">
        <v>102.18750000000001</v>
      </c>
      <c r="EE155" s="507">
        <v>0</v>
      </c>
      <c r="EF155" s="507">
        <v>25.062499999999996</v>
      </c>
      <c r="EG155" s="507">
        <v>29.3125</v>
      </c>
      <c r="EH155" s="507">
        <v>12.8125</v>
      </c>
      <c r="EI155" s="507">
        <v>16.6875</v>
      </c>
      <c r="EJ155" s="507">
        <v>56.4375</v>
      </c>
      <c r="EK155" s="507">
        <v>10.4375</v>
      </c>
      <c r="EL155" s="507">
        <v>10.4375</v>
      </c>
      <c r="EM155" s="508">
        <v>375</v>
      </c>
    </row>
    <row r="156" spans="2:143" x14ac:dyDescent="0.25">
      <c r="B156" s="506" t="str">
        <f>[1]RONET_Input!J127</f>
        <v xml:space="preserve">Input VPROMMS: 217b_1 (49.0 pct); 217B_1 (49.0 pct); 214tt00097 (1.0 pct); 214tt00080 (1.0 pct); </v>
      </c>
      <c r="C156" s="359">
        <f>[1]RONET_Input!B127</f>
        <v>125</v>
      </c>
      <c r="D156" s="397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442">
        <f>[1]RONET_Input!K127</f>
        <v>2.21979037881</v>
      </c>
      <c r="Q156" s="398">
        <f>[1]RONET_Input!Y127</f>
        <v>2</v>
      </c>
      <c r="R156" s="398">
        <f>[1]RONET_Input!X127</f>
        <v>3.5</v>
      </c>
      <c r="S156" s="398"/>
      <c r="T156" s="398"/>
      <c r="U156" s="398">
        <f>[1]RONET_Input!AA127</f>
        <v>8</v>
      </c>
      <c r="V156" s="398">
        <f>[1]RONET_Input!AC127</f>
        <v>1</v>
      </c>
      <c r="W156" s="398">
        <f>[1]RONET_Input!AD127</f>
        <v>1</v>
      </c>
      <c r="X156" s="398">
        <f>[1]RONET_Input!AE127</f>
        <v>4</v>
      </c>
      <c r="Y156" s="398">
        <f>[1]RONET_Input!AB127</f>
        <v>1</v>
      </c>
      <c r="Z156" s="438">
        <f>[1]RONET_Input!Z127</f>
        <v>1</v>
      </c>
      <c r="AA156" s="442"/>
      <c r="AB156" s="398"/>
      <c r="AC156" s="438"/>
      <c r="AD156" s="442">
        <f>[1]RONET_Input!AH127</f>
        <v>2</v>
      </c>
      <c r="AE156" s="398">
        <f>[1]RONET_Input!D127</f>
        <v>5.17</v>
      </c>
      <c r="AF156" s="398"/>
      <c r="AG156" s="398"/>
      <c r="AH156" s="398"/>
      <c r="AI156" s="438"/>
      <c r="AJ156" s="442">
        <v>1</v>
      </c>
      <c r="AK156" s="442">
        <f>[1]RONET_Input!AF127</f>
        <v>4</v>
      </c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8"/>
      <c r="AY156" s="509">
        <f>[1]RONET_Input!AG127</f>
        <v>3</v>
      </c>
      <c r="AZ156" s="359" t="s">
        <v>321</v>
      </c>
      <c r="BA156" s="360" t="s">
        <v>502</v>
      </c>
      <c r="BB156" s="360" t="s">
        <v>443</v>
      </c>
      <c r="BC156" s="510">
        <v>0.1111005084594405</v>
      </c>
      <c r="BD156" s="510">
        <v>5.0050000000000004E-2</v>
      </c>
      <c r="BE156" s="438">
        <v>6</v>
      </c>
      <c r="BF156" s="511">
        <v>0.88853887365103235</v>
      </c>
      <c r="BG156" s="512">
        <v>0.40028053195156482</v>
      </c>
      <c r="BH156" s="512">
        <v>7.9976130260052907</v>
      </c>
      <c r="BI156" s="513">
        <v>0</v>
      </c>
      <c r="BJ156" s="514">
        <v>375</v>
      </c>
      <c r="BK156" s="515">
        <v>0.22366666666666665</v>
      </c>
      <c r="BL156" s="512">
        <v>0.30383380809961874</v>
      </c>
      <c r="BM156" s="516">
        <v>3.2054071874999999E-2</v>
      </c>
      <c r="BN156" s="517">
        <v>375</v>
      </c>
      <c r="BO156" s="518">
        <v>397.50000000000011</v>
      </c>
      <c r="BP156" s="518">
        <v>421.34999999999991</v>
      </c>
      <c r="BQ156" s="518">
        <v>446.63099999999997</v>
      </c>
      <c r="BR156" s="518">
        <v>473.42885999999999</v>
      </c>
      <c r="BS156" s="518">
        <v>501.83459160000012</v>
      </c>
      <c r="BT156" s="518">
        <v>531.9446670960001</v>
      </c>
      <c r="BU156" s="518">
        <v>563.86134712175999</v>
      </c>
      <c r="BV156" s="518">
        <v>597.69302794906582</v>
      </c>
      <c r="BW156" s="518">
        <v>633.55460962600955</v>
      </c>
      <c r="BX156" s="518">
        <v>671.56788620357008</v>
      </c>
      <c r="BY156" s="518">
        <v>711.86195937578441</v>
      </c>
      <c r="BZ156" s="518">
        <v>754.57367693833146</v>
      </c>
      <c r="CA156" s="518">
        <v>799.84809755463141</v>
      </c>
      <c r="CB156" s="518">
        <v>847.83898340790915</v>
      </c>
      <c r="CC156" s="518">
        <v>898.70932241238381</v>
      </c>
      <c r="CD156" s="518">
        <v>952.63188175712685</v>
      </c>
      <c r="CE156" s="518">
        <v>1009.7897946625544</v>
      </c>
      <c r="CF156" s="518">
        <v>1070.3771823423076</v>
      </c>
      <c r="CG156" s="519">
        <v>1134.5998132828461</v>
      </c>
      <c r="CH156" s="520">
        <v>5.17</v>
      </c>
      <c r="CI156" s="521">
        <v>5.2733999999999996</v>
      </c>
      <c r="CJ156" s="521">
        <v>5.3788679999999998</v>
      </c>
      <c r="CK156" s="521">
        <v>5.4864453599999994</v>
      </c>
      <c r="CL156" s="521">
        <v>5.5961742671999994</v>
      </c>
      <c r="CM156" s="521">
        <v>2.5</v>
      </c>
      <c r="CN156" s="521">
        <v>2.5499999999999998</v>
      </c>
      <c r="CO156" s="521">
        <v>2.601</v>
      </c>
      <c r="CP156" s="521">
        <v>2.6530200000000002</v>
      </c>
      <c r="CQ156" s="521">
        <v>2.7060804000000003</v>
      </c>
      <c r="CR156" s="521">
        <v>2.7602020080000003</v>
      </c>
      <c r="CS156" s="521">
        <v>2.8154060481600003</v>
      </c>
      <c r="CT156" s="521">
        <v>2.8717141691232002</v>
      </c>
      <c r="CU156" s="521">
        <v>2.5</v>
      </c>
      <c r="CV156" s="521">
        <v>2.5499999999999998</v>
      </c>
      <c r="CW156" s="521">
        <v>2.601</v>
      </c>
      <c r="CX156" s="521">
        <v>2.6530200000000002</v>
      </c>
      <c r="CY156" s="521">
        <v>2.7060804000000003</v>
      </c>
      <c r="CZ156" s="521">
        <v>2.7602020080000003</v>
      </c>
      <c r="DA156" s="522">
        <v>2.8154060481600003</v>
      </c>
      <c r="DB156" s="523">
        <v>0</v>
      </c>
      <c r="DC156" s="524">
        <v>0</v>
      </c>
      <c r="DD156" s="524">
        <v>0</v>
      </c>
      <c r="DE156" s="524">
        <v>0</v>
      </c>
      <c r="DF156" s="524">
        <v>0</v>
      </c>
      <c r="DG156" s="524">
        <v>-9.0521181393918571E-2</v>
      </c>
      <c r="DH156" s="524">
        <v>1.170967583273827E-2</v>
      </c>
      <c r="DI156" s="524">
        <v>1.2957535962834388E-2</v>
      </c>
      <c r="DJ156" s="524">
        <v>1.4336131875694325E-2</v>
      </c>
      <c r="DK156" s="524">
        <v>1.5150064290987224</v>
      </c>
      <c r="DL156" s="524">
        <v>5.3106779593836695E-4</v>
      </c>
      <c r="DM156" s="524">
        <v>4.4087720027585764E-4</v>
      </c>
      <c r="DN156" s="524">
        <v>3.3283746908557843E-4</v>
      </c>
      <c r="DO156" s="524">
        <v>-9.9568084965090342E-2</v>
      </c>
      <c r="DP156" s="524">
        <v>1.5313747650829712E-3</v>
      </c>
      <c r="DQ156" s="524">
        <v>1.5198865710917553E-3</v>
      </c>
      <c r="DR156" s="524">
        <v>1.4974136653652104E-3</v>
      </c>
      <c r="DS156" s="524">
        <v>0.20459101277640268</v>
      </c>
      <c r="DT156" s="524">
        <v>2.4553286107035222E-3</v>
      </c>
      <c r="DU156" s="525">
        <v>2.5195791631566489E-3</v>
      </c>
      <c r="DV156" s="526">
        <v>3.5</v>
      </c>
      <c r="DW156" s="507">
        <v>1</v>
      </c>
      <c r="DX156" s="509">
        <v>5.17</v>
      </c>
      <c r="DY156" s="507">
        <v>2</v>
      </c>
      <c r="DZ156" s="507">
        <v>5</v>
      </c>
      <c r="EA156" s="507">
        <v>0</v>
      </c>
      <c r="EB156" s="507">
        <v>0</v>
      </c>
      <c r="EC156" s="507">
        <v>111.62500000000001</v>
      </c>
      <c r="ED156" s="507">
        <v>102.18750000000001</v>
      </c>
      <c r="EE156" s="507">
        <v>0</v>
      </c>
      <c r="EF156" s="507">
        <v>25.062499999999996</v>
      </c>
      <c r="EG156" s="507">
        <v>29.3125</v>
      </c>
      <c r="EH156" s="507">
        <v>12.8125</v>
      </c>
      <c r="EI156" s="507">
        <v>16.6875</v>
      </c>
      <c r="EJ156" s="507">
        <v>56.4375</v>
      </c>
      <c r="EK156" s="507">
        <v>10.4375</v>
      </c>
      <c r="EL156" s="507">
        <v>10.4375</v>
      </c>
      <c r="EM156" s="508">
        <v>375</v>
      </c>
    </row>
    <row r="157" spans="2:143" x14ac:dyDescent="0.25">
      <c r="B157" s="506" t="str">
        <f>[1]RONET_Input!J128</f>
        <v xml:space="preserve">Input VPROMMS: 214TT00083 (33.33 pct); 213TT00005 (33.33 pct); 212TH00036 (33.33 pct); </v>
      </c>
      <c r="C157" s="359">
        <f>[1]RONET_Input!B128</f>
        <v>126</v>
      </c>
      <c r="D157" s="397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442">
        <f>[1]RONET_Input!K128</f>
        <v>1.6806801654199999E-2</v>
      </c>
      <c r="Q157" s="398">
        <f>[1]RONET_Input!Y128</f>
        <v>2</v>
      </c>
      <c r="R157" s="398">
        <f>[1]RONET_Input!X128</f>
        <v>3.5</v>
      </c>
      <c r="S157" s="398"/>
      <c r="T157" s="398"/>
      <c r="U157" s="398">
        <f>[1]RONET_Input!AA128</f>
        <v>8</v>
      </c>
      <c r="V157" s="398">
        <f>[1]RONET_Input!AC128</f>
        <v>1</v>
      </c>
      <c r="W157" s="398">
        <f>[1]RONET_Input!AD128</f>
        <v>1</v>
      </c>
      <c r="X157" s="398">
        <f>[1]RONET_Input!AE128</f>
        <v>4</v>
      </c>
      <c r="Y157" s="398">
        <f>[1]RONET_Input!AB128</f>
        <v>1</v>
      </c>
      <c r="Z157" s="438">
        <f>[1]RONET_Input!Z128</f>
        <v>1</v>
      </c>
      <c r="AA157" s="442"/>
      <c r="AB157" s="398"/>
      <c r="AC157" s="438"/>
      <c r="AD157" s="442">
        <f>[1]RONET_Input!AH128</f>
        <v>3</v>
      </c>
      <c r="AE157" s="398">
        <f>[1]RONET_Input!D128</f>
        <v>0</v>
      </c>
      <c r="AF157" s="398"/>
      <c r="AG157" s="398"/>
      <c r="AH157" s="398"/>
      <c r="AI157" s="438"/>
      <c r="AJ157" s="442">
        <v>1</v>
      </c>
      <c r="AK157" s="442">
        <f>[1]RONET_Input!AF128</f>
        <v>4</v>
      </c>
      <c r="AL157" s="507"/>
      <c r="AM157" s="507"/>
      <c r="AN157" s="507"/>
      <c r="AO157" s="507"/>
      <c r="AP157" s="507"/>
      <c r="AQ157" s="507"/>
      <c r="AR157" s="507"/>
      <c r="AS157" s="507"/>
      <c r="AT157" s="507"/>
      <c r="AU157" s="507"/>
      <c r="AV157" s="507"/>
      <c r="AW157" s="507"/>
      <c r="AX157" s="508"/>
      <c r="AY157" s="509">
        <f>[1]RONET_Input!AG128</f>
        <v>3</v>
      </c>
      <c r="AZ157" s="359" t="s">
        <v>321</v>
      </c>
      <c r="BA157" s="360" t="s">
        <v>502</v>
      </c>
      <c r="BB157" s="360" t="s">
        <v>443</v>
      </c>
      <c r="BC157" s="510">
        <v>8.4118042279270999E-4</v>
      </c>
      <c r="BD157" s="510">
        <v>5.0050000000000004E-2</v>
      </c>
      <c r="BE157" s="438">
        <v>6</v>
      </c>
      <c r="BF157" s="511">
        <v>6.6478248125671265E-3</v>
      </c>
      <c r="BG157" s="512">
        <v>0.39554371791529075</v>
      </c>
      <c r="BH157" s="512">
        <v>7.902971386918896</v>
      </c>
      <c r="BI157" s="513">
        <v>0</v>
      </c>
      <c r="BJ157" s="514">
        <v>375</v>
      </c>
      <c r="BK157" s="515">
        <v>0.22366666666666665</v>
      </c>
      <c r="BL157" s="512">
        <v>2.3004309764186248E-3</v>
      </c>
      <c r="BM157" s="516">
        <v>3.2054071874999999E-2</v>
      </c>
      <c r="BN157" s="517">
        <v>375</v>
      </c>
      <c r="BO157" s="518">
        <v>397.50000000000011</v>
      </c>
      <c r="BP157" s="518">
        <v>421.34999999999991</v>
      </c>
      <c r="BQ157" s="518">
        <v>446.63099999999997</v>
      </c>
      <c r="BR157" s="518">
        <v>473.42885999999999</v>
      </c>
      <c r="BS157" s="518">
        <v>501.83459160000012</v>
      </c>
      <c r="BT157" s="518">
        <v>531.9446670960001</v>
      </c>
      <c r="BU157" s="518">
        <v>563.86134712175999</v>
      </c>
      <c r="BV157" s="518">
        <v>597.69302794906582</v>
      </c>
      <c r="BW157" s="518">
        <v>633.55460962600955</v>
      </c>
      <c r="BX157" s="518">
        <v>671.56788620357008</v>
      </c>
      <c r="BY157" s="518">
        <v>711.86195937578441</v>
      </c>
      <c r="BZ157" s="518">
        <v>754.57367693833146</v>
      </c>
      <c r="CA157" s="518">
        <v>799.84809755463141</v>
      </c>
      <c r="CB157" s="518">
        <v>847.83898340790915</v>
      </c>
      <c r="CC157" s="518">
        <v>898.70932241238381</v>
      </c>
      <c r="CD157" s="518">
        <v>952.63188175712685</v>
      </c>
      <c r="CE157" s="518">
        <v>1009.7897946625544</v>
      </c>
      <c r="CF157" s="518">
        <v>1070.3771823423076</v>
      </c>
      <c r="CG157" s="519">
        <v>1134.5998132828461</v>
      </c>
      <c r="CH157" s="520">
        <v>4.5</v>
      </c>
      <c r="CI157" s="521">
        <v>4.59</v>
      </c>
      <c r="CJ157" s="521">
        <v>4.6818</v>
      </c>
      <c r="CK157" s="521">
        <v>4.775436</v>
      </c>
      <c r="CL157" s="521">
        <v>4.8709447199999998</v>
      </c>
      <c r="CM157" s="521">
        <v>2.5</v>
      </c>
      <c r="CN157" s="521">
        <v>2.5499999999999998</v>
      </c>
      <c r="CO157" s="521">
        <v>2.601</v>
      </c>
      <c r="CP157" s="521">
        <v>2.6530200000000002</v>
      </c>
      <c r="CQ157" s="521">
        <v>2.7060804000000003</v>
      </c>
      <c r="CR157" s="521">
        <v>2.7602020080000003</v>
      </c>
      <c r="CS157" s="521">
        <v>2.8154060481600003</v>
      </c>
      <c r="CT157" s="521">
        <v>2.8717141691232002</v>
      </c>
      <c r="CU157" s="521">
        <v>2.5</v>
      </c>
      <c r="CV157" s="521">
        <v>2.5499999999999998</v>
      </c>
      <c r="CW157" s="521">
        <v>2.601</v>
      </c>
      <c r="CX157" s="521">
        <v>2.6530200000000002</v>
      </c>
      <c r="CY157" s="521">
        <v>2.7060804000000003</v>
      </c>
      <c r="CZ157" s="521">
        <v>2.7602020080000003</v>
      </c>
      <c r="DA157" s="522">
        <v>2.8154060481600003</v>
      </c>
      <c r="DB157" s="523">
        <v>0</v>
      </c>
      <c r="DC157" s="524">
        <v>0</v>
      </c>
      <c r="DD157" s="524">
        <v>0</v>
      </c>
      <c r="DE157" s="524">
        <v>0</v>
      </c>
      <c r="DF157" s="524">
        <v>0</v>
      </c>
      <c r="DG157" s="524">
        <v>-7.1037737106582205E-4</v>
      </c>
      <c r="DH157" s="524">
        <v>6.1029164769527437E-5</v>
      </c>
      <c r="DI157" s="524">
        <v>6.7587600055617853E-5</v>
      </c>
      <c r="DJ157" s="524">
        <v>7.4837234879495318E-5</v>
      </c>
      <c r="DK157" s="524">
        <v>1.1470638309708367E-2</v>
      </c>
      <c r="DL157" s="524">
        <v>4.0208981877175396E-6</v>
      </c>
      <c r="DM157" s="524">
        <v>3.3380339556506565E-6</v>
      </c>
      <c r="DN157" s="524">
        <v>2.5200277374865659E-6</v>
      </c>
      <c r="DO157" s="524">
        <v>-7.5386445092797631E-4</v>
      </c>
      <c r="DP157" s="524">
        <v>1.159456864967311E-5</v>
      </c>
      <c r="DQ157" s="524">
        <v>1.1507587554692843E-5</v>
      </c>
      <c r="DR157" s="524">
        <v>1.1337437403244419E-5</v>
      </c>
      <c r="DS157" s="524">
        <v>1.5490294060145639E-3</v>
      </c>
      <c r="DT157" s="524">
        <v>1.8590143172932897E-5</v>
      </c>
      <c r="DU157" s="525">
        <v>1.9076606355024166E-5</v>
      </c>
      <c r="DV157" s="526">
        <v>3.5</v>
      </c>
      <c r="DW157" s="507">
        <v>1</v>
      </c>
      <c r="DX157" s="509">
        <v>4.5</v>
      </c>
      <c r="DY157" s="507">
        <v>2</v>
      </c>
      <c r="DZ157" s="507">
        <v>10</v>
      </c>
      <c r="EA157" s="507">
        <v>0</v>
      </c>
      <c r="EB157" s="507">
        <v>0</v>
      </c>
      <c r="EC157" s="507">
        <v>111.62500000000001</v>
      </c>
      <c r="ED157" s="507">
        <v>102.18750000000001</v>
      </c>
      <c r="EE157" s="507">
        <v>0</v>
      </c>
      <c r="EF157" s="507">
        <v>25.062499999999996</v>
      </c>
      <c r="EG157" s="507">
        <v>29.3125</v>
      </c>
      <c r="EH157" s="507">
        <v>12.8125</v>
      </c>
      <c r="EI157" s="507">
        <v>16.6875</v>
      </c>
      <c r="EJ157" s="507">
        <v>56.4375</v>
      </c>
      <c r="EK157" s="507">
        <v>10.4375</v>
      </c>
      <c r="EL157" s="507">
        <v>10.4375</v>
      </c>
      <c r="EM157" s="508">
        <v>375</v>
      </c>
    </row>
    <row r="158" spans="2:143" x14ac:dyDescent="0.25">
      <c r="B158" s="506" t="str">
        <f>[1]RONET_Input!J129</f>
        <v xml:space="preserve">Input VPROMMS: 214TT00083 (50.0 pct); 213TT00005 (50.0 pct); </v>
      </c>
      <c r="C158" s="359">
        <f>[1]RONET_Input!B129</f>
        <v>127</v>
      </c>
      <c r="D158" s="397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442">
        <f>[1]RONET_Input!K129</f>
        <v>0.11242577643899999</v>
      </c>
      <c r="Q158" s="398">
        <f>[1]RONET_Input!Y129</f>
        <v>2</v>
      </c>
      <c r="R158" s="398">
        <f>[1]RONET_Input!X129</f>
        <v>3.5</v>
      </c>
      <c r="S158" s="398"/>
      <c r="T158" s="398"/>
      <c r="U158" s="398">
        <f>[1]RONET_Input!AA129</f>
        <v>8</v>
      </c>
      <c r="V158" s="398">
        <f>[1]RONET_Input!AC129</f>
        <v>1</v>
      </c>
      <c r="W158" s="398">
        <f>[1]RONET_Input!AD129</f>
        <v>1</v>
      </c>
      <c r="X158" s="398">
        <f>[1]RONET_Input!AE129</f>
        <v>4</v>
      </c>
      <c r="Y158" s="398">
        <f>[1]RONET_Input!AB129</f>
        <v>1</v>
      </c>
      <c r="Z158" s="438">
        <f>[1]RONET_Input!Z129</f>
        <v>1</v>
      </c>
      <c r="AA158" s="442"/>
      <c r="AB158" s="398"/>
      <c r="AC158" s="438"/>
      <c r="AD158" s="442">
        <f>[1]RONET_Input!AH129</f>
        <v>3</v>
      </c>
      <c r="AE158" s="398">
        <f>[1]RONET_Input!D129</f>
        <v>0</v>
      </c>
      <c r="AF158" s="398"/>
      <c r="AG158" s="398"/>
      <c r="AH158" s="398"/>
      <c r="AI158" s="438"/>
      <c r="AJ158" s="442">
        <v>1</v>
      </c>
      <c r="AK158" s="442">
        <f>[1]RONET_Input!AF129</f>
        <v>4</v>
      </c>
      <c r="AL158" s="507"/>
      <c r="AM158" s="507"/>
      <c r="AN158" s="507"/>
      <c r="AO158" s="507"/>
      <c r="AP158" s="507"/>
      <c r="AQ158" s="507"/>
      <c r="AR158" s="507"/>
      <c r="AS158" s="507"/>
      <c r="AT158" s="507"/>
      <c r="AU158" s="507"/>
      <c r="AV158" s="507"/>
      <c r="AW158" s="507"/>
      <c r="AX158" s="508"/>
      <c r="AY158" s="509">
        <f>[1]RONET_Input!AG129</f>
        <v>3</v>
      </c>
      <c r="AZ158" s="359" t="s">
        <v>321</v>
      </c>
      <c r="BA158" s="360" t="s">
        <v>502</v>
      </c>
      <c r="BB158" s="360" t="s">
        <v>443</v>
      </c>
      <c r="BC158" s="510">
        <v>5.6269101107719504E-3</v>
      </c>
      <c r="BD158" s="510">
        <v>5.0050000000000004E-2</v>
      </c>
      <c r="BE158" s="438">
        <v>6</v>
      </c>
      <c r="BF158" s="511">
        <v>4.4469309602195368E-2</v>
      </c>
      <c r="BG158" s="512">
        <v>0.39554371791529086</v>
      </c>
      <c r="BH158" s="512">
        <v>7.9029713869188978</v>
      </c>
      <c r="BI158" s="513">
        <v>0</v>
      </c>
      <c r="BJ158" s="514">
        <v>375</v>
      </c>
      <c r="BK158" s="515">
        <v>0.22366666666666665</v>
      </c>
      <c r="BL158" s="512">
        <v>1.5388278150088124E-2</v>
      </c>
      <c r="BM158" s="516">
        <v>3.2054071874999999E-2</v>
      </c>
      <c r="BN158" s="517">
        <v>375</v>
      </c>
      <c r="BO158" s="518">
        <v>397.50000000000011</v>
      </c>
      <c r="BP158" s="518">
        <v>421.34999999999991</v>
      </c>
      <c r="BQ158" s="518">
        <v>446.63099999999997</v>
      </c>
      <c r="BR158" s="518">
        <v>473.42885999999999</v>
      </c>
      <c r="BS158" s="518">
        <v>501.83459160000012</v>
      </c>
      <c r="BT158" s="518">
        <v>531.9446670960001</v>
      </c>
      <c r="BU158" s="518">
        <v>563.86134712175999</v>
      </c>
      <c r="BV158" s="518">
        <v>597.69302794906582</v>
      </c>
      <c r="BW158" s="518">
        <v>633.55460962600955</v>
      </c>
      <c r="BX158" s="518">
        <v>671.56788620357008</v>
      </c>
      <c r="BY158" s="518">
        <v>711.86195937578441</v>
      </c>
      <c r="BZ158" s="518">
        <v>754.57367693833146</v>
      </c>
      <c r="CA158" s="518">
        <v>799.84809755463141</v>
      </c>
      <c r="CB158" s="518">
        <v>847.83898340790915</v>
      </c>
      <c r="CC158" s="518">
        <v>898.70932241238381</v>
      </c>
      <c r="CD158" s="518">
        <v>952.63188175712685</v>
      </c>
      <c r="CE158" s="518">
        <v>1009.7897946625544</v>
      </c>
      <c r="CF158" s="518">
        <v>1070.3771823423076</v>
      </c>
      <c r="CG158" s="519">
        <v>1134.5998132828461</v>
      </c>
      <c r="CH158" s="520">
        <v>4.5</v>
      </c>
      <c r="CI158" s="521">
        <v>4.59</v>
      </c>
      <c r="CJ158" s="521">
        <v>4.6818</v>
      </c>
      <c r="CK158" s="521">
        <v>4.775436</v>
      </c>
      <c r="CL158" s="521">
        <v>4.8709447199999998</v>
      </c>
      <c r="CM158" s="521">
        <v>2.5</v>
      </c>
      <c r="CN158" s="521">
        <v>2.5499999999999998</v>
      </c>
      <c r="CO158" s="521">
        <v>2.601</v>
      </c>
      <c r="CP158" s="521">
        <v>2.6530200000000002</v>
      </c>
      <c r="CQ158" s="521">
        <v>2.7060804000000003</v>
      </c>
      <c r="CR158" s="521">
        <v>2.7602020080000003</v>
      </c>
      <c r="CS158" s="521">
        <v>2.8154060481600003</v>
      </c>
      <c r="CT158" s="521">
        <v>2.8717141691232002</v>
      </c>
      <c r="CU158" s="521">
        <v>2.5</v>
      </c>
      <c r="CV158" s="521">
        <v>2.5499999999999998</v>
      </c>
      <c r="CW158" s="521">
        <v>2.601</v>
      </c>
      <c r="CX158" s="521">
        <v>2.6530200000000002</v>
      </c>
      <c r="CY158" s="521">
        <v>2.7060804000000003</v>
      </c>
      <c r="CZ158" s="521">
        <v>2.7602020080000003</v>
      </c>
      <c r="DA158" s="522">
        <v>2.8154060481600003</v>
      </c>
      <c r="DB158" s="523">
        <v>0</v>
      </c>
      <c r="DC158" s="524">
        <v>0</v>
      </c>
      <c r="DD158" s="524">
        <v>0</v>
      </c>
      <c r="DE158" s="524">
        <v>0</v>
      </c>
      <c r="DF158" s="524">
        <v>0</v>
      </c>
      <c r="DG158" s="524">
        <v>-4.7519289600715022E-3</v>
      </c>
      <c r="DH158" s="524">
        <v>4.0824253036407868E-4</v>
      </c>
      <c r="DI158" s="524">
        <v>4.5211388640399412E-4</v>
      </c>
      <c r="DJ158" s="524">
        <v>5.0060888508031594E-4</v>
      </c>
      <c r="DK158" s="524">
        <v>7.6730566871278189E-2</v>
      </c>
      <c r="DL158" s="524">
        <v>2.6897003370258618E-5</v>
      </c>
      <c r="DM158" s="524">
        <v>2.2329118113324428E-5</v>
      </c>
      <c r="DN158" s="524">
        <v>1.6857227262152136E-5</v>
      </c>
      <c r="DO158" s="524">
        <v>-5.0428271820628211E-3</v>
      </c>
      <c r="DP158" s="524">
        <v>7.7559574375597046E-5</v>
      </c>
      <c r="DQ158" s="524">
        <v>7.6977731539588229E-5</v>
      </c>
      <c r="DR158" s="524">
        <v>7.5839545745443049E-5</v>
      </c>
      <c r="DS158" s="524">
        <v>1.0361925920302047E-2</v>
      </c>
      <c r="DT158" s="524">
        <v>1.2435508690654407E-4</v>
      </c>
      <c r="DU158" s="525">
        <v>1.2760918617426772E-4</v>
      </c>
      <c r="DV158" s="526">
        <v>3.5</v>
      </c>
      <c r="DW158" s="507">
        <v>1</v>
      </c>
      <c r="DX158" s="509">
        <v>4.5</v>
      </c>
      <c r="DY158" s="507">
        <v>2</v>
      </c>
      <c r="DZ158" s="507">
        <v>10</v>
      </c>
      <c r="EA158" s="507">
        <v>0</v>
      </c>
      <c r="EB158" s="507">
        <v>0</v>
      </c>
      <c r="EC158" s="507">
        <v>111.62500000000001</v>
      </c>
      <c r="ED158" s="507">
        <v>102.18750000000001</v>
      </c>
      <c r="EE158" s="507">
        <v>0</v>
      </c>
      <c r="EF158" s="507">
        <v>25.062499999999996</v>
      </c>
      <c r="EG158" s="507">
        <v>29.3125</v>
      </c>
      <c r="EH158" s="507">
        <v>12.8125</v>
      </c>
      <c r="EI158" s="507">
        <v>16.6875</v>
      </c>
      <c r="EJ158" s="507">
        <v>56.4375</v>
      </c>
      <c r="EK158" s="507">
        <v>10.4375</v>
      </c>
      <c r="EL158" s="507">
        <v>10.4375</v>
      </c>
      <c r="EM158" s="508">
        <v>375</v>
      </c>
    </row>
    <row r="159" spans="2:143" x14ac:dyDescent="0.25">
      <c r="B159" s="506" t="str">
        <f>[1]RONET_Input!J130</f>
        <v>212TH00036</v>
      </c>
      <c r="C159" s="359">
        <f>[1]RONET_Input!B130</f>
        <v>128</v>
      </c>
      <c r="D159" s="397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442">
        <f>[1]RONET_Input!K130</f>
        <v>1.68799322993</v>
      </c>
      <c r="Q159" s="398">
        <f>[1]RONET_Input!Y130</f>
        <v>3</v>
      </c>
      <c r="R159" s="398">
        <f>[1]RONET_Input!X130</f>
        <v>4.3</v>
      </c>
      <c r="S159" s="398"/>
      <c r="T159" s="398"/>
      <c r="U159" s="398">
        <f>[1]RONET_Input!AA130</f>
        <v>8</v>
      </c>
      <c r="V159" s="398">
        <f>[1]RONET_Input!AC130</f>
        <v>1</v>
      </c>
      <c r="W159" s="398">
        <f>[1]RONET_Input!AD130</f>
        <v>1</v>
      </c>
      <c r="X159" s="398">
        <f>[1]RONET_Input!AE130</f>
        <v>4</v>
      </c>
      <c r="Y159" s="398">
        <f>[1]RONET_Input!AB130</f>
        <v>1</v>
      </c>
      <c r="Z159" s="438">
        <f>[1]RONET_Input!Z130</f>
        <v>3</v>
      </c>
      <c r="AA159" s="442"/>
      <c r="AB159" s="398"/>
      <c r="AC159" s="438"/>
      <c r="AD159" s="442">
        <f>[1]RONET_Input!AH130</f>
        <v>4</v>
      </c>
      <c r="AE159" s="398">
        <f>[1]RONET_Input!D130</f>
        <v>9.06</v>
      </c>
      <c r="AF159" s="398"/>
      <c r="AG159" s="398"/>
      <c r="AH159" s="398"/>
      <c r="AI159" s="438"/>
      <c r="AJ159" s="442">
        <v>1</v>
      </c>
      <c r="AK159" s="442">
        <f>[1]RONET_Input!AF130</f>
        <v>8</v>
      </c>
      <c r="AL159" s="507"/>
      <c r="AM159" s="507"/>
      <c r="AN159" s="507"/>
      <c r="AO159" s="507"/>
      <c r="AP159" s="507"/>
      <c r="AQ159" s="507"/>
      <c r="AR159" s="507"/>
      <c r="AS159" s="507"/>
      <c r="AT159" s="507"/>
      <c r="AU159" s="507"/>
      <c r="AV159" s="507"/>
      <c r="AW159" s="507"/>
      <c r="AX159" s="508"/>
      <c r="AY159" s="509">
        <f>[1]RONET_Input!AG130</f>
        <v>3</v>
      </c>
      <c r="AZ159" s="359" t="s">
        <v>321</v>
      </c>
      <c r="BA159" s="360" t="s">
        <v>506</v>
      </c>
      <c r="BB159" s="360" t="s">
        <v>447</v>
      </c>
      <c r="BC159" s="510">
        <v>0.10379470370839571</v>
      </c>
      <c r="BD159" s="510">
        <v>6.1490000000000003E-2</v>
      </c>
      <c r="BE159" s="438">
        <v>1</v>
      </c>
      <c r="BF159" s="511">
        <v>3.1836357215919544</v>
      </c>
      <c r="BG159" s="512">
        <v>1.8860476838073443</v>
      </c>
      <c r="BH159" s="512">
        <v>30.672429400021858</v>
      </c>
      <c r="BI159" s="513">
        <v>0</v>
      </c>
      <c r="BJ159" s="514">
        <v>6000</v>
      </c>
      <c r="BK159" s="515">
        <v>0.22366666666666665</v>
      </c>
      <c r="BL159" s="512">
        <v>3.6967051735467007</v>
      </c>
      <c r="BM159" s="516">
        <v>0.51286514999999999</v>
      </c>
      <c r="BN159" s="517">
        <v>6000</v>
      </c>
      <c r="BO159" s="518">
        <v>6360.0000000000018</v>
      </c>
      <c r="BP159" s="518">
        <v>6741.5999999999985</v>
      </c>
      <c r="BQ159" s="518">
        <v>7146.0959999999995</v>
      </c>
      <c r="BR159" s="518">
        <v>7574.8617599999998</v>
      </c>
      <c r="BS159" s="518">
        <v>8029.353465600002</v>
      </c>
      <c r="BT159" s="518">
        <v>8511.1146735360016</v>
      </c>
      <c r="BU159" s="518">
        <v>9021.7815539481599</v>
      </c>
      <c r="BV159" s="518">
        <v>9563.0884471850532</v>
      </c>
      <c r="BW159" s="518">
        <v>10136.873754016153</v>
      </c>
      <c r="BX159" s="518">
        <v>10745.086179257121</v>
      </c>
      <c r="BY159" s="518">
        <v>11389.791350012551</v>
      </c>
      <c r="BZ159" s="518">
        <v>12073.178831013303</v>
      </c>
      <c r="CA159" s="518">
        <v>12797.569560874103</v>
      </c>
      <c r="CB159" s="518">
        <v>13565.423734526546</v>
      </c>
      <c r="CC159" s="518">
        <v>14379.349158598141</v>
      </c>
      <c r="CD159" s="518">
        <v>15242.11010811403</v>
      </c>
      <c r="CE159" s="518">
        <v>16156.636714600871</v>
      </c>
      <c r="CF159" s="518">
        <v>17126.034917476922</v>
      </c>
      <c r="CG159" s="519">
        <v>18153.597012525537</v>
      </c>
      <c r="CH159" s="520">
        <v>2</v>
      </c>
      <c r="CI159" s="521">
        <v>2.0499999999999998</v>
      </c>
      <c r="CJ159" s="521">
        <v>2.1012499999999998</v>
      </c>
      <c r="CK159" s="521">
        <v>2.1537812499999998</v>
      </c>
      <c r="CL159" s="521">
        <v>2.20762578125</v>
      </c>
      <c r="CM159" s="521">
        <v>2.2628164257812502</v>
      </c>
      <c r="CN159" s="521">
        <v>2.3193868364257813</v>
      </c>
      <c r="CO159" s="521">
        <v>2.3773715073364259</v>
      </c>
      <c r="CP159" s="521">
        <v>2.5</v>
      </c>
      <c r="CQ159" s="521">
        <v>2.5625</v>
      </c>
      <c r="CR159" s="521">
        <v>2.6265624999999999</v>
      </c>
      <c r="CS159" s="521">
        <v>2.6922265624999997</v>
      </c>
      <c r="CT159" s="521">
        <v>2.7595322265624995</v>
      </c>
      <c r="CU159" s="521">
        <v>2.8285205322265621</v>
      </c>
      <c r="CV159" s="521">
        <v>2.8992335455322262</v>
      </c>
      <c r="CW159" s="521">
        <v>2.9717143841705318</v>
      </c>
      <c r="CX159" s="521">
        <v>2.5</v>
      </c>
      <c r="CY159" s="521">
        <v>2.5625</v>
      </c>
      <c r="CZ159" s="521">
        <v>2.6265624999999999</v>
      </c>
      <c r="DA159" s="522">
        <v>2.6922265624999997</v>
      </c>
      <c r="DB159" s="523">
        <v>0.18220081047418524</v>
      </c>
      <c r="DC159" s="524">
        <v>0.30949138967054934</v>
      </c>
      <c r="DD159" s="524">
        <v>0.34615106389403105</v>
      </c>
      <c r="DE159" s="524">
        <v>0.38707264204189329</v>
      </c>
      <c r="DF159" s="524">
        <v>0.43274583453346072</v>
      </c>
      <c r="DG159" s="524">
        <v>0.48371599075761651</v>
      </c>
      <c r="DH159" s="524">
        <v>0.54059019726056068</v>
      </c>
      <c r="DI159" s="524">
        <v>0.60404393289601632</v>
      </c>
      <c r="DJ159" s="524">
        <v>0.61084241491364066</v>
      </c>
      <c r="DK159" s="524">
        <v>0.30836871578014113</v>
      </c>
      <c r="DL159" s="524">
        <v>9.623215529339646E-4</v>
      </c>
      <c r="DM159" s="524">
        <v>1.0925570114421745E-3</v>
      </c>
      <c r="DN159" s="524">
        <v>1.2392144520934067E-3</v>
      </c>
      <c r="DO159" s="524">
        <v>1.4042775822344922E-3</v>
      </c>
      <c r="DP159" s="524">
        <v>1.5899629618680855E-3</v>
      </c>
      <c r="DQ159" s="524">
        <v>1.7987467921338762E-3</v>
      </c>
      <c r="DR159" s="524">
        <v>-3.965910597375899E-2</v>
      </c>
      <c r="DS159" s="524">
        <v>9.9980114056926084E-2</v>
      </c>
      <c r="DT159" s="524">
        <v>-2.4670083131272946E-3</v>
      </c>
      <c r="DU159" s="525">
        <v>-2.8031629227873722E-3</v>
      </c>
      <c r="DV159" s="526">
        <v>4.3</v>
      </c>
      <c r="DW159" s="507">
        <v>3</v>
      </c>
      <c r="DX159" s="509">
        <v>9.06</v>
      </c>
      <c r="DY159" s="507">
        <v>6</v>
      </c>
      <c r="DZ159" s="507">
        <v>15</v>
      </c>
      <c r="EA159" s="507">
        <v>0</v>
      </c>
      <c r="EB159" s="507">
        <v>0</v>
      </c>
      <c r="EC159" s="507">
        <v>1786.0000000000002</v>
      </c>
      <c r="ED159" s="507">
        <v>1635.0000000000002</v>
      </c>
      <c r="EE159" s="507">
        <v>0</v>
      </c>
      <c r="EF159" s="507">
        <v>400.99999999999994</v>
      </c>
      <c r="EG159" s="507">
        <v>469</v>
      </c>
      <c r="EH159" s="507">
        <v>205</v>
      </c>
      <c r="EI159" s="507">
        <v>267</v>
      </c>
      <c r="EJ159" s="507">
        <v>903</v>
      </c>
      <c r="EK159" s="507">
        <v>167</v>
      </c>
      <c r="EL159" s="507">
        <v>167</v>
      </c>
      <c r="EM159" s="508">
        <v>6000</v>
      </c>
    </row>
    <row r="160" spans="2:143" x14ac:dyDescent="0.25">
      <c r="B160" s="506" t="str">
        <f>[1]RONET_Input!J131</f>
        <v>214tt00029</v>
      </c>
      <c r="C160" s="359">
        <f>[1]RONET_Input!B131</f>
        <v>129</v>
      </c>
      <c r="D160" s="397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442">
        <f>[1]RONET_Input!K131</f>
        <v>3.8989902752500001</v>
      </c>
      <c r="Q160" s="398">
        <f>[1]RONET_Input!Y131</f>
        <v>1</v>
      </c>
      <c r="R160" s="398">
        <f>[1]RONET_Input!X131</f>
        <v>3.4</v>
      </c>
      <c r="S160" s="398"/>
      <c r="T160" s="398"/>
      <c r="U160" s="398">
        <f>[1]RONET_Input!AA131</f>
        <v>8</v>
      </c>
      <c r="V160" s="398">
        <f>[1]RONET_Input!AC131</f>
        <v>1</v>
      </c>
      <c r="W160" s="398">
        <f>[1]RONET_Input!AD131</f>
        <v>1</v>
      </c>
      <c r="X160" s="398">
        <f>[1]RONET_Input!AE131</f>
        <v>4</v>
      </c>
      <c r="Y160" s="398">
        <f>[1]RONET_Input!AB131</f>
        <v>1</v>
      </c>
      <c r="Z160" s="438">
        <f>[1]RONET_Input!Z131</f>
        <v>1</v>
      </c>
      <c r="AA160" s="442"/>
      <c r="AB160" s="398"/>
      <c r="AC160" s="438"/>
      <c r="AD160" s="442">
        <f>[1]RONET_Input!AH131</f>
        <v>4</v>
      </c>
      <c r="AE160" s="398">
        <f>[1]RONET_Input!D131</f>
        <v>11.47</v>
      </c>
      <c r="AF160" s="398"/>
      <c r="AG160" s="398"/>
      <c r="AH160" s="398"/>
      <c r="AI160" s="438"/>
      <c r="AJ160" s="442">
        <v>1</v>
      </c>
      <c r="AK160" s="442">
        <f>[1]RONET_Input!AF131</f>
        <v>4</v>
      </c>
      <c r="AL160" s="507"/>
      <c r="AM160" s="507"/>
      <c r="AN160" s="507"/>
      <c r="AO160" s="507"/>
      <c r="AP160" s="507"/>
      <c r="AQ160" s="507"/>
      <c r="AR160" s="507"/>
      <c r="AS160" s="507"/>
      <c r="AT160" s="507"/>
      <c r="AU160" s="507"/>
      <c r="AV160" s="507"/>
      <c r="AW160" s="507"/>
      <c r="AX160" s="508"/>
      <c r="AY160" s="509">
        <f>[1]RONET_Input!AG131</f>
        <v>3</v>
      </c>
      <c r="AZ160" s="359" t="s">
        <v>321</v>
      </c>
      <c r="BA160" s="360" t="s">
        <v>502</v>
      </c>
      <c r="BB160" s="360" t="s">
        <v>443</v>
      </c>
      <c r="BC160" s="510">
        <v>0.18956890718265501</v>
      </c>
      <c r="BD160" s="510">
        <v>4.8620000000000003E-2</v>
      </c>
      <c r="BE160" s="438">
        <v>1</v>
      </c>
      <c r="BF160" s="511">
        <v>2.1885693241563602</v>
      </c>
      <c r="BG160" s="512">
        <v>0.56131694865949133</v>
      </c>
      <c r="BH160" s="512">
        <v>11.544980433144618</v>
      </c>
      <c r="BI160" s="513">
        <v>0</v>
      </c>
      <c r="BJ160" s="514">
        <v>375</v>
      </c>
      <c r="BK160" s="515">
        <v>0.22366666666666665</v>
      </c>
      <c r="BL160" s="512">
        <v>0.53367429392484367</v>
      </c>
      <c r="BM160" s="516">
        <v>6.4108143749999999E-2</v>
      </c>
      <c r="BN160" s="517">
        <v>375</v>
      </c>
      <c r="BO160" s="518">
        <v>397.50000000000011</v>
      </c>
      <c r="BP160" s="518">
        <v>421.34999999999991</v>
      </c>
      <c r="BQ160" s="518">
        <v>446.63099999999997</v>
      </c>
      <c r="BR160" s="518">
        <v>473.42885999999999</v>
      </c>
      <c r="BS160" s="518">
        <v>501.83459160000012</v>
      </c>
      <c r="BT160" s="518">
        <v>531.9446670960001</v>
      </c>
      <c r="BU160" s="518">
        <v>563.86134712175999</v>
      </c>
      <c r="BV160" s="518">
        <v>597.69302794906582</v>
      </c>
      <c r="BW160" s="518">
        <v>633.55460962600955</v>
      </c>
      <c r="BX160" s="518">
        <v>671.56788620357008</v>
      </c>
      <c r="BY160" s="518">
        <v>711.86195937578441</v>
      </c>
      <c r="BZ160" s="518">
        <v>754.57367693833146</v>
      </c>
      <c r="CA160" s="518">
        <v>799.84809755463141</v>
      </c>
      <c r="CB160" s="518">
        <v>847.83898340790915</v>
      </c>
      <c r="CC160" s="518">
        <v>898.70932241238381</v>
      </c>
      <c r="CD160" s="518">
        <v>952.63188175712685</v>
      </c>
      <c r="CE160" s="518">
        <v>1009.7897946625544</v>
      </c>
      <c r="CF160" s="518">
        <v>1070.3771823423076</v>
      </c>
      <c r="CG160" s="519">
        <v>1134.5998132828461</v>
      </c>
      <c r="CH160" s="520">
        <v>2.5</v>
      </c>
      <c r="CI160" s="521">
        <v>2.5499999999999998</v>
      </c>
      <c r="CJ160" s="521">
        <v>2.601</v>
      </c>
      <c r="CK160" s="521">
        <v>2.6530200000000002</v>
      </c>
      <c r="CL160" s="521">
        <v>2.7060804000000003</v>
      </c>
      <c r="CM160" s="521">
        <v>2.7602020080000003</v>
      </c>
      <c r="CN160" s="521">
        <v>2.8154060481600003</v>
      </c>
      <c r="CO160" s="521">
        <v>2.8717141691232002</v>
      </c>
      <c r="CP160" s="521">
        <v>2.5</v>
      </c>
      <c r="CQ160" s="521">
        <v>2.5499999999999998</v>
      </c>
      <c r="CR160" s="521">
        <v>2.601</v>
      </c>
      <c r="CS160" s="521">
        <v>2.6530200000000002</v>
      </c>
      <c r="CT160" s="521">
        <v>2.7060804000000003</v>
      </c>
      <c r="CU160" s="521">
        <v>2.7602020080000003</v>
      </c>
      <c r="CV160" s="521">
        <v>2.8154060481600003</v>
      </c>
      <c r="CW160" s="521">
        <v>2.8717141691232002</v>
      </c>
      <c r="CX160" s="521">
        <v>2.5</v>
      </c>
      <c r="CY160" s="521">
        <v>2.5499999999999998</v>
      </c>
      <c r="CZ160" s="521">
        <v>2.601</v>
      </c>
      <c r="DA160" s="522">
        <v>2.6530200000000002</v>
      </c>
      <c r="DB160" s="523">
        <v>-0.10063314151498887</v>
      </c>
      <c r="DC160" s="524">
        <v>7.9161125408554744E-2</v>
      </c>
      <c r="DD160" s="524">
        <v>8.7182396543459162E-2</v>
      </c>
      <c r="DE160" s="524">
        <v>9.6011578773974149E-2</v>
      </c>
      <c r="DF160" s="524">
        <v>0.10572884701109042</v>
      </c>
      <c r="DG160" s="524">
        <v>0.11642189607188369</v>
      </c>
      <c r="DH160" s="524">
        <v>0.12818648738903043</v>
      </c>
      <c r="DI160" s="524">
        <v>0.14112697861180518</v>
      </c>
      <c r="DJ160" s="524">
        <v>-1.50055612477491E-2</v>
      </c>
      <c r="DK160" s="524">
        <v>2.6727524943156036</v>
      </c>
      <c r="DL160" s="524">
        <v>1.2880815294203096E-2</v>
      </c>
      <c r="DM160" s="524">
        <v>1.2992583118583423E-2</v>
      </c>
      <c r="DN160" s="524">
        <v>1.3088624238317192E-2</v>
      </c>
      <c r="DO160" s="524">
        <v>1.3165852594912875E-2</v>
      </c>
      <c r="DP160" s="524">
        <v>1.3220792175474227E-2</v>
      </c>
      <c r="DQ160" s="524">
        <v>1.3249534034011412E-2</v>
      </c>
      <c r="DR160" s="524">
        <v>-0.15584068271526974</v>
      </c>
      <c r="DS160" s="524">
        <v>0.3737795758647301</v>
      </c>
      <c r="DT160" s="524">
        <v>1.9141978908902679E-2</v>
      </c>
      <c r="DU160" s="525">
        <v>1.9685466297224785E-2</v>
      </c>
      <c r="DV160" s="526">
        <v>3.4</v>
      </c>
      <c r="DW160" s="507">
        <v>1</v>
      </c>
      <c r="DX160" s="509">
        <v>11.47</v>
      </c>
      <c r="DY160" s="507">
        <v>2</v>
      </c>
      <c r="DZ160" s="507">
        <v>15</v>
      </c>
      <c r="EA160" s="507">
        <v>0</v>
      </c>
      <c r="EB160" s="507">
        <v>0</v>
      </c>
      <c r="EC160" s="507">
        <v>111.62500000000001</v>
      </c>
      <c r="ED160" s="507">
        <v>102.18750000000001</v>
      </c>
      <c r="EE160" s="507">
        <v>0</v>
      </c>
      <c r="EF160" s="507">
        <v>25.062499999999996</v>
      </c>
      <c r="EG160" s="507">
        <v>29.3125</v>
      </c>
      <c r="EH160" s="507">
        <v>12.8125</v>
      </c>
      <c r="EI160" s="507">
        <v>16.6875</v>
      </c>
      <c r="EJ160" s="507">
        <v>56.4375</v>
      </c>
      <c r="EK160" s="507">
        <v>10.4375</v>
      </c>
      <c r="EL160" s="507">
        <v>10.4375</v>
      </c>
      <c r="EM160" s="508">
        <v>375</v>
      </c>
    </row>
    <row r="161" spans="2:143" x14ac:dyDescent="0.25">
      <c r="B161" s="506" t="str">
        <f>[1]RONET_Input!J132</f>
        <v xml:space="preserve">Input VPROMMS: 214tt00024 (72.55 pct); 214tt00029 (27.45 pct); </v>
      </c>
      <c r="C161" s="359">
        <f>[1]RONET_Input!B132</f>
        <v>130</v>
      </c>
      <c r="D161" s="397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442">
        <f>[1]RONET_Input!K132</f>
        <v>1.1653629263500001</v>
      </c>
      <c r="Q161" s="398">
        <f>[1]RONET_Input!Y132</f>
        <v>2</v>
      </c>
      <c r="R161" s="398">
        <f>[1]RONET_Input!X132</f>
        <v>3.5</v>
      </c>
      <c r="S161" s="398"/>
      <c r="T161" s="398"/>
      <c r="U161" s="398">
        <f>[1]RONET_Input!AA132</f>
        <v>8</v>
      </c>
      <c r="V161" s="398">
        <f>[1]RONET_Input!AC132</f>
        <v>1</v>
      </c>
      <c r="W161" s="398">
        <f>[1]RONET_Input!AD132</f>
        <v>1</v>
      </c>
      <c r="X161" s="398">
        <f>[1]RONET_Input!AE132</f>
        <v>4</v>
      </c>
      <c r="Y161" s="398">
        <f>[1]RONET_Input!AB132</f>
        <v>1</v>
      </c>
      <c r="Z161" s="438">
        <f>[1]RONET_Input!Z132</f>
        <v>1</v>
      </c>
      <c r="AA161" s="442"/>
      <c r="AB161" s="398"/>
      <c r="AC161" s="438"/>
      <c r="AD161" s="442">
        <f>[1]RONET_Input!AH132</f>
        <v>3</v>
      </c>
      <c r="AE161" s="398">
        <f>[1]RONET_Input!D132</f>
        <v>0</v>
      </c>
      <c r="AF161" s="398"/>
      <c r="AG161" s="398"/>
      <c r="AH161" s="398"/>
      <c r="AI161" s="438"/>
      <c r="AJ161" s="442">
        <v>1</v>
      </c>
      <c r="AK161" s="442">
        <f>[1]RONET_Input!AF132</f>
        <v>4</v>
      </c>
      <c r="AL161" s="507"/>
      <c r="AM161" s="507"/>
      <c r="AN161" s="507"/>
      <c r="AO161" s="507"/>
      <c r="AP161" s="507"/>
      <c r="AQ161" s="507"/>
      <c r="AR161" s="507"/>
      <c r="AS161" s="507"/>
      <c r="AT161" s="507"/>
      <c r="AU161" s="507"/>
      <c r="AV161" s="507"/>
      <c r="AW161" s="507"/>
      <c r="AX161" s="508"/>
      <c r="AY161" s="509">
        <f>[1]RONET_Input!AG132</f>
        <v>3</v>
      </c>
      <c r="AZ161" s="359" t="s">
        <v>321</v>
      </c>
      <c r="BA161" s="360" t="s">
        <v>502</v>
      </c>
      <c r="BB161" s="360" t="s">
        <v>443</v>
      </c>
      <c r="BC161" s="510">
        <v>5.8326414463817498E-2</v>
      </c>
      <c r="BD161" s="510">
        <v>5.0049999999999997E-2</v>
      </c>
      <c r="BE161" s="438">
        <v>6</v>
      </c>
      <c r="BF161" s="511">
        <v>0.46095198460912212</v>
      </c>
      <c r="BG161" s="512">
        <v>0.39554371791529069</v>
      </c>
      <c r="BH161" s="512">
        <v>7.902971386918896</v>
      </c>
      <c r="BI161" s="513">
        <v>0</v>
      </c>
      <c r="BJ161" s="514">
        <v>375</v>
      </c>
      <c r="BK161" s="515">
        <v>0.22366666666666665</v>
      </c>
      <c r="BL161" s="512">
        <v>0.15950905054415629</v>
      </c>
      <c r="BM161" s="516">
        <v>3.2054071874999999E-2</v>
      </c>
      <c r="BN161" s="517">
        <v>375</v>
      </c>
      <c r="BO161" s="518">
        <v>397.50000000000011</v>
      </c>
      <c r="BP161" s="518">
        <v>421.34999999999991</v>
      </c>
      <c r="BQ161" s="518">
        <v>446.63099999999997</v>
      </c>
      <c r="BR161" s="518">
        <v>473.42885999999999</v>
      </c>
      <c r="BS161" s="518">
        <v>501.83459160000012</v>
      </c>
      <c r="BT161" s="518">
        <v>531.9446670960001</v>
      </c>
      <c r="BU161" s="518">
        <v>563.86134712175999</v>
      </c>
      <c r="BV161" s="518">
        <v>597.69302794906582</v>
      </c>
      <c r="BW161" s="518">
        <v>633.55460962600955</v>
      </c>
      <c r="BX161" s="518">
        <v>671.56788620357008</v>
      </c>
      <c r="BY161" s="518">
        <v>711.86195937578441</v>
      </c>
      <c r="BZ161" s="518">
        <v>754.57367693833146</v>
      </c>
      <c r="CA161" s="518">
        <v>799.84809755463141</v>
      </c>
      <c r="CB161" s="518">
        <v>847.83898340790915</v>
      </c>
      <c r="CC161" s="518">
        <v>898.70932241238381</v>
      </c>
      <c r="CD161" s="518">
        <v>952.63188175712685</v>
      </c>
      <c r="CE161" s="518">
        <v>1009.7897946625544</v>
      </c>
      <c r="CF161" s="518">
        <v>1070.3771823423076</v>
      </c>
      <c r="CG161" s="519">
        <v>1134.5998132828461</v>
      </c>
      <c r="CH161" s="520">
        <v>4.5</v>
      </c>
      <c r="CI161" s="521">
        <v>4.59</v>
      </c>
      <c r="CJ161" s="521">
        <v>4.6818</v>
      </c>
      <c r="CK161" s="521">
        <v>4.775436</v>
      </c>
      <c r="CL161" s="521">
        <v>4.8709447199999998</v>
      </c>
      <c r="CM161" s="521">
        <v>2.5</v>
      </c>
      <c r="CN161" s="521">
        <v>2.5499999999999998</v>
      </c>
      <c r="CO161" s="521">
        <v>2.601</v>
      </c>
      <c r="CP161" s="521">
        <v>2.6530200000000002</v>
      </c>
      <c r="CQ161" s="521">
        <v>2.7060804000000003</v>
      </c>
      <c r="CR161" s="521">
        <v>2.7602020080000003</v>
      </c>
      <c r="CS161" s="521">
        <v>2.8154060481600003</v>
      </c>
      <c r="CT161" s="521">
        <v>2.8717141691232002</v>
      </c>
      <c r="CU161" s="521">
        <v>2.5</v>
      </c>
      <c r="CV161" s="521">
        <v>2.5499999999999998</v>
      </c>
      <c r="CW161" s="521">
        <v>2.601</v>
      </c>
      <c r="CX161" s="521">
        <v>2.6530200000000002</v>
      </c>
      <c r="CY161" s="521">
        <v>2.7060804000000003</v>
      </c>
      <c r="CZ161" s="521">
        <v>2.7602020080000003</v>
      </c>
      <c r="DA161" s="522">
        <v>2.8154060481600003</v>
      </c>
      <c r="DB161" s="523">
        <v>0</v>
      </c>
      <c r="DC161" s="524">
        <v>0</v>
      </c>
      <c r="DD161" s="524">
        <v>0</v>
      </c>
      <c r="DE161" s="524">
        <v>0</v>
      </c>
      <c r="DF161" s="524">
        <v>0</v>
      </c>
      <c r="DG161" s="524">
        <v>-4.9256691962638141E-2</v>
      </c>
      <c r="DH161" s="524">
        <v>4.2316871176223958E-3</v>
      </c>
      <c r="DI161" s="524">
        <v>4.6864409425635967E-3</v>
      </c>
      <c r="DJ161" s="524">
        <v>5.189121692128526E-3</v>
      </c>
      <c r="DK161" s="524">
        <v>0.79535993240948677</v>
      </c>
      <c r="DL161" s="524">
        <v>2.7880412793609977E-4</v>
      </c>
      <c r="DM161" s="524">
        <v>2.3145516314465597E-4</v>
      </c>
      <c r="DN161" s="524">
        <v>1.7473561948694316E-4</v>
      </c>
      <c r="DO161" s="524">
        <v>-5.2272032518758255E-2</v>
      </c>
      <c r="DP161" s="524">
        <v>8.0395310954195498E-4</v>
      </c>
      <c r="DQ161" s="524">
        <v>7.9792194754763068E-4</v>
      </c>
      <c r="DR161" s="524">
        <v>7.8612394561416998E-4</v>
      </c>
      <c r="DS161" s="524">
        <v>0.10740779112748206</v>
      </c>
      <c r="DT161" s="524">
        <v>1.2890176307792656E-3</v>
      </c>
      <c r="DU161" s="525">
        <v>1.3227483886657787E-3</v>
      </c>
      <c r="DV161" s="526">
        <v>3.5</v>
      </c>
      <c r="DW161" s="507">
        <v>1</v>
      </c>
      <c r="DX161" s="509">
        <v>4.5</v>
      </c>
      <c r="DY161" s="507">
        <v>2</v>
      </c>
      <c r="DZ161" s="507">
        <v>10</v>
      </c>
      <c r="EA161" s="507">
        <v>0</v>
      </c>
      <c r="EB161" s="507">
        <v>0</v>
      </c>
      <c r="EC161" s="507">
        <v>111.62500000000001</v>
      </c>
      <c r="ED161" s="507">
        <v>102.18750000000001</v>
      </c>
      <c r="EE161" s="507">
        <v>0</v>
      </c>
      <c r="EF161" s="507">
        <v>25.062499999999996</v>
      </c>
      <c r="EG161" s="507">
        <v>29.3125</v>
      </c>
      <c r="EH161" s="507">
        <v>12.8125</v>
      </c>
      <c r="EI161" s="507">
        <v>16.6875</v>
      </c>
      <c r="EJ161" s="507">
        <v>56.4375</v>
      </c>
      <c r="EK161" s="507">
        <v>10.4375</v>
      </c>
      <c r="EL161" s="507">
        <v>10.4375</v>
      </c>
      <c r="EM161" s="508">
        <v>375</v>
      </c>
    </row>
    <row r="162" spans="2:143" x14ac:dyDescent="0.25">
      <c r="B162" s="506" t="str">
        <f>[1]RONET_Input!J133</f>
        <v xml:space="preserve">Input VPROMMS: 213TT00005 (50.0 pct); 214TT00083 (50.0 pct); </v>
      </c>
      <c r="C162" s="359">
        <f>[1]RONET_Input!B133</f>
        <v>131</v>
      </c>
      <c r="D162" s="397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442">
        <f>[1]RONET_Input!K133</f>
        <v>1.17521083123</v>
      </c>
      <c r="Q162" s="398">
        <f>[1]RONET_Input!Y133</f>
        <v>2</v>
      </c>
      <c r="R162" s="398">
        <f>[1]RONET_Input!X133</f>
        <v>3.5</v>
      </c>
      <c r="S162" s="398"/>
      <c r="T162" s="398"/>
      <c r="U162" s="398">
        <f>[1]RONET_Input!AA133</f>
        <v>8</v>
      </c>
      <c r="V162" s="398">
        <f>[1]RONET_Input!AC133</f>
        <v>1</v>
      </c>
      <c r="W162" s="398">
        <f>[1]RONET_Input!AD133</f>
        <v>1</v>
      </c>
      <c r="X162" s="398">
        <f>[1]RONET_Input!AE133</f>
        <v>4</v>
      </c>
      <c r="Y162" s="398">
        <f>[1]RONET_Input!AB133</f>
        <v>1</v>
      </c>
      <c r="Z162" s="438">
        <f>[1]RONET_Input!Z133</f>
        <v>1</v>
      </c>
      <c r="AA162" s="442"/>
      <c r="AB162" s="398"/>
      <c r="AC162" s="438"/>
      <c r="AD162" s="442">
        <f>[1]RONET_Input!AH133</f>
        <v>4</v>
      </c>
      <c r="AE162" s="398">
        <f>[1]RONET_Input!D133</f>
        <v>8.18</v>
      </c>
      <c r="AF162" s="398"/>
      <c r="AG162" s="398"/>
      <c r="AH162" s="398"/>
      <c r="AI162" s="438"/>
      <c r="AJ162" s="442">
        <v>1</v>
      </c>
      <c r="AK162" s="442">
        <f>[1]RONET_Input!AF133</f>
        <v>4</v>
      </c>
      <c r="AL162" s="507"/>
      <c r="AM162" s="507"/>
      <c r="AN162" s="507"/>
      <c r="AO162" s="507"/>
      <c r="AP162" s="507"/>
      <c r="AQ162" s="507"/>
      <c r="AR162" s="507"/>
      <c r="AS162" s="507"/>
      <c r="AT162" s="507"/>
      <c r="AU162" s="507"/>
      <c r="AV162" s="507"/>
      <c r="AW162" s="507"/>
      <c r="AX162" s="508"/>
      <c r="AY162" s="509">
        <f>[1]RONET_Input!AG133</f>
        <v>3</v>
      </c>
      <c r="AZ162" s="359" t="s">
        <v>321</v>
      </c>
      <c r="BA162" s="360" t="s">
        <v>502</v>
      </c>
      <c r="BB162" s="360" t="s">
        <v>443</v>
      </c>
      <c r="BC162" s="510">
        <v>5.8819302103061501E-2</v>
      </c>
      <c r="BD162" s="510">
        <v>5.0049999999999997E-2</v>
      </c>
      <c r="BE162" s="438">
        <v>5</v>
      </c>
      <c r="BF162" s="511">
        <v>0.51310270566994454</v>
      </c>
      <c r="BG162" s="512">
        <v>0.43660481339584029</v>
      </c>
      <c r="BH162" s="512">
        <v>8.7233728950217841</v>
      </c>
      <c r="BI162" s="513">
        <v>0</v>
      </c>
      <c r="BJ162" s="514">
        <v>375</v>
      </c>
      <c r="BK162" s="515">
        <v>0.22366666666666665</v>
      </c>
      <c r="BL162" s="512">
        <v>0.16085698252460623</v>
      </c>
      <c r="BM162" s="516">
        <v>3.2054071874999999E-2</v>
      </c>
      <c r="BN162" s="517">
        <v>375</v>
      </c>
      <c r="BO162" s="518">
        <v>397.50000000000011</v>
      </c>
      <c r="BP162" s="518">
        <v>421.34999999999991</v>
      </c>
      <c r="BQ162" s="518">
        <v>446.63099999999997</v>
      </c>
      <c r="BR162" s="518">
        <v>473.42885999999999</v>
      </c>
      <c r="BS162" s="518">
        <v>501.83459160000012</v>
      </c>
      <c r="BT162" s="518">
        <v>531.9446670960001</v>
      </c>
      <c r="BU162" s="518">
        <v>563.86134712175999</v>
      </c>
      <c r="BV162" s="518">
        <v>597.69302794906582</v>
      </c>
      <c r="BW162" s="518">
        <v>633.55460962600955</v>
      </c>
      <c r="BX162" s="518">
        <v>671.56788620357008</v>
      </c>
      <c r="BY162" s="518">
        <v>711.86195937578441</v>
      </c>
      <c r="BZ162" s="518">
        <v>754.57367693833146</v>
      </c>
      <c r="CA162" s="518">
        <v>799.84809755463141</v>
      </c>
      <c r="CB162" s="518">
        <v>847.83898340790915</v>
      </c>
      <c r="CC162" s="518">
        <v>898.70932241238381</v>
      </c>
      <c r="CD162" s="518">
        <v>952.63188175712685</v>
      </c>
      <c r="CE162" s="518">
        <v>1009.7897946625544</v>
      </c>
      <c r="CF162" s="518">
        <v>1070.3771823423076</v>
      </c>
      <c r="CG162" s="519">
        <v>1134.5998132828461</v>
      </c>
      <c r="CH162" s="520">
        <v>8.18</v>
      </c>
      <c r="CI162" s="521">
        <v>8.3436000000000003</v>
      </c>
      <c r="CJ162" s="521">
        <v>8.510472</v>
      </c>
      <c r="CK162" s="521">
        <v>8.6806814400000007</v>
      </c>
      <c r="CL162" s="521">
        <v>2.5</v>
      </c>
      <c r="CM162" s="521">
        <v>2.5499999999999998</v>
      </c>
      <c r="CN162" s="521">
        <v>2.601</v>
      </c>
      <c r="CO162" s="521">
        <v>2.6530200000000002</v>
      </c>
      <c r="CP162" s="521">
        <v>2.7060804000000003</v>
      </c>
      <c r="CQ162" s="521">
        <v>2.7602020080000003</v>
      </c>
      <c r="CR162" s="521">
        <v>2.8154060481600003</v>
      </c>
      <c r="CS162" s="521">
        <v>2.8717141691232002</v>
      </c>
      <c r="CT162" s="521">
        <v>2.5</v>
      </c>
      <c r="CU162" s="521">
        <v>2.5499999999999998</v>
      </c>
      <c r="CV162" s="521">
        <v>2.601</v>
      </c>
      <c r="CW162" s="521">
        <v>2.6530200000000002</v>
      </c>
      <c r="CX162" s="521">
        <v>2.7060804000000003</v>
      </c>
      <c r="CY162" s="521">
        <v>2.7602020080000003</v>
      </c>
      <c r="CZ162" s="521">
        <v>2.8154060481600003</v>
      </c>
      <c r="DA162" s="522">
        <v>2.8717141691232002</v>
      </c>
      <c r="DB162" s="523">
        <v>0</v>
      </c>
      <c r="DC162" s="524">
        <v>0</v>
      </c>
      <c r="DD162" s="524">
        <v>0</v>
      </c>
      <c r="DE162" s="524">
        <v>0</v>
      </c>
      <c r="DF162" s="524">
        <v>-3.8523905129063826E-2</v>
      </c>
      <c r="DG162" s="524">
        <v>1.6569692776370826E-2</v>
      </c>
      <c r="DH162" s="524">
        <v>1.829999410031348E-2</v>
      </c>
      <c r="DI162" s="524">
        <v>2.0209254772388982E-2</v>
      </c>
      <c r="DJ162" s="524">
        <v>2.2315876101272961E-2</v>
      </c>
      <c r="DK162" s="524">
        <v>0.8020101473955028</v>
      </c>
      <c r="DL162" s="524">
        <v>2.0223261460422526E-4</v>
      </c>
      <c r="DM162" s="524">
        <v>1.456711749129036E-4</v>
      </c>
      <c r="DN162" s="524">
        <v>-5.2783201585802797E-2</v>
      </c>
      <c r="DO162" s="524">
        <v>7.3807354822422178E-4</v>
      </c>
      <c r="DP162" s="524">
        <v>7.2864070710224049E-4</v>
      </c>
      <c r="DQ162" s="524">
        <v>7.132691091315535E-4</v>
      </c>
      <c r="DR162" s="524">
        <v>6.910669208042286E-4</v>
      </c>
      <c r="DS162" s="524">
        <v>0.10820231325042792</v>
      </c>
      <c r="DT162" s="524">
        <v>1.1741119584398885E-3</v>
      </c>
      <c r="DU162" s="525">
        <v>1.1940822075874324E-3</v>
      </c>
      <c r="DV162" s="526">
        <v>3.5</v>
      </c>
      <c r="DW162" s="507">
        <v>1</v>
      </c>
      <c r="DX162" s="509">
        <v>8.18</v>
      </c>
      <c r="DY162" s="507">
        <v>2</v>
      </c>
      <c r="DZ162" s="507">
        <v>15</v>
      </c>
      <c r="EA162" s="507">
        <v>0</v>
      </c>
      <c r="EB162" s="507">
        <v>0</v>
      </c>
      <c r="EC162" s="507">
        <v>111.62500000000001</v>
      </c>
      <c r="ED162" s="507">
        <v>102.18750000000001</v>
      </c>
      <c r="EE162" s="507">
        <v>0</v>
      </c>
      <c r="EF162" s="507">
        <v>25.062499999999996</v>
      </c>
      <c r="EG162" s="507">
        <v>29.3125</v>
      </c>
      <c r="EH162" s="507">
        <v>12.8125</v>
      </c>
      <c r="EI162" s="507">
        <v>16.6875</v>
      </c>
      <c r="EJ162" s="507">
        <v>56.4375</v>
      </c>
      <c r="EK162" s="507">
        <v>10.4375</v>
      </c>
      <c r="EL162" s="507">
        <v>10.4375</v>
      </c>
      <c r="EM162" s="508">
        <v>375</v>
      </c>
    </row>
    <row r="163" spans="2:143" x14ac:dyDescent="0.25">
      <c r="B163" s="506" t="str">
        <f>[1]RONET_Input!J134</f>
        <v xml:space="preserve">Input VPROMMS: 214TT00083 (50.0 pct); 213TT00005 (50.0 pct); </v>
      </c>
      <c r="C163" s="359">
        <f>[1]RONET_Input!B134</f>
        <v>132</v>
      </c>
      <c r="D163" s="397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442">
        <f>[1]RONET_Input!K134</f>
        <v>1.4010477426199999E-2</v>
      </c>
      <c r="Q163" s="398">
        <f>[1]RONET_Input!Y134</f>
        <v>2</v>
      </c>
      <c r="R163" s="398">
        <f>[1]RONET_Input!X134</f>
        <v>3.5</v>
      </c>
      <c r="S163" s="398"/>
      <c r="T163" s="398"/>
      <c r="U163" s="398">
        <f>[1]RONET_Input!AA134</f>
        <v>8</v>
      </c>
      <c r="V163" s="398">
        <f>[1]RONET_Input!AC134</f>
        <v>1</v>
      </c>
      <c r="W163" s="398">
        <f>[1]RONET_Input!AD134</f>
        <v>1</v>
      </c>
      <c r="X163" s="398">
        <f>[1]RONET_Input!AE134</f>
        <v>4</v>
      </c>
      <c r="Y163" s="398">
        <f>[1]RONET_Input!AB134</f>
        <v>1</v>
      </c>
      <c r="Z163" s="438">
        <f>[1]RONET_Input!Z134</f>
        <v>1</v>
      </c>
      <c r="AA163" s="442"/>
      <c r="AB163" s="398"/>
      <c r="AC163" s="438"/>
      <c r="AD163" s="442">
        <f>[1]RONET_Input!AH134</f>
        <v>4</v>
      </c>
      <c r="AE163" s="398">
        <f>[1]RONET_Input!D134</f>
        <v>9.7799999999999994</v>
      </c>
      <c r="AF163" s="398"/>
      <c r="AG163" s="398"/>
      <c r="AH163" s="398"/>
      <c r="AI163" s="438"/>
      <c r="AJ163" s="442">
        <v>1</v>
      </c>
      <c r="AK163" s="442">
        <f>[1]RONET_Input!AF134</f>
        <v>4</v>
      </c>
      <c r="AL163" s="507"/>
      <c r="AM163" s="507"/>
      <c r="AN163" s="507"/>
      <c r="AO163" s="507"/>
      <c r="AP163" s="507"/>
      <c r="AQ163" s="507"/>
      <c r="AR163" s="507"/>
      <c r="AS163" s="507"/>
      <c r="AT163" s="507"/>
      <c r="AU163" s="507"/>
      <c r="AV163" s="507"/>
      <c r="AW163" s="507"/>
      <c r="AX163" s="508"/>
      <c r="AY163" s="509">
        <f>[1]RONET_Input!AG134</f>
        <v>3</v>
      </c>
      <c r="AZ163" s="359" t="s">
        <v>321</v>
      </c>
      <c r="BA163" s="360" t="s">
        <v>502</v>
      </c>
      <c r="BB163" s="360" t="s">
        <v>443</v>
      </c>
      <c r="BC163" s="510">
        <v>7.0122439518130995E-4</v>
      </c>
      <c r="BD163" s="510">
        <v>5.0049999999999997E-2</v>
      </c>
      <c r="BE163" s="438">
        <v>5</v>
      </c>
      <c r="BF163" s="511">
        <v>6.4834477361524357E-3</v>
      </c>
      <c r="BG163" s="512">
        <v>0.46275708806526467</v>
      </c>
      <c r="BH163" s="512">
        <v>9.245895865439854</v>
      </c>
      <c r="BI163" s="513">
        <v>0</v>
      </c>
      <c r="BJ163" s="514">
        <v>375</v>
      </c>
      <c r="BK163" s="515">
        <v>0.22366666666666665</v>
      </c>
      <c r="BL163" s="512">
        <v>1.9176840977111252E-3</v>
      </c>
      <c r="BM163" s="516">
        <v>3.2054071874999999E-2</v>
      </c>
      <c r="BN163" s="517">
        <v>375</v>
      </c>
      <c r="BO163" s="518">
        <v>397.50000000000011</v>
      </c>
      <c r="BP163" s="518">
        <v>421.34999999999991</v>
      </c>
      <c r="BQ163" s="518">
        <v>446.63099999999997</v>
      </c>
      <c r="BR163" s="518">
        <v>473.42885999999999</v>
      </c>
      <c r="BS163" s="518">
        <v>501.83459160000012</v>
      </c>
      <c r="BT163" s="518">
        <v>531.9446670960001</v>
      </c>
      <c r="BU163" s="518">
        <v>563.86134712175999</v>
      </c>
      <c r="BV163" s="518">
        <v>597.69302794906582</v>
      </c>
      <c r="BW163" s="518">
        <v>633.55460962600955</v>
      </c>
      <c r="BX163" s="518">
        <v>671.56788620357008</v>
      </c>
      <c r="BY163" s="518">
        <v>711.86195937578441</v>
      </c>
      <c r="BZ163" s="518">
        <v>754.57367693833146</v>
      </c>
      <c r="CA163" s="518">
        <v>799.84809755463141</v>
      </c>
      <c r="CB163" s="518">
        <v>847.83898340790915</v>
      </c>
      <c r="CC163" s="518">
        <v>898.70932241238381</v>
      </c>
      <c r="CD163" s="518">
        <v>952.63188175712685</v>
      </c>
      <c r="CE163" s="518">
        <v>1009.7897946625544</v>
      </c>
      <c r="CF163" s="518">
        <v>1070.3771823423076</v>
      </c>
      <c r="CG163" s="519">
        <v>1134.5998132828461</v>
      </c>
      <c r="CH163" s="520">
        <v>9.7799999999999994</v>
      </c>
      <c r="CI163" s="521">
        <v>9.9756</v>
      </c>
      <c r="CJ163" s="521">
        <v>10.175112</v>
      </c>
      <c r="CK163" s="521">
        <v>10.378614240000001</v>
      </c>
      <c r="CL163" s="521">
        <v>2.5</v>
      </c>
      <c r="CM163" s="521">
        <v>2.5499999999999998</v>
      </c>
      <c r="CN163" s="521">
        <v>2.601</v>
      </c>
      <c r="CO163" s="521">
        <v>2.6530200000000002</v>
      </c>
      <c r="CP163" s="521">
        <v>2.7060804000000003</v>
      </c>
      <c r="CQ163" s="521">
        <v>2.7602020080000003</v>
      </c>
      <c r="CR163" s="521">
        <v>2.8154060481600003</v>
      </c>
      <c r="CS163" s="521">
        <v>2.8717141691232002</v>
      </c>
      <c r="CT163" s="521">
        <v>2.5</v>
      </c>
      <c r="CU163" s="521">
        <v>2.5499999999999998</v>
      </c>
      <c r="CV163" s="521">
        <v>2.601</v>
      </c>
      <c r="CW163" s="521">
        <v>2.6530200000000002</v>
      </c>
      <c r="CX163" s="521">
        <v>2.7060804000000003</v>
      </c>
      <c r="CY163" s="521">
        <v>2.7602020080000003</v>
      </c>
      <c r="CZ163" s="521">
        <v>2.8154060481600003</v>
      </c>
      <c r="DA163" s="522">
        <v>2.8717141691232002</v>
      </c>
      <c r="DB163" s="523">
        <v>0</v>
      </c>
      <c r="DC163" s="524">
        <v>0</v>
      </c>
      <c r="DD163" s="524">
        <v>0</v>
      </c>
      <c r="DE163" s="524">
        <v>0</v>
      </c>
      <c r="DF163" s="524">
        <v>-3.7390474859043551E-4</v>
      </c>
      <c r="DG163" s="524">
        <v>2.9166954801911082E-4</v>
      </c>
      <c r="DH163" s="524">
        <v>3.2196054636986844E-4</v>
      </c>
      <c r="DI163" s="524">
        <v>3.5537187596356638E-4</v>
      </c>
      <c r="DJ163" s="524">
        <v>3.9222193630481439E-4</v>
      </c>
      <c r="DK163" s="524">
        <v>9.5613014848643148E-3</v>
      </c>
      <c r="DL163" s="524">
        <v>2.410950789815151E-6</v>
      </c>
      <c r="DM163" s="524">
        <v>1.736643888509146E-6</v>
      </c>
      <c r="DN163" s="524">
        <v>-6.2926398791479763E-4</v>
      </c>
      <c r="DO163" s="524">
        <v>8.799070355272479E-6</v>
      </c>
      <c r="DP163" s="524">
        <v>8.6866151224810999E-6</v>
      </c>
      <c r="DQ163" s="524">
        <v>8.5033599816590477E-6</v>
      </c>
      <c r="DR163" s="524">
        <v>8.2386727867263254E-6</v>
      </c>
      <c r="DS163" s="524">
        <v>1.2899524297875133E-3</v>
      </c>
      <c r="DT163" s="524">
        <v>1.3997377025819387E-5</v>
      </c>
      <c r="DU163" s="525">
        <v>1.4235455775132508E-5</v>
      </c>
      <c r="DV163" s="526">
        <v>3.5</v>
      </c>
      <c r="DW163" s="507">
        <v>1</v>
      </c>
      <c r="DX163" s="509">
        <v>9.7799999999999994</v>
      </c>
      <c r="DY163" s="507">
        <v>2</v>
      </c>
      <c r="DZ163" s="507">
        <v>15</v>
      </c>
      <c r="EA163" s="507">
        <v>0</v>
      </c>
      <c r="EB163" s="507">
        <v>0</v>
      </c>
      <c r="EC163" s="507">
        <v>111.62500000000001</v>
      </c>
      <c r="ED163" s="507">
        <v>102.18750000000001</v>
      </c>
      <c r="EE163" s="507">
        <v>0</v>
      </c>
      <c r="EF163" s="507">
        <v>25.062499999999996</v>
      </c>
      <c r="EG163" s="507">
        <v>29.3125</v>
      </c>
      <c r="EH163" s="507">
        <v>12.8125</v>
      </c>
      <c r="EI163" s="507">
        <v>16.6875</v>
      </c>
      <c r="EJ163" s="507">
        <v>56.4375</v>
      </c>
      <c r="EK163" s="507">
        <v>10.4375</v>
      </c>
      <c r="EL163" s="507">
        <v>10.4375</v>
      </c>
      <c r="EM163" s="508">
        <v>375</v>
      </c>
    </row>
    <row r="164" spans="2:143" x14ac:dyDescent="0.25">
      <c r="B164" s="506" t="str">
        <f>[1]RONET_Input!J135</f>
        <v>213TT00005</v>
      </c>
      <c r="C164" s="359">
        <f>[1]RONET_Input!B135</f>
        <v>133</v>
      </c>
      <c r="D164" s="397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442">
        <f>[1]RONET_Input!K135</f>
        <v>3.0044618617700001E-2</v>
      </c>
      <c r="Q164" s="398">
        <f>[1]RONET_Input!Y135</f>
        <v>2</v>
      </c>
      <c r="R164" s="398">
        <f>[1]RONET_Input!X135</f>
        <v>3.8</v>
      </c>
      <c r="S164" s="398"/>
      <c r="T164" s="398"/>
      <c r="U164" s="398">
        <f>[1]RONET_Input!AA135</f>
        <v>6</v>
      </c>
      <c r="V164" s="398">
        <f>[1]RONET_Input!AC135</f>
        <v>1</v>
      </c>
      <c r="W164" s="398">
        <f>[1]RONET_Input!AD135</f>
        <v>1</v>
      </c>
      <c r="X164" s="398">
        <f>[1]RONET_Input!AE135</f>
        <v>4</v>
      </c>
      <c r="Y164" s="398">
        <f>[1]RONET_Input!AB135</f>
        <v>1</v>
      </c>
      <c r="Z164" s="438">
        <f>[1]RONET_Input!Z135</f>
        <v>3</v>
      </c>
      <c r="AA164" s="442"/>
      <c r="AB164" s="398"/>
      <c r="AC164" s="438"/>
      <c r="AD164" s="442">
        <f>[1]RONET_Input!AH135</f>
        <v>4</v>
      </c>
      <c r="AE164" s="398">
        <f>[1]RONET_Input!D135</f>
        <v>9.7799999999999994</v>
      </c>
      <c r="AF164" s="398"/>
      <c r="AG164" s="398"/>
      <c r="AH164" s="398"/>
      <c r="AI164" s="438"/>
      <c r="AJ164" s="442">
        <v>1</v>
      </c>
      <c r="AK164" s="442">
        <f>[1]RONET_Input!AF135</f>
        <v>6</v>
      </c>
      <c r="AL164" s="507"/>
      <c r="AM164" s="507"/>
      <c r="AN164" s="507"/>
      <c r="AO164" s="507"/>
      <c r="AP164" s="507"/>
      <c r="AQ164" s="507"/>
      <c r="AR164" s="507"/>
      <c r="AS164" s="507"/>
      <c r="AT164" s="507"/>
      <c r="AU164" s="507"/>
      <c r="AV164" s="507"/>
      <c r="AW164" s="507"/>
      <c r="AX164" s="508"/>
      <c r="AY164" s="509">
        <f>[1]RONET_Input!AG135</f>
        <v>3</v>
      </c>
      <c r="AZ164" s="359" t="s">
        <v>321</v>
      </c>
      <c r="BA164" s="360" t="s">
        <v>506</v>
      </c>
      <c r="BB164" s="360" t="s">
        <v>447</v>
      </c>
      <c r="BC164" s="510">
        <v>1.6326245756858181E-3</v>
      </c>
      <c r="BD164" s="510">
        <v>5.4339999999999999E-2</v>
      </c>
      <c r="BE164" s="438">
        <v>1</v>
      </c>
      <c r="BF164" s="511">
        <v>2.5241828021302919E-2</v>
      </c>
      <c r="BG164" s="512">
        <v>0.84014473082485253</v>
      </c>
      <c r="BH164" s="512">
        <v>15.460889415253082</v>
      </c>
      <c r="BI164" s="513">
        <v>0</v>
      </c>
      <c r="BJ164" s="514">
        <v>2000.0000000000002</v>
      </c>
      <c r="BK164" s="515">
        <v>0.22366666666666662</v>
      </c>
      <c r="BL164" s="512">
        <v>2.1932571590921005E-2</v>
      </c>
      <c r="BM164" s="516">
        <v>0.17095505000000003</v>
      </c>
      <c r="BN164" s="517">
        <v>2000.0000000000002</v>
      </c>
      <c r="BO164" s="518">
        <v>2120.0000000000005</v>
      </c>
      <c r="BP164" s="518">
        <v>2247.1999999999998</v>
      </c>
      <c r="BQ164" s="518">
        <v>2382.0320000000002</v>
      </c>
      <c r="BR164" s="518">
        <v>2524.9539199999995</v>
      </c>
      <c r="BS164" s="518">
        <v>2676.4511551999999</v>
      </c>
      <c r="BT164" s="518">
        <v>2837.0382245120009</v>
      </c>
      <c r="BU164" s="518">
        <v>3007.2605179827201</v>
      </c>
      <c r="BV164" s="518">
        <v>3187.6961490616836</v>
      </c>
      <c r="BW164" s="518">
        <v>3378.9579180053843</v>
      </c>
      <c r="BX164" s="518">
        <v>3581.6953930857071</v>
      </c>
      <c r="BY164" s="518">
        <v>3796.59711667085</v>
      </c>
      <c r="BZ164" s="518">
        <v>4024.3929436711001</v>
      </c>
      <c r="CA164" s="518">
        <v>4265.8565202913678</v>
      </c>
      <c r="CB164" s="518">
        <v>4521.8079115088494</v>
      </c>
      <c r="CC164" s="518">
        <v>4793.11638619938</v>
      </c>
      <c r="CD164" s="518">
        <v>5080.703369371342</v>
      </c>
      <c r="CE164" s="518">
        <v>5385.5455715336238</v>
      </c>
      <c r="CF164" s="518">
        <v>5708.6783058256406</v>
      </c>
      <c r="CG164" s="519">
        <v>6051.1990041751797</v>
      </c>
      <c r="CH164" s="520">
        <v>2</v>
      </c>
      <c r="CI164" s="521">
        <v>2.0499999999999998</v>
      </c>
      <c r="CJ164" s="521">
        <v>2.1012499999999998</v>
      </c>
      <c r="CK164" s="521">
        <v>2.1537812499999998</v>
      </c>
      <c r="CL164" s="521">
        <v>2.20762578125</v>
      </c>
      <c r="CM164" s="521">
        <v>2.2628164257812502</v>
      </c>
      <c r="CN164" s="521">
        <v>2.3193868364257813</v>
      </c>
      <c r="CO164" s="521">
        <v>2.3773715073364259</v>
      </c>
      <c r="CP164" s="521">
        <v>2.5</v>
      </c>
      <c r="CQ164" s="521">
        <v>2.5625</v>
      </c>
      <c r="CR164" s="521">
        <v>2.6265624999999999</v>
      </c>
      <c r="CS164" s="521">
        <v>2.6922265624999997</v>
      </c>
      <c r="CT164" s="521">
        <v>2.7595322265624995</v>
      </c>
      <c r="CU164" s="521">
        <v>2.8285205322265621</v>
      </c>
      <c r="CV164" s="521">
        <v>2.8992335455322262</v>
      </c>
      <c r="CW164" s="521">
        <v>2.9717143841705318</v>
      </c>
      <c r="CX164" s="521">
        <v>2.5</v>
      </c>
      <c r="CY164" s="521">
        <v>2.5625</v>
      </c>
      <c r="CZ164" s="521">
        <v>2.6265624999999999</v>
      </c>
      <c r="DA164" s="522">
        <v>2.6922265624999997</v>
      </c>
      <c r="DB164" s="523">
        <v>5.7014915648318822E-4</v>
      </c>
      <c r="DC164" s="524">
        <v>2.2935908199634026E-3</v>
      </c>
      <c r="DD164" s="524">
        <v>2.5585172512134283E-3</v>
      </c>
      <c r="DE164" s="524">
        <v>2.8536975956689834E-3</v>
      </c>
      <c r="DF164" s="524">
        <v>3.1825569627477231E-3</v>
      </c>
      <c r="DG164" s="524">
        <v>3.5489008925781249E-3</v>
      </c>
      <c r="DH164" s="524">
        <v>3.9569540732763437E-3</v>
      </c>
      <c r="DI164" s="524">
        <v>4.4114012999437232E-3</v>
      </c>
      <c r="DJ164" s="524">
        <v>3.921258682202805E-3</v>
      </c>
      <c r="DK164" s="524">
        <v>5.6191880742859392E-3</v>
      </c>
      <c r="DL164" s="524">
        <v>1.5264258297472896E-4</v>
      </c>
      <c r="DM164" s="524">
        <v>1.5998193714862607E-4</v>
      </c>
      <c r="DN164" s="524">
        <v>1.6762662391677646E-4</v>
      </c>
      <c r="DO164" s="524">
        <v>1.7558592712236393E-4</v>
      </c>
      <c r="DP164" s="524">
        <v>1.8386921556001051E-4</v>
      </c>
      <c r="DQ164" s="524">
        <v>1.9248594300350433E-4</v>
      </c>
      <c r="DR164" s="524">
        <v>-6.3574806599271325E-4</v>
      </c>
      <c r="DS164" s="524">
        <v>2.0293389132836175E-3</v>
      </c>
      <c r="DT164" s="524">
        <v>2.1955230331555109E-4</v>
      </c>
      <c r="DU164" s="525">
        <v>2.2802416497523167E-4</v>
      </c>
      <c r="DV164" s="526">
        <v>3.8</v>
      </c>
      <c r="DW164" s="507">
        <v>3</v>
      </c>
      <c r="DX164" s="509">
        <v>9.7799999999999994</v>
      </c>
      <c r="DY164" s="507">
        <v>4</v>
      </c>
      <c r="DZ164" s="507">
        <v>15</v>
      </c>
      <c r="EA164" s="507">
        <v>0</v>
      </c>
      <c r="EB164" s="507">
        <v>0</v>
      </c>
      <c r="EC164" s="507">
        <v>595.33333333333337</v>
      </c>
      <c r="ED164" s="507">
        <v>545</v>
      </c>
      <c r="EE164" s="507">
        <v>0</v>
      </c>
      <c r="EF164" s="507">
        <v>133.66666666666666</v>
      </c>
      <c r="EG164" s="507">
        <v>156.33333333333331</v>
      </c>
      <c r="EH164" s="507">
        <v>68.333333333333329</v>
      </c>
      <c r="EI164" s="507">
        <v>89</v>
      </c>
      <c r="EJ164" s="507">
        <v>301</v>
      </c>
      <c r="EK164" s="507">
        <v>55.666666666666671</v>
      </c>
      <c r="EL164" s="507">
        <v>55.666666666666671</v>
      </c>
      <c r="EM164" s="508">
        <v>2000.0000000000002</v>
      </c>
    </row>
    <row r="165" spans="2:143" x14ac:dyDescent="0.25">
      <c r="B165" s="506" t="str">
        <f>[1]RONET_Input!J136</f>
        <v xml:space="preserve">Input VPROMMS: 214TT00083 (50.0 pct); 213TT00005 (50.0 pct); </v>
      </c>
      <c r="C165" s="359">
        <f>[1]RONET_Input!B136</f>
        <v>134</v>
      </c>
      <c r="D165" s="397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442">
        <f>[1]RONET_Input!K136</f>
        <v>0.27355188429499999</v>
      </c>
      <c r="Q165" s="398">
        <f>[1]RONET_Input!Y136</f>
        <v>2</v>
      </c>
      <c r="R165" s="398">
        <f>[1]RONET_Input!X136</f>
        <v>3.5</v>
      </c>
      <c r="S165" s="398"/>
      <c r="T165" s="398"/>
      <c r="U165" s="398">
        <f>[1]RONET_Input!AA136</f>
        <v>8</v>
      </c>
      <c r="V165" s="398">
        <f>[1]RONET_Input!AC136</f>
        <v>1</v>
      </c>
      <c r="W165" s="398">
        <f>[1]RONET_Input!AD136</f>
        <v>1</v>
      </c>
      <c r="X165" s="398">
        <f>[1]RONET_Input!AE136</f>
        <v>4</v>
      </c>
      <c r="Y165" s="398">
        <f>[1]RONET_Input!AB136</f>
        <v>1</v>
      </c>
      <c r="Z165" s="438">
        <f>[1]RONET_Input!Z136</f>
        <v>1</v>
      </c>
      <c r="AA165" s="442"/>
      <c r="AB165" s="398"/>
      <c r="AC165" s="438"/>
      <c r="AD165" s="442">
        <f>[1]RONET_Input!AH136</f>
        <v>4</v>
      </c>
      <c r="AE165" s="398">
        <f>[1]RONET_Input!D136</f>
        <v>8.9749999999999996</v>
      </c>
      <c r="AF165" s="398"/>
      <c r="AG165" s="398"/>
      <c r="AH165" s="398"/>
      <c r="AI165" s="438"/>
      <c r="AJ165" s="442">
        <v>1</v>
      </c>
      <c r="AK165" s="442">
        <f>[1]RONET_Input!AF136</f>
        <v>4</v>
      </c>
      <c r="AL165" s="507"/>
      <c r="AM165" s="507"/>
      <c r="AN165" s="507"/>
      <c r="AO165" s="507"/>
      <c r="AP165" s="507"/>
      <c r="AQ165" s="507"/>
      <c r="AR165" s="507"/>
      <c r="AS165" s="507"/>
      <c r="AT165" s="507"/>
      <c r="AU165" s="507"/>
      <c r="AV165" s="507"/>
      <c r="AW165" s="507"/>
      <c r="AX165" s="508"/>
      <c r="AY165" s="509">
        <f>[1]RONET_Input!AG136</f>
        <v>3</v>
      </c>
      <c r="AZ165" s="359" t="s">
        <v>321</v>
      </c>
      <c r="BA165" s="360" t="s">
        <v>502</v>
      </c>
      <c r="BB165" s="360" t="s">
        <v>443</v>
      </c>
      <c r="BC165" s="510">
        <v>1.3691271808964749E-2</v>
      </c>
      <c r="BD165" s="510">
        <v>5.0049999999999997E-2</v>
      </c>
      <c r="BE165" s="438">
        <v>5</v>
      </c>
      <c r="BF165" s="511">
        <v>0.12283074234047306</v>
      </c>
      <c r="BG165" s="512">
        <v>0.44902173734622003</v>
      </c>
      <c r="BH165" s="512">
        <v>8.9714632836407606</v>
      </c>
      <c r="BI165" s="513">
        <v>0</v>
      </c>
      <c r="BJ165" s="514">
        <v>375</v>
      </c>
      <c r="BK165" s="515">
        <v>0.22366666666666665</v>
      </c>
      <c r="BL165" s="512">
        <v>3.7442414162878121E-2</v>
      </c>
      <c r="BM165" s="516">
        <v>3.2054071874999999E-2</v>
      </c>
      <c r="BN165" s="517">
        <v>375</v>
      </c>
      <c r="BO165" s="518">
        <v>397.50000000000011</v>
      </c>
      <c r="BP165" s="518">
        <v>421.34999999999991</v>
      </c>
      <c r="BQ165" s="518">
        <v>446.63099999999997</v>
      </c>
      <c r="BR165" s="518">
        <v>473.42885999999999</v>
      </c>
      <c r="BS165" s="518">
        <v>501.83459160000012</v>
      </c>
      <c r="BT165" s="518">
        <v>531.9446670960001</v>
      </c>
      <c r="BU165" s="518">
        <v>563.86134712175999</v>
      </c>
      <c r="BV165" s="518">
        <v>597.69302794906582</v>
      </c>
      <c r="BW165" s="518">
        <v>633.55460962600955</v>
      </c>
      <c r="BX165" s="518">
        <v>671.56788620357008</v>
      </c>
      <c r="BY165" s="518">
        <v>711.86195937578441</v>
      </c>
      <c r="BZ165" s="518">
        <v>754.57367693833146</v>
      </c>
      <c r="CA165" s="518">
        <v>799.84809755463141</v>
      </c>
      <c r="CB165" s="518">
        <v>847.83898340790915</v>
      </c>
      <c r="CC165" s="518">
        <v>898.70932241238381</v>
      </c>
      <c r="CD165" s="518">
        <v>952.63188175712685</v>
      </c>
      <c r="CE165" s="518">
        <v>1009.7897946625544</v>
      </c>
      <c r="CF165" s="518">
        <v>1070.3771823423076</v>
      </c>
      <c r="CG165" s="519">
        <v>1134.5998132828461</v>
      </c>
      <c r="CH165" s="520">
        <v>8.9749999999999996</v>
      </c>
      <c r="CI165" s="521">
        <v>9.1545000000000005</v>
      </c>
      <c r="CJ165" s="521">
        <v>9.3375900000000005</v>
      </c>
      <c r="CK165" s="521">
        <v>9.5243418000000002</v>
      </c>
      <c r="CL165" s="521">
        <v>2.5</v>
      </c>
      <c r="CM165" s="521">
        <v>2.5499999999999998</v>
      </c>
      <c r="CN165" s="521">
        <v>2.601</v>
      </c>
      <c r="CO165" s="521">
        <v>2.6530200000000002</v>
      </c>
      <c r="CP165" s="521">
        <v>2.7060804000000003</v>
      </c>
      <c r="CQ165" s="521">
        <v>2.7602020080000003</v>
      </c>
      <c r="CR165" s="521">
        <v>2.8154060481600003</v>
      </c>
      <c r="CS165" s="521">
        <v>2.8717141691232002</v>
      </c>
      <c r="CT165" s="521">
        <v>2.5</v>
      </c>
      <c r="CU165" s="521">
        <v>2.5499999999999998</v>
      </c>
      <c r="CV165" s="521">
        <v>2.601</v>
      </c>
      <c r="CW165" s="521">
        <v>2.6530200000000002</v>
      </c>
      <c r="CX165" s="521">
        <v>2.7060804000000003</v>
      </c>
      <c r="CY165" s="521">
        <v>2.7602020080000003</v>
      </c>
      <c r="CZ165" s="521">
        <v>2.8154060481600003</v>
      </c>
      <c r="DA165" s="522">
        <v>2.8717141691232002</v>
      </c>
      <c r="DB165" s="523">
        <v>0</v>
      </c>
      <c r="DC165" s="524">
        <v>0</v>
      </c>
      <c r="DD165" s="524">
        <v>0</v>
      </c>
      <c r="DE165" s="524">
        <v>0</v>
      </c>
      <c r="DF165" s="524">
        <v>-8.1759403129814771E-3</v>
      </c>
      <c r="DG165" s="524">
        <v>4.7294226148591155E-3</v>
      </c>
      <c r="DH165" s="524">
        <v>5.2218318787206099E-3</v>
      </c>
      <c r="DI165" s="524">
        <v>5.7650792853175363E-3</v>
      </c>
      <c r="DJ165" s="524">
        <v>6.3643815367066571E-3</v>
      </c>
      <c r="DK165" s="524">
        <v>0.18668257746921113</v>
      </c>
      <c r="DL165" s="524">
        <v>4.7073351709146088E-5</v>
      </c>
      <c r="DM165" s="524">
        <v>3.3907638804848983E-5</v>
      </c>
      <c r="DN165" s="524">
        <v>-1.2286258660335093E-2</v>
      </c>
      <c r="DO165" s="524">
        <v>1.7180016087302991E-4</v>
      </c>
      <c r="DP165" s="524">
        <v>1.6960449402363131E-4</v>
      </c>
      <c r="DQ165" s="524">
        <v>1.6602647255058167E-4</v>
      </c>
      <c r="DR165" s="524">
        <v>1.6085850584109801E-4</v>
      </c>
      <c r="DS165" s="524">
        <v>2.5186073756445493E-2</v>
      </c>
      <c r="DT165" s="524">
        <v>2.7329610149045419E-4</v>
      </c>
      <c r="DU165" s="525">
        <v>2.7794454340317187E-4</v>
      </c>
      <c r="DV165" s="526">
        <v>3.5</v>
      </c>
      <c r="DW165" s="507">
        <v>1</v>
      </c>
      <c r="DX165" s="509">
        <v>8.9749999999999996</v>
      </c>
      <c r="DY165" s="507">
        <v>2</v>
      </c>
      <c r="DZ165" s="507">
        <v>15</v>
      </c>
      <c r="EA165" s="507">
        <v>0</v>
      </c>
      <c r="EB165" s="507">
        <v>0</v>
      </c>
      <c r="EC165" s="507">
        <v>111.62500000000001</v>
      </c>
      <c r="ED165" s="507">
        <v>102.18750000000001</v>
      </c>
      <c r="EE165" s="507">
        <v>0</v>
      </c>
      <c r="EF165" s="507">
        <v>25.062499999999996</v>
      </c>
      <c r="EG165" s="507">
        <v>29.3125</v>
      </c>
      <c r="EH165" s="507">
        <v>12.8125</v>
      </c>
      <c r="EI165" s="507">
        <v>16.6875</v>
      </c>
      <c r="EJ165" s="507">
        <v>56.4375</v>
      </c>
      <c r="EK165" s="507">
        <v>10.4375</v>
      </c>
      <c r="EL165" s="507">
        <v>10.4375</v>
      </c>
      <c r="EM165" s="508">
        <v>375</v>
      </c>
    </row>
    <row r="166" spans="2:143" x14ac:dyDescent="0.25">
      <c r="B166" s="506" t="str">
        <f>[1]RONET_Input!J137</f>
        <v xml:space="preserve">Input VPROMMS: QL45_2 (50.0 pct); ql45_1 (50.0 pct); </v>
      </c>
      <c r="C166" s="359">
        <f>[1]RONET_Input!B137</f>
        <v>135</v>
      </c>
      <c r="D166" s="397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442">
        <f>[1]RONET_Input!K137</f>
        <v>0.37136115238700002</v>
      </c>
      <c r="Q166" s="398">
        <f>[1]RONET_Input!Y137</f>
        <v>2</v>
      </c>
      <c r="R166" s="398">
        <f>[1]RONET_Input!X137</f>
        <v>3.5</v>
      </c>
      <c r="S166" s="398"/>
      <c r="T166" s="398"/>
      <c r="U166" s="398">
        <f>[1]RONET_Input!AA137</f>
        <v>8</v>
      </c>
      <c r="V166" s="398">
        <f>[1]RONET_Input!AC137</f>
        <v>1</v>
      </c>
      <c r="W166" s="398">
        <f>[1]RONET_Input!AD137</f>
        <v>1</v>
      </c>
      <c r="X166" s="398">
        <f>[1]RONET_Input!AE137</f>
        <v>4</v>
      </c>
      <c r="Y166" s="398">
        <f>[1]RONET_Input!AB137</f>
        <v>1</v>
      </c>
      <c r="Z166" s="438">
        <f>[1]RONET_Input!Z137</f>
        <v>1</v>
      </c>
      <c r="AA166" s="442"/>
      <c r="AB166" s="398"/>
      <c r="AC166" s="438"/>
      <c r="AD166" s="442">
        <f>[1]RONET_Input!AH137</f>
        <v>3</v>
      </c>
      <c r="AE166" s="398">
        <f>[1]RONET_Input!D137</f>
        <v>0</v>
      </c>
      <c r="AF166" s="398"/>
      <c r="AG166" s="398"/>
      <c r="AH166" s="398"/>
      <c r="AI166" s="438"/>
      <c r="AJ166" s="442">
        <v>1</v>
      </c>
      <c r="AK166" s="442">
        <f>[1]RONET_Input!AF137</f>
        <v>4</v>
      </c>
      <c r="AL166" s="507"/>
      <c r="AM166" s="507"/>
      <c r="AN166" s="507"/>
      <c r="AO166" s="507"/>
      <c r="AP166" s="507"/>
      <c r="AQ166" s="507"/>
      <c r="AR166" s="507"/>
      <c r="AS166" s="507"/>
      <c r="AT166" s="507"/>
      <c r="AU166" s="507"/>
      <c r="AV166" s="507"/>
      <c r="AW166" s="507"/>
      <c r="AX166" s="508"/>
      <c r="AY166" s="509">
        <f>[1]RONET_Input!AG137</f>
        <v>3</v>
      </c>
      <c r="AZ166" s="359" t="s">
        <v>321</v>
      </c>
      <c r="BA166" s="360" t="s">
        <v>502</v>
      </c>
      <c r="BB166" s="360" t="s">
        <v>443</v>
      </c>
      <c r="BC166" s="510">
        <v>1.8586625676969355E-2</v>
      </c>
      <c r="BD166" s="510">
        <v>5.0050000000000011E-2</v>
      </c>
      <c r="BE166" s="438">
        <v>6</v>
      </c>
      <c r="BF166" s="511">
        <v>0.14688957090446089</v>
      </c>
      <c r="BG166" s="512">
        <v>0.39554371791529092</v>
      </c>
      <c r="BH166" s="512">
        <v>7.9029713869188978</v>
      </c>
      <c r="BI166" s="513">
        <v>0</v>
      </c>
      <c r="BJ166" s="514">
        <v>375</v>
      </c>
      <c r="BK166" s="515">
        <v>0.22366666666666665</v>
      </c>
      <c r="BL166" s="512">
        <v>5.0830057732970634E-2</v>
      </c>
      <c r="BM166" s="516">
        <v>3.2054071874999999E-2</v>
      </c>
      <c r="BN166" s="517">
        <v>375</v>
      </c>
      <c r="BO166" s="518">
        <v>397.50000000000011</v>
      </c>
      <c r="BP166" s="518">
        <v>421.34999999999991</v>
      </c>
      <c r="BQ166" s="518">
        <v>446.63099999999997</v>
      </c>
      <c r="BR166" s="518">
        <v>473.42885999999999</v>
      </c>
      <c r="BS166" s="518">
        <v>501.83459160000012</v>
      </c>
      <c r="BT166" s="518">
        <v>531.9446670960001</v>
      </c>
      <c r="BU166" s="518">
        <v>563.86134712175999</v>
      </c>
      <c r="BV166" s="518">
        <v>597.69302794906582</v>
      </c>
      <c r="BW166" s="518">
        <v>633.55460962600955</v>
      </c>
      <c r="BX166" s="518">
        <v>671.56788620357008</v>
      </c>
      <c r="BY166" s="518">
        <v>711.86195937578441</v>
      </c>
      <c r="BZ166" s="518">
        <v>754.57367693833146</v>
      </c>
      <c r="CA166" s="518">
        <v>799.84809755463141</v>
      </c>
      <c r="CB166" s="518">
        <v>847.83898340790915</v>
      </c>
      <c r="CC166" s="518">
        <v>898.70932241238381</v>
      </c>
      <c r="CD166" s="518">
        <v>952.63188175712685</v>
      </c>
      <c r="CE166" s="518">
        <v>1009.7897946625544</v>
      </c>
      <c r="CF166" s="518">
        <v>1070.3771823423076</v>
      </c>
      <c r="CG166" s="519">
        <v>1134.5998132828461</v>
      </c>
      <c r="CH166" s="520">
        <v>4.5</v>
      </c>
      <c r="CI166" s="521">
        <v>4.59</v>
      </c>
      <c r="CJ166" s="521">
        <v>4.6818</v>
      </c>
      <c r="CK166" s="521">
        <v>4.775436</v>
      </c>
      <c r="CL166" s="521">
        <v>4.8709447199999998</v>
      </c>
      <c r="CM166" s="521">
        <v>2.5</v>
      </c>
      <c r="CN166" s="521">
        <v>2.5499999999999998</v>
      </c>
      <c r="CO166" s="521">
        <v>2.601</v>
      </c>
      <c r="CP166" s="521">
        <v>2.6530200000000002</v>
      </c>
      <c r="CQ166" s="521">
        <v>2.7060804000000003</v>
      </c>
      <c r="CR166" s="521">
        <v>2.7602020080000003</v>
      </c>
      <c r="CS166" s="521">
        <v>2.8154060481600003</v>
      </c>
      <c r="CT166" s="521">
        <v>2.8717141691232002</v>
      </c>
      <c r="CU166" s="521">
        <v>2.5</v>
      </c>
      <c r="CV166" s="521">
        <v>2.5499999999999998</v>
      </c>
      <c r="CW166" s="521">
        <v>2.601</v>
      </c>
      <c r="CX166" s="521">
        <v>2.6530200000000002</v>
      </c>
      <c r="CY166" s="521">
        <v>2.7060804000000003</v>
      </c>
      <c r="CZ166" s="521">
        <v>2.7602020080000003</v>
      </c>
      <c r="DA166" s="522">
        <v>2.8154060481600003</v>
      </c>
      <c r="DB166" s="523">
        <v>0</v>
      </c>
      <c r="DC166" s="524">
        <v>0</v>
      </c>
      <c r="DD166" s="524">
        <v>0</v>
      </c>
      <c r="DE166" s="524">
        <v>0</v>
      </c>
      <c r="DF166" s="524">
        <v>0</v>
      </c>
      <c r="DG166" s="524">
        <v>-1.5696416520910535E-2</v>
      </c>
      <c r="DH166" s="524">
        <v>1.3484933912077252E-3</v>
      </c>
      <c r="DI166" s="524">
        <v>1.4934078214372051E-3</v>
      </c>
      <c r="DJ166" s="524">
        <v>1.6535949169936767E-3</v>
      </c>
      <c r="DK166" s="524">
        <v>0.25345390211368762</v>
      </c>
      <c r="DL166" s="524">
        <v>8.8845302952000882E-5</v>
      </c>
      <c r="DM166" s="524">
        <v>7.3756813579552161E-5</v>
      </c>
      <c r="DN166" s="524">
        <v>5.5682242457263942E-5</v>
      </c>
      <c r="DO166" s="524">
        <v>-1.6657302025709676E-2</v>
      </c>
      <c r="DP166" s="524">
        <v>2.561922526227306E-4</v>
      </c>
      <c r="DQ166" s="524">
        <v>2.5427032837251756E-4</v>
      </c>
      <c r="DR166" s="524">
        <v>2.5051071023570598E-4</v>
      </c>
      <c r="DS166" s="524">
        <v>3.4227175231473297E-2</v>
      </c>
      <c r="DT166" s="524">
        <v>4.1076566105689716E-4</v>
      </c>
      <c r="DU166" s="525">
        <v>4.2151449546408426E-4</v>
      </c>
      <c r="DV166" s="526">
        <v>3.5</v>
      </c>
      <c r="DW166" s="507">
        <v>1</v>
      </c>
      <c r="DX166" s="509">
        <v>4.5</v>
      </c>
      <c r="DY166" s="507">
        <v>2</v>
      </c>
      <c r="DZ166" s="507">
        <v>10</v>
      </c>
      <c r="EA166" s="507">
        <v>0</v>
      </c>
      <c r="EB166" s="507">
        <v>0</v>
      </c>
      <c r="EC166" s="507">
        <v>111.62500000000001</v>
      </c>
      <c r="ED166" s="507">
        <v>102.18750000000001</v>
      </c>
      <c r="EE166" s="507">
        <v>0</v>
      </c>
      <c r="EF166" s="507">
        <v>25.062499999999996</v>
      </c>
      <c r="EG166" s="507">
        <v>29.3125</v>
      </c>
      <c r="EH166" s="507">
        <v>12.8125</v>
      </c>
      <c r="EI166" s="507">
        <v>16.6875</v>
      </c>
      <c r="EJ166" s="507">
        <v>56.4375</v>
      </c>
      <c r="EK166" s="507">
        <v>10.4375</v>
      </c>
      <c r="EL166" s="507">
        <v>10.4375</v>
      </c>
      <c r="EM166" s="508">
        <v>375</v>
      </c>
    </row>
    <row r="167" spans="2:143" x14ac:dyDescent="0.25">
      <c r="B167" s="506" t="str">
        <f>[1]RONET_Input!J138</f>
        <v>214tt00085</v>
      </c>
      <c r="C167" s="359">
        <f>[1]RONET_Input!B138</f>
        <v>136</v>
      </c>
      <c r="D167" s="397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442">
        <f>[1]RONET_Input!K138</f>
        <v>0.68814607728400012</v>
      </c>
      <c r="Q167" s="398">
        <f>[1]RONET_Input!Y138</f>
        <v>1</v>
      </c>
      <c r="R167" s="398">
        <f>[1]RONET_Input!X138</f>
        <v>3.4</v>
      </c>
      <c r="S167" s="398"/>
      <c r="T167" s="398"/>
      <c r="U167" s="398">
        <f>[1]RONET_Input!AA138</f>
        <v>8</v>
      </c>
      <c r="V167" s="398">
        <f>[1]RONET_Input!AC138</f>
        <v>1</v>
      </c>
      <c r="W167" s="398">
        <f>[1]RONET_Input!AD138</f>
        <v>1</v>
      </c>
      <c r="X167" s="398">
        <f>[1]RONET_Input!AE138</f>
        <v>4</v>
      </c>
      <c r="Y167" s="398">
        <f>[1]RONET_Input!AB138</f>
        <v>1</v>
      </c>
      <c r="Z167" s="438">
        <f>[1]RONET_Input!Z138</f>
        <v>1</v>
      </c>
      <c r="AA167" s="442"/>
      <c r="AB167" s="398"/>
      <c r="AC167" s="438"/>
      <c r="AD167" s="442">
        <f>[1]RONET_Input!AH138</f>
        <v>3</v>
      </c>
      <c r="AE167" s="398">
        <f>[1]RONET_Input!D138</f>
        <v>6.55</v>
      </c>
      <c r="AF167" s="398"/>
      <c r="AG167" s="398"/>
      <c r="AH167" s="398"/>
      <c r="AI167" s="438"/>
      <c r="AJ167" s="442">
        <v>1</v>
      </c>
      <c r="AK167" s="442">
        <f>[1]RONET_Input!AF138</f>
        <v>4</v>
      </c>
      <c r="AL167" s="507"/>
      <c r="AM167" s="507"/>
      <c r="AN167" s="507"/>
      <c r="AO167" s="507"/>
      <c r="AP167" s="507"/>
      <c r="AQ167" s="507"/>
      <c r="AR167" s="507"/>
      <c r="AS167" s="507"/>
      <c r="AT167" s="507"/>
      <c r="AU167" s="507"/>
      <c r="AV167" s="507"/>
      <c r="AW167" s="507"/>
      <c r="AX167" s="508"/>
      <c r="AY167" s="509">
        <f>[1]RONET_Input!AG138</f>
        <v>3</v>
      </c>
      <c r="AZ167" s="359" t="s">
        <v>321</v>
      </c>
      <c r="BA167" s="360" t="s">
        <v>502</v>
      </c>
      <c r="BB167" s="360" t="s">
        <v>443</v>
      </c>
      <c r="BC167" s="510">
        <v>3.3457662277548081E-2</v>
      </c>
      <c r="BD167" s="510">
        <v>4.861999999999999E-2</v>
      </c>
      <c r="BE167" s="438">
        <v>5</v>
      </c>
      <c r="BF167" s="511">
        <v>0.2990263194718395</v>
      </c>
      <c r="BG167" s="512">
        <v>0.43453901626824265</v>
      </c>
      <c r="BH167" s="512">
        <v>8.9374540573476491</v>
      </c>
      <c r="BI167" s="513">
        <v>0</v>
      </c>
      <c r="BJ167" s="514">
        <v>375</v>
      </c>
      <c r="BK167" s="515">
        <v>0.22366666666666665</v>
      </c>
      <c r="BL167" s="512">
        <v>9.4189994328247525E-2</v>
      </c>
      <c r="BM167" s="516">
        <v>6.4108143749999999E-2</v>
      </c>
      <c r="BN167" s="517">
        <v>375</v>
      </c>
      <c r="BO167" s="518">
        <v>397.50000000000011</v>
      </c>
      <c r="BP167" s="518">
        <v>421.34999999999991</v>
      </c>
      <c r="BQ167" s="518">
        <v>446.63099999999997</v>
      </c>
      <c r="BR167" s="518">
        <v>473.42885999999999</v>
      </c>
      <c r="BS167" s="518">
        <v>501.83459160000012</v>
      </c>
      <c r="BT167" s="518">
        <v>531.9446670960001</v>
      </c>
      <c r="BU167" s="518">
        <v>563.86134712175999</v>
      </c>
      <c r="BV167" s="518">
        <v>597.69302794906582</v>
      </c>
      <c r="BW167" s="518">
        <v>633.55460962600955</v>
      </c>
      <c r="BX167" s="518">
        <v>671.56788620357008</v>
      </c>
      <c r="BY167" s="518">
        <v>711.86195937578441</v>
      </c>
      <c r="BZ167" s="518">
        <v>754.57367693833146</v>
      </c>
      <c r="CA167" s="518">
        <v>799.84809755463141</v>
      </c>
      <c r="CB167" s="518">
        <v>847.83898340790915</v>
      </c>
      <c r="CC167" s="518">
        <v>898.70932241238381</v>
      </c>
      <c r="CD167" s="518">
        <v>952.63188175712685</v>
      </c>
      <c r="CE167" s="518">
        <v>1009.7897946625544</v>
      </c>
      <c r="CF167" s="518">
        <v>1070.3771823423076</v>
      </c>
      <c r="CG167" s="519">
        <v>1134.5998132828461</v>
      </c>
      <c r="CH167" s="520">
        <v>6.55</v>
      </c>
      <c r="CI167" s="521">
        <v>6.681</v>
      </c>
      <c r="CJ167" s="521">
        <v>6.8146199999999997</v>
      </c>
      <c r="CK167" s="521">
        <v>6.9509124</v>
      </c>
      <c r="CL167" s="521">
        <v>2.5</v>
      </c>
      <c r="CM167" s="521">
        <v>2.5499999999999998</v>
      </c>
      <c r="CN167" s="521">
        <v>2.601</v>
      </c>
      <c r="CO167" s="521">
        <v>2.6530200000000002</v>
      </c>
      <c r="CP167" s="521">
        <v>2.7060804000000003</v>
      </c>
      <c r="CQ167" s="521">
        <v>2.7602020080000003</v>
      </c>
      <c r="CR167" s="521">
        <v>2.8154060481600003</v>
      </c>
      <c r="CS167" s="521">
        <v>2.8717141691232002</v>
      </c>
      <c r="CT167" s="521">
        <v>2.5</v>
      </c>
      <c r="CU167" s="521">
        <v>2.5499999999999998</v>
      </c>
      <c r="CV167" s="521">
        <v>2.601</v>
      </c>
      <c r="CW167" s="521">
        <v>2.6530200000000002</v>
      </c>
      <c r="CX167" s="521">
        <v>2.7060804000000003</v>
      </c>
      <c r="CY167" s="521">
        <v>2.7602020080000003</v>
      </c>
      <c r="CZ167" s="521">
        <v>2.8154060481600003</v>
      </c>
      <c r="DA167" s="522">
        <v>2.8717141691232002</v>
      </c>
      <c r="DB167" s="523">
        <v>0</v>
      </c>
      <c r="DC167" s="524">
        <v>0</v>
      </c>
      <c r="DD167" s="524">
        <v>0</v>
      </c>
      <c r="DE167" s="524">
        <v>0</v>
      </c>
      <c r="DF167" s="524">
        <v>-2.4686137102027071E-2</v>
      </c>
      <c r="DG167" s="524">
        <v>6.3496688333090565E-3</v>
      </c>
      <c r="DH167" s="524">
        <v>6.9988306971298306E-3</v>
      </c>
      <c r="DI167" s="524">
        <v>7.7138638237661539E-3</v>
      </c>
      <c r="DJ167" s="524">
        <v>8.5014198185379836E-3</v>
      </c>
      <c r="DK167" s="524">
        <v>0.47153143690729871</v>
      </c>
      <c r="DL167" s="524">
        <v>2.0613533033902731E-3</v>
      </c>
      <c r="DM167" s="524">
        <v>2.0587017085947623E-3</v>
      </c>
      <c r="DN167" s="524">
        <v>-2.7917503325182988E-2</v>
      </c>
      <c r="DO167" s="524">
        <v>2.5657746049288777E-3</v>
      </c>
      <c r="DP167" s="524">
        <v>2.6010601792275656E-3</v>
      </c>
      <c r="DQ167" s="524">
        <v>2.6343844842950104E-3</v>
      </c>
      <c r="DR167" s="524">
        <v>2.6652464372524387E-3</v>
      </c>
      <c r="DS167" s="524">
        <v>6.5663999727795644E-2</v>
      </c>
      <c r="DT167" s="524">
        <v>3.0404963640677518E-3</v>
      </c>
      <c r="DU167" s="525">
        <v>3.1007513656521324E-3</v>
      </c>
      <c r="DV167" s="526">
        <v>3.4</v>
      </c>
      <c r="DW167" s="507">
        <v>1</v>
      </c>
      <c r="DX167" s="509">
        <v>6.55</v>
      </c>
      <c r="DY167" s="507">
        <v>2</v>
      </c>
      <c r="DZ167" s="507">
        <v>10</v>
      </c>
      <c r="EA167" s="507">
        <v>0</v>
      </c>
      <c r="EB167" s="507">
        <v>0</v>
      </c>
      <c r="EC167" s="507">
        <v>111.62500000000001</v>
      </c>
      <c r="ED167" s="507">
        <v>102.18750000000001</v>
      </c>
      <c r="EE167" s="507">
        <v>0</v>
      </c>
      <c r="EF167" s="507">
        <v>25.062499999999996</v>
      </c>
      <c r="EG167" s="507">
        <v>29.3125</v>
      </c>
      <c r="EH167" s="507">
        <v>12.8125</v>
      </c>
      <c r="EI167" s="507">
        <v>16.6875</v>
      </c>
      <c r="EJ167" s="507">
        <v>56.4375</v>
      </c>
      <c r="EK167" s="507">
        <v>10.4375</v>
      </c>
      <c r="EL167" s="507">
        <v>10.4375</v>
      </c>
      <c r="EM167" s="508">
        <v>375</v>
      </c>
    </row>
    <row r="168" spans="2:143" x14ac:dyDescent="0.25">
      <c r="B168" s="506" t="str">
        <f>[1]RONET_Input!J139</f>
        <v xml:space="preserve">Input VPROMMS: 214TT00082 (51.85 pct); 214TT00083 (24.69 pct); 213TT00005 (23.46 pct); </v>
      </c>
      <c r="C168" s="359">
        <f>[1]RONET_Input!B139</f>
        <v>137</v>
      </c>
      <c r="D168" s="397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442">
        <f>[1]RONET_Input!K139</f>
        <v>0.83370313299199994</v>
      </c>
      <c r="Q168" s="398">
        <f>[1]RONET_Input!Y139</f>
        <v>2</v>
      </c>
      <c r="R168" s="398">
        <f>[1]RONET_Input!X139</f>
        <v>3.5</v>
      </c>
      <c r="S168" s="398"/>
      <c r="T168" s="398"/>
      <c r="U168" s="398">
        <f>[1]RONET_Input!AA139</f>
        <v>8</v>
      </c>
      <c r="V168" s="398">
        <f>[1]RONET_Input!AC139</f>
        <v>1</v>
      </c>
      <c r="W168" s="398">
        <f>[1]RONET_Input!AD139</f>
        <v>1</v>
      </c>
      <c r="X168" s="398">
        <f>[1]RONET_Input!AE139</f>
        <v>4</v>
      </c>
      <c r="Y168" s="398">
        <f>[1]RONET_Input!AB139</f>
        <v>1</v>
      </c>
      <c r="Z168" s="438">
        <f>[1]RONET_Input!Z139</f>
        <v>1</v>
      </c>
      <c r="AA168" s="442"/>
      <c r="AB168" s="398"/>
      <c r="AC168" s="438"/>
      <c r="AD168" s="442">
        <f>[1]RONET_Input!AH139</f>
        <v>3</v>
      </c>
      <c r="AE168" s="398">
        <f>[1]RONET_Input!D139</f>
        <v>7.3150000000000004</v>
      </c>
      <c r="AF168" s="398"/>
      <c r="AG168" s="398"/>
      <c r="AH168" s="398"/>
      <c r="AI168" s="438"/>
      <c r="AJ168" s="442">
        <v>1</v>
      </c>
      <c r="AK168" s="442">
        <f>[1]RONET_Input!AF139</f>
        <v>4</v>
      </c>
      <c r="AL168" s="507"/>
      <c r="AM168" s="507"/>
      <c r="AN168" s="507"/>
      <c r="AO168" s="507"/>
      <c r="AP168" s="507"/>
      <c r="AQ168" s="507"/>
      <c r="AR168" s="507"/>
      <c r="AS168" s="507"/>
      <c r="AT168" s="507"/>
      <c r="AU168" s="507"/>
      <c r="AV168" s="507"/>
      <c r="AW168" s="507"/>
      <c r="AX168" s="508"/>
      <c r="AY168" s="509">
        <f>[1]RONET_Input!AG139</f>
        <v>3</v>
      </c>
      <c r="AZ168" s="359" t="s">
        <v>321</v>
      </c>
      <c r="BA168" s="360" t="s">
        <v>502</v>
      </c>
      <c r="BB168" s="360" t="s">
        <v>443</v>
      </c>
      <c r="BC168" s="510">
        <v>4.1726841806249595E-2</v>
      </c>
      <c r="BD168" s="510">
        <v>5.0049999999999997E-2</v>
      </c>
      <c r="BE168" s="438">
        <v>5</v>
      </c>
      <c r="BF168" s="511">
        <v>0.35382434932024415</v>
      </c>
      <c r="BG168" s="512">
        <v>0.42440088722041469</v>
      </c>
      <c r="BH168" s="512">
        <v>8.4795382062020916</v>
      </c>
      <c r="BI168" s="513">
        <v>0</v>
      </c>
      <c r="BJ168" s="514">
        <v>375</v>
      </c>
      <c r="BK168" s="515">
        <v>0.22366666666666665</v>
      </c>
      <c r="BL168" s="512">
        <v>0.11411311632828001</v>
      </c>
      <c r="BM168" s="516">
        <v>3.2054071874999999E-2</v>
      </c>
      <c r="BN168" s="517">
        <v>375</v>
      </c>
      <c r="BO168" s="518">
        <v>397.50000000000011</v>
      </c>
      <c r="BP168" s="518">
        <v>421.34999999999991</v>
      </c>
      <c r="BQ168" s="518">
        <v>446.63099999999997</v>
      </c>
      <c r="BR168" s="518">
        <v>473.42885999999999</v>
      </c>
      <c r="BS168" s="518">
        <v>501.83459160000012</v>
      </c>
      <c r="BT168" s="518">
        <v>531.9446670960001</v>
      </c>
      <c r="BU168" s="518">
        <v>563.86134712175999</v>
      </c>
      <c r="BV168" s="518">
        <v>597.69302794906582</v>
      </c>
      <c r="BW168" s="518">
        <v>633.55460962600955</v>
      </c>
      <c r="BX168" s="518">
        <v>671.56788620357008</v>
      </c>
      <c r="BY168" s="518">
        <v>711.86195937578441</v>
      </c>
      <c r="BZ168" s="518">
        <v>754.57367693833146</v>
      </c>
      <c r="CA168" s="518">
        <v>799.84809755463141</v>
      </c>
      <c r="CB168" s="518">
        <v>847.83898340790915</v>
      </c>
      <c r="CC168" s="518">
        <v>898.70932241238381</v>
      </c>
      <c r="CD168" s="518">
        <v>952.63188175712685</v>
      </c>
      <c r="CE168" s="518">
        <v>1009.7897946625544</v>
      </c>
      <c r="CF168" s="518">
        <v>1070.3771823423076</v>
      </c>
      <c r="CG168" s="519">
        <v>1134.5998132828461</v>
      </c>
      <c r="CH168" s="520">
        <v>7.3150000000000004</v>
      </c>
      <c r="CI168" s="521">
        <v>7.4613000000000005</v>
      </c>
      <c r="CJ168" s="521">
        <v>7.6105260000000001</v>
      </c>
      <c r="CK168" s="521">
        <v>7.7627365199999998</v>
      </c>
      <c r="CL168" s="521">
        <v>2.5</v>
      </c>
      <c r="CM168" s="521">
        <v>2.5499999999999998</v>
      </c>
      <c r="CN168" s="521">
        <v>2.601</v>
      </c>
      <c r="CO168" s="521">
        <v>2.6530200000000002</v>
      </c>
      <c r="CP168" s="521">
        <v>2.7060804000000003</v>
      </c>
      <c r="CQ168" s="521">
        <v>2.7602020080000003</v>
      </c>
      <c r="CR168" s="521">
        <v>2.8154060481600003</v>
      </c>
      <c r="CS168" s="521">
        <v>2.8717141691232002</v>
      </c>
      <c r="CT168" s="521">
        <v>2.5</v>
      </c>
      <c r="CU168" s="521">
        <v>2.5499999999999998</v>
      </c>
      <c r="CV168" s="521">
        <v>2.601</v>
      </c>
      <c r="CW168" s="521">
        <v>2.6530200000000002</v>
      </c>
      <c r="CX168" s="521">
        <v>2.7060804000000003</v>
      </c>
      <c r="CY168" s="521">
        <v>2.7602020080000003</v>
      </c>
      <c r="CZ168" s="521">
        <v>2.8154060481600003</v>
      </c>
      <c r="DA168" s="522">
        <v>2.8717141691232002</v>
      </c>
      <c r="DB168" s="523">
        <v>0</v>
      </c>
      <c r="DC168" s="524">
        <v>0</v>
      </c>
      <c r="DD168" s="524">
        <v>0</v>
      </c>
      <c r="DE168" s="524">
        <v>0</v>
      </c>
      <c r="DF168" s="524">
        <v>-2.9698452990523469E-2</v>
      </c>
      <c r="DG168" s="524">
        <v>9.1414716280723562E-3</v>
      </c>
      <c r="DH168" s="524">
        <v>1.0100070672544773E-2</v>
      </c>
      <c r="DI168" s="524">
        <v>1.1158047457677289E-2</v>
      </c>
      <c r="DJ168" s="524">
        <v>1.2325631033881804E-2</v>
      </c>
      <c r="DK168" s="524">
        <v>0.56895184660202247</v>
      </c>
      <c r="DL168" s="524">
        <v>1.434652914253931E-4</v>
      </c>
      <c r="DM168" s="524">
        <v>1.033401936777617E-4</v>
      </c>
      <c r="DN168" s="524">
        <v>-3.7444788085704589E-2</v>
      </c>
      <c r="DO168" s="524">
        <v>5.2359475694165047E-4</v>
      </c>
      <c r="DP168" s="524">
        <v>5.1690303066799503E-4</v>
      </c>
      <c r="DQ168" s="524">
        <v>5.0599830698208614E-4</v>
      </c>
      <c r="DR168" s="524">
        <v>4.9024791269036694E-4</v>
      </c>
      <c r="DS168" s="524">
        <v>7.6759510001664394E-2</v>
      </c>
      <c r="DT168" s="524">
        <v>8.3292358462197513E-4</v>
      </c>
      <c r="DU168" s="525">
        <v>8.4709062498491972E-4</v>
      </c>
      <c r="DV168" s="526">
        <v>3.5</v>
      </c>
      <c r="DW168" s="507">
        <v>1</v>
      </c>
      <c r="DX168" s="509">
        <v>7.3150000000000004</v>
      </c>
      <c r="DY168" s="507">
        <v>2</v>
      </c>
      <c r="DZ168" s="507">
        <v>10</v>
      </c>
      <c r="EA168" s="507">
        <v>0</v>
      </c>
      <c r="EB168" s="507">
        <v>0</v>
      </c>
      <c r="EC168" s="507">
        <v>111.62500000000001</v>
      </c>
      <c r="ED168" s="507">
        <v>102.18750000000001</v>
      </c>
      <c r="EE168" s="507">
        <v>0</v>
      </c>
      <c r="EF168" s="507">
        <v>25.062499999999996</v>
      </c>
      <c r="EG168" s="507">
        <v>29.3125</v>
      </c>
      <c r="EH168" s="507">
        <v>12.8125</v>
      </c>
      <c r="EI168" s="507">
        <v>16.6875</v>
      </c>
      <c r="EJ168" s="507">
        <v>56.4375</v>
      </c>
      <c r="EK168" s="507">
        <v>10.4375</v>
      </c>
      <c r="EL168" s="507">
        <v>10.4375</v>
      </c>
      <c r="EM168" s="508">
        <v>375</v>
      </c>
    </row>
    <row r="169" spans="2:143" x14ac:dyDescent="0.25">
      <c r="B169" s="506" t="str">
        <f>[1]RONET_Input!J140</f>
        <v xml:space="preserve">Input VPROMMS: ql45_1 (50.0 pct); QL45_2 (40.0 pct); 214tt00097 (10.0 pct); </v>
      </c>
      <c r="C169" s="359">
        <f>[1]RONET_Input!B140</f>
        <v>138</v>
      </c>
      <c r="D169" s="397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442">
        <f>[1]RONET_Input!K140</f>
        <v>0.30754770886999999</v>
      </c>
      <c r="Q169" s="398">
        <f>[1]RONET_Input!Y140</f>
        <v>2</v>
      </c>
      <c r="R169" s="398">
        <f>[1]RONET_Input!X140</f>
        <v>3.5</v>
      </c>
      <c r="S169" s="398"/>
      <c r="T169" s="398"/>
      <c r="U169" s="398">
        <f>[1]RONET_Input!AA140</f>
        <v>8</v>
      </c>
      <c r="V169" s="398">
        <f>[1]RONET_Input!AC140</f>
        <v>1</v>
      </c>
      <c r="W169" s="398">
        <f>[1]RONET_Input!AD140</f>
        <v>1</v>
      </c>
      <c r="X169" s="398">
        <f>[1]RONET_Input!AE140</f>
        <v>4</v>
      </c>
      <c r="Y169" s="398">
        <f>[1]RONET_Input!AB140</f>
        <v>1</v>
      </c>
      <c r="Z169" s="438">
        <f>[1]RONET_Input!Z140</f>
        <v>1</v>
      </c>
      <c r="AA169" s="442"/>
      <c r="AB169" s="398"/>
      <c r="AC169" s="438"/>
      <c r="AD169" s="442">
        <f>[1]RONET_Input!AH140</f>
        <v>3</v>
      </c>
      <c r="AE169" s="398">
        <f>[1]RONET_Input!D140</f>
        <v>0</v>
      </c>
      <c r="AF169" s="398"/>
      <c r="AG169" s="398"/>
      <c r="AH169" s="398"/>
      <c r="AI169" s="438"/>
      <c r="AJ169" s="442">
        <v>1</v>
      </c>
      <c r="AK169" s="442">
        <f>[1]RONET_Input!AF140</f>
        <v>4</v>
      </c>
      <c r="AL169" s="507"/>
      <c r="AM169" s="507"/>
      <c r="AN169" s="507"/>
      <c r="AO169" s="507"/>
      <c r="AP169" s="507"/>
      <c r="AQ169" s="507"/>
      <c r="AR169" s="507"/>
      <c r="AS169" s="507"/>
      <c r="AT169" s="507"/>
      <c r="AU169" s="507"/>
      <c r="AV169" s="507"/>
      <c r="AW169" s="507"/>
      <c r="AX169" s="508"/>
      <c r="AY169" s="509">
        <f>[1]RONET_Input!AG140</f>
        <v>3</v>
      </c>
      <c r="AZ169" s="359" t="s">
        <v>321</v>
      </c>
      <c r="BA169" s="360" t="s">
        <v>502</v>
      </c>
      <c r="BB169" s="360" t="s">
        <v>443</v>
      </c>
      <c r="BC169" s="510">
        <v>1.53927628289435E-2</v>
      </c>
      <c r="BD169" s="510">
        <v>5.0049999999999997E-2</v>
      </c>
      <c r="BE169" s="438">
        <v>6</v>
      </c>
      <c r="BF169" s="511">
        <v>0.12164856420276929</v>
      </c>
      <c r="BG169" s="512">
        <v>0.39554371791529092</v>
      </c>
      <c r="BH169" s="512">
        <v>7.9029713869188996</v>
      </c>
      <c r="BI169" s="513">
        <v>0</v>
      </c>
      <c r="BJ169" s="514">
        <v>375</v>
      </c>
      <c r="BK169" s="515">
        <v>0.22366666666666665</v>
      </c>
      <c r="BL169" s="512">
        <v>4.2095592651581255E-2</v>
      </c>
      <c r="BM169" s="516">
        <v>3.2054071874999999E-2</v>
      </c>
      <c r="BN169" s="517">
        <v>375</v>
      </c>
      <c r="BO169" s="518">
        <v>397.50000000000011</v>
      </c>
      <c r="BP169" s="518">
        <v>421.34999999999991</v>
      </c>
      <c r="BQ169" s="518">
        <v>446.63099999999997</v>
      </c>
      <c r="BR169" s="518">
        <v>473.42885999999999</v>
      </c>
      <c r="BS169" s="518">
        <v>501.83459160000012</v>
      </c>
      <c r="BT169" s="518">
        <v>531.9446670960001</v>
      </c>
      <c r="BU169" s="518">
        <v>563.86134712175999</v>
      </c>
      <c r="BV169" s="518">
        <v>597.69302794906582</v>
      </c>
      <c r="BW169" s="518">
        <v>633.55460962600955</v>
      </c>
      <c r="BX169" s="518">
        <v>671.56788620357008</v>
      </c>
      <c r="BY169" s="518">
        <v>711.86195937578441</v>
      </c>
      <c r="BZ169" s="518">
        <v>754.57367693833146</v>
      </c>
      <c r="CA169" s="518">
        <v>799.84809755463141</v>
      </c>
      <c r="CB169" s="518">
        <v>847.83898340790915</v>
      </c>
      <c r="CC169" s="518">
        <v>898.70932241238381</v>
      </c>
      <c r="CD169" s="518">
        <v>952.63188175712685</v>
      </c>
      <c r="CE169" s="518">
        <v>1009.7897946625544</v>
      </c>
      <c r="CF169" s="518">
        <v>1070.3771823423076</v>
      </c>
      <c r="CG169" s="519">
        <v>1134.5998132828461</v>
      </c>
      <c r="CH169" s="520">
        <v>4.5</v>
      </c>
      <c r="CI169" s="521">
        <v>4.59</v>
      </c>
      <c r="CJ169" s="521">
        <v>4.6818</v>
      </c>
      <c r="CK169" s="521">
        <v>4.775436</v>
      </c>
      <c r="CL169" s="521">
        <v>4.8709447199999998</v>
      </c>
      <c r="CM169" s="521">
        <v>2.5</v>
      </c>
      <c r="CN169" s="521">
        <v>2.5499999999999998</v>
      </c>
      <c r="CO169" s="521">
        <v>2.601</v>
      </c>
      <c r="CP169" s="521">
        <v>2.6530200000000002</v>
      </c>
      <c r="CQ169" s="521">
        <v>2.7060804000000003</v>
      </c>
      <c r="CR169" s="521">
        <v>2.7602020080000003</v>
      </c>
      <c r="CS169" s="521">
        <v>2.8154060481600003</v>
      </c>
      <c r="CT169" s="521">
        <v>2.8717141691232002</v>
      </c>
      <c r="CU169" s="521">
        <v>2.5</v>
      </c>
      <c r="CV169" s="521">
        <v>2.5499999999999998</v>
      </c>
      <c r="CW169" s="521">
        <v>2.601</v>
      </c>
      <c r="CX169" s="521">
        <v>2.6530200000000002</v>
      </c>
      <c r="CY169" s="521">
        <v>2.7060804000000003</v>
      </c>
      <c r="CZ169" s="521">
        <v>2.7602020080000003</v>
      </c>
      <c r="DA169" s="522">
        <v>2.8154060481600003</v>
      </c>
      <c r="DB169" s="523">
        <v>0</v>
      </c>
      <c r="DC169" s="524">
        <v>0</v>
      </c>
      <c r="DD169" s="524">
        <v>0</v>
      </c>
      <c r="DE169" s="524">
        <v>0</v>
      </c>
      <c r="DF169" s="524">
        <v>0</v>
      </c>
      <c r="DG169" s="524">
        <v>-1.2999197432058154E-2</v>
      </c>
      <c r="DH169" s="524">
        <v>1.1167728509741404E-3</v>
      </c>
      <c r="DI169" s="524">
        <v>1.2367856759904552E-3</v>
      </c>
      <c r="DJ169" s="524">
        <v>1.3694467632158411E-3</v>
      </c>
      <c r="DK169" s="524">
        <v>0.20990124141470268</v>
      </c>
      <c r="DL169" s="524">
        <v>7.3578426798594221E-5</v>
      </c>
      <c r="DM169" s="524">
        <v>6.1082692371407232E-5</v>
      </c>
      <c r="DN169" s="524">
        <v>4.6113994375561462E-5</v>
      </c>
      <c r="DO169" s="524">
        <v>-1.3794967623926284E-2</v>
      </c>
      <c r="DP169" s="524">
        <v>2.1216904304049294E-4</v>
      </c>
      <c r="DQ169" s="524">
        <v>2.1057737574849134E-4</v>
      </c>
      <c r="DR169" s="524">
        <v>2.0746379766749951E-4</v>
      </c>
      <c r="DS169" s="524">
        <v>2.8345693285014996E-2</v>
      </c>
      <c r="DT169" s="524">
        <v>3.4018108013858517E-4</v>
      </c>
      <c r="DU169" s="525">
        <v>3.4908287122175502E-4</v>
      </c>
      <c r="DV169" s="526">
        <v>3.5</v>
      </c>
      <c r="DW169" s="507">
        <v>1</v>
      </c>
      <c r="DX169" s="509">
        <v>4.5</v>
      </c>
      <c r="DY169" s="507">
        <v>2</v>
      </c>
      <c r="DZ169" s="507">
        <v>10</v>
      </c>
      <c r="EA169" s="507">
        <v>0</v>
      </c>
      <c r="EB169" s="507">
        <v>0</v>
      </c>
      <c r="EC169" s="507">
        <v>111.62500000000001</v>
      </c>
      <c r="ED169" s="507">
        <v>102.18750000000001</v>
      </c>
      <c r="EE169" s="507">
        <v>0</v>
      </c>
      <c r="EF169" s="507">
        <v>25.062499999999996</v>
      </c>
      <c r="EG169" s="507">
        <v>29.3125</v>
      </c>
      <c r="EH169" s="507">
        <v>12.8125</v>
      </c>
      <c r="EI169" s="507">
        <v>16.6875</v>
      </c>
      <c r="EJ169" s="507">
        <v>56.4375</v>
      </c>
      <c r="EK169" s="507">
        <v>10.4375</v>
      </c>
      <c r="EL169" s="507">
        <v>10.4375</v>
      </c>
      <c r="EM169" s="508">
        <v>375</v>
      </c>
    </row>
    <row r="170" spans="2:143" x14ac:dyDescent="0.25">
      <c r="B170" s="506" t="str">
        <f>[1]RONET_Input!J141</f>
        <v>214tt00097</v>
      </c>
      <c r="C170" s="359">
        <f>[1]RONET_Input!B141</f>
        <v>139</v>
      </c>
      <c r="D170" s="397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442">
        <f>[1]RONET_Input!K141</f>
        <v>0.34593516860299989</v>
      </c>
      <c r="Q170" s="398">
        <f>[1]RONET_Input!Y141</f>
        <v>1</v>
      </c>
      <c r="R170" s="398">
        <f>[1]RONET_Input!X141</f>
        <v>3.4</v>
      </c>
      <c r="S170" s="398"/>
      <c r="T170" s="398"/>
      <c r="U170" s="398">
        <f>[1]RONET_Input!AA141</f>
        <v>8</v>
      </c>
      <c r="V170" s="398">
        <f>[1]RONET_Input!AC141</f>
        <v>1</v>
      </c>
      <c r="W170" s="398">
        <f>[1]RONET_Input!AD141</f>
        <v>1</v>
      </c>
      <c r="X170" s="398">
        <f>[1]RONET_Input!AE141</f>
        <v>4</v>
      </c>
      <c r="Y170" s="398">
        <f>[1]RONET_Input!AB141</f>
        <v>1</v>
      </c>
      <c r="Z170" s="438">
        <f>[1]RONET_Input!Z141</f>
        <v>1</v>
      </c>
      <c r="AA170" s="442"/>
      <c r="AB170" s="398"/>
      <c r="AC170" s="438"/>
      <c r="AD170" s="442">
        <f>[1]RONET_Input!AH141</f>
        <v>2</v>
      </c>
      <c r="AE170" s="398">
        <f>[1]RONET_Input!D141</f>
        <v>5.3949999999999996</v>
      </c>
      <c r="AF170" s="398"/>
      <c r="AG170" s="398"/>
      <c r="AH170" s="398"/>
      <c r="AI170" s="438"/>
      <c r="AJ170" s="442">
        <v>1</v>
      </c>
      <c r="AK170" s="442">
        <f>[1]RONET_Input!AF141</f>
        <v>4</v>
      </c>
      <c r="AL170" s="507"/>
      <c r="AM170" s="507"/>
      <c r="AN170" s="507"/>
      <c r="AO170" s="507"/>
      <c r="AP170" s="507"/>
      <c r="AQ170" s="507"/>
      <c r="AR170" s="507"/>
      <c r="AS170" s="507"/>
      <c r="AT170" s="507"/>
      <c r="AU170" s="507"/>
      <c r="AV170" s="507"/>
      <c r="AW170" s="507"/>
      <c r="AX170" s="508"/>
      <c r="AY170" s="509">
        <f>[1]RONET_Input!AG141</f>
        <v>3</v>
      </c>
      <c r="AZ170" s="359" t="s">
        <v>321</v>
      </c>
      <c r="BA170" s="360" t="s">
        <v>502</v>
      </c>
      <c r="BB170" s="360" t="s">
        <v>443</v>
      </c>
      <c r="BC170" s="510">
        <v>1.6819367897477858E-2</v>
      </c>
      <c r="BD170" s="510">
        <v>4.862000000000001E-2</v>
      </c>
      <c r="BE170" s="438">
        <v>5</v>
      </c>
      <c r="BF170" s="511">
        <v>0.14579964417674912</v>
      </c>
      <c r="BG170" s="512">
        <v>0.42146522646291235</v>
      </c>
      <c r="BH170" s="512">
        <v>8.6685566940130041</v>
      </c>
      <c r="BI170" s="513">
        <v>0</v>
      </c>
      <c r="BJ170" s="514">
        <v>375</v>
      </c>
      <c r="BK170" s="515">
        <v>0.22366666666666665</v>
      </c>
      <c r="BL170" s="512">
        <v>4.7349876202535619E-2</v>
      </c>
      <c r="BM170" s="516">
        <v>6.4108143749999999E-2</v>
      </c>
      <c r="BN170" s="517">
        <v>375</v>
      </c>
      <c r="BO170" s="518">
        <v>397.50000000000011</v>
      </c>
      <c r="BP170" s="518">
        <v>421.34999999999991</v>
      </c>
      <c r="BQ170" s="518">
        <v>446.63099999999997</v>
      </c>
      <c r="BR170" s="518">
        <v>473.42885999999999</v>
      </c>
      <c r="BS170" s="518">
        <v>501.83459160000012</v>
      </c>
      <c r="BT170" s="518">
        <v>531.9446670960001</v>
      </c>
      <c r="BU170" s="518">
        <v>563.86134712175999</v>
      </c>
      <c r="BV170" s="518">
        <v>597.69302794906582</v>
      </c>
      <c r="BW170" s="518">
        <v>633.55460962600955</v>
      </c>
      <c r="BX170" s="518">
        <v>671.56788620357008</v>
      </c>
      <c r="BY170" s="518">
        <v>711.86195937578441</v>
      </c>
      <c r="BZ170" s="518">
        <v>754.57367693833146</v>
      </c>
      <c r="CA170" s="518">
        <v>799.84809755463141</v>
      </c>
      <c r="CB170" s="518">
        <v>847.83898340790915</v>
      </c>
      <c r="CC170" s="518">
        <v>898.70932241238381</v>
      </c>
      <c r="CD170" s="518">
        <v>952.63188175712685</v>
      </c>
      <c r="CE170" s="518">
        <v>1009.7897946625544</v>
      </c>
      <c r="CF170" s="518">
        <v>1070.3771823423076</v>
      </c>
      <c r="CG170" s="519">
        <v>1134.5998132828461</v>
      </c>
      <c r="CH170" s="520">
        <v>5.3949999999999996</v>
      </c>
      <c r="CI170" s="521">
        <v>5.5028999999999995</v>
      </c>
      <c r="CJ170" s="521">
        <v>5.6129579999999999</v>
      </c>
      <c r="CK170" s="521">
        <v>5.7252171599999997</v>
      </c>
      <c r="CL170" s="521">
        <v>2.5</v>
      </c>
      <c r="CM170" s="521">
        <v>2.5499999999999998</v>
      </c>
      <c r="CN170" s="521">
        <v>2.601</v>
      </c>
      <c r="CO170" s="521">
        <v>2.6530200000000002</v>
      </c>
      <c r="CP170" s="521">
        <v>2.7060804000000003</v>
      </c>
      <c r="CQ170" s="521">
        <v>2.7602020080000003</v>
      </c>
      <c r="CR170" s="521">
        <v>2.8154060481600003</v>
      </c>
      <c r="CS170" s="521">
        <v>2.8717141691232002</v>
      </c>
      <c r="CT170" s="521">
        <v>2.5</v>
      </c>
      <c r="CU170" s="521">
        <v>2.5499999999999998</v>
      </c>
      <c r="CV170" s="521">
        <v>2.601</v>
      </c>
      <c r="CW170" s="521">
        <v>2.6530200000000002</v>
      </c>
      <c r="CX170" s="521">
        <v>2.7060804000000003</v>
      </c>
      <c r="CY170" s="521">
        <v>2.7602020080000003</v>
      </c>
      <c r="CZ170" s="521">
        <v>2.8154060481600003</v>
      </c>
      <c r="DA170" s="522">
        <v>2.8717141691232002</v>
      </c>
      <c r="DB170" s="523">
        <v>0</v>
      </c>
      <c r="DC170" s="524">
        <v>0</v>
      </c>
      <c r="DD170" s="524">
        <v>0</v>
      </c>
      <c r="DE170" s="524">
        <v>0</v>
      </c>
      <c r="DF170" s="524">
        <v>-1.3466313521175347E-2</v>
      </c>
      <c r="DG170" s="524">
        <v>2.0285492909637021E-3</v>
      </c>
      <c r="DH170" s="524">
        <v>2.2370718047818386E-3</v>
      </c>
      <c r="DI170" s="524">
        <v>2.4668300605094062E-3</v>
      </c>
      <c r="DJ170" s="524">
        <v>2.7199718390520516E-3</v>
      </c>
      <c r="DK170" s="524">
        <v>0.23704168709635948</v>
      </c>
      <c r="DL170" s="524">
        <v>1.0362546937318085E-3</v>
      </c>
      <c r="DM170" s="524">
        <v>1.0349217210927908E-3</v>
      </c>
      <c r="DN170" s="524">
        <v>-1.4034296697423815E-2</v>
      </c>
      <c r="DO170" s="524">
        <v>1.2898303134365602E-3</v>
      </c>
      <c r="DP170" s="524">
        <v>1.3075685836922771E-3</v>
      </c>
      <c r="DQ170" s="524">
        <v>1.324320912118801E-3</v>
      </c>
      <c r="DR170" s="524">
        <v>1.3398354013416172E-3</v>
      </c>
      <c r="DS170" s="524">
        <v>3.3009687284183353E-2</v>
      </c>
      <c r="DT170" s="524">
        <v>1.5284757946916194E-3</v>
      </c>
      <c r="DU170" s="525">
        <v>1.5587663461026496E-3</v>
      </c>
      <c r="DV170" s="526">
        <v>3.4</v>
      </c>
      <c r="DW170" s="507">
        <v>1</v>
      </c>
      <c r="DX170" s="509">
        <v>5.3949999999999996</v>
      </c>
      <c r="DY170" s="507">
        <v>2</v>
      </c>
      <c r="DZ170" s="507">
        <v>5</v>
      </c>
      <c r="EA170" s="507">
        <v>0</v>
      </c>
      <c r="EB170" s="507">
        <v>0</v>
      </c>
      <c r="EC170" s="507">
        <v>111.62500000000001</v>
      </c>
      <c r="ED170" s="507">
        <v>102.18750000000001</v>
      </c>
      <c r="EE170" s="507">
        <v>0</v>
      </c>
      <c r="EF170" s="507">
        <v>25.062499999999996</v>
      </c>
      <c r="EG170" s="507">
        <v>29.3125</v>
      </c>
      <c r="EH170" s="507">
        <v>12.8125</v>
      </c>
      <c r="EI170" s="507">
        <v>16.6875</v>
      </c>
      <c r="EJ170" s="507">
        <v>56.4375</v>
      </c>
      <c r="EK170" s="507">
        <v>10.4375</v>
      </c>
      <c r="EL170" s="507">
        <v>10.4375</v>
      </c>
      <c r="EM170" s="508">
        <v>375</v>
      </c>
    </row>
    <row r="171" spans="2:143" x14ac:dyDescent="0.25">
      <c r="B171" s="506" t="str">
        <f>[1]RONET_Input!J142</f>
        <v>212th00024</v>
      </c>
      <c r="C171" s="359">
        <f>[1]RONET_Input!B142</f>
        <v>140</v>
      </c>
      <c r="D171" s="397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442">
        <f>[1]RONET_Input!K142</f>
        <v>0.17548869142199999</v>
      </c>
      <c r="Q171" s="398">
        <f>[1]RONET_Input!Y142</f>
        <v>3</v>
      </c>
      <c r="R171" s="398">
        <f>[1]RONET_Input!X142</f>
        <v>4.3</v>
      </c>
      <c r="S171" s="398"/>
      <c r="T171" s="398"/>
      <c r="U171" s="398">
        <f>[1]RONET_Input!AA142</f>
        <v>8</v>
      </c>
      <c r="V171" s="398">
        <f>[1]RONET_Input!AC142</f>
        <v>1</v>
      </c>
      <c r="W171" s="398">
        <f>[1]RONET_Input!AD142</f>
        <v>1</v>
      </c>
      <c r="X171" s="398">
        <f>[1]RONET_Input!AE142</f>
        <v>4</v>
      </c>
      <c r="Y171" s="398">
        <f>[1]RONET_Input!AB142</f>
        <v>1</v>
      </c>
      <c r="Z171" s="438">
        <f>[1]RONET_Input!Z142</f>
        <v>3</v>
      </c>
      <c r="AA171" s="442"/>
      <c r="AB171" s="398"/>
      <c r="AC171" s="438"/>
      <c r="AD171" s="442">
        <f>[1]RONET_Input!AH142</f>
        <v>3</v>
      </c>
      <c r="AE171" s="398">
        <f>[1]RONET_Input!D142</f>
        <v>0</v>
      </c>
      <c r="AF171" s="398"/>
      <c r="AG171" s="398"/>
      <c r="AH171" s="398"/>
      <c r="AI171" s="438"/>
      <c r="AJ171" s="442">
        <v>1</v>
      </c>
      <c r="AK171" s="442">
        <f>[1]RONET_Input!AF142</f>
        <v>8</v>
      </c>
      <c r="AL171" s="507"/>
      <c r="AM171" s="507"/>
      <c r="AN171" s="507"/>
      <c r="AO171" s="507"/>
      <c r="AP171" s="507"/>
      <c r="AQ171" s="507"/>
      <c r="AR171" s="507"/>
      <c r="AS171" s="507"/>
      <c r="AT171" s="507"/>
      <c r="AU171" s="507"/>
      <c r="AV171" s="507"/>
      <c r="AW171" s="507"/>
      <c r="AX171" s="508"/>
      <c r="AY171" s="509">
        <f>[1]RONET_Input!AG142</f>
        <v>3</v>
      </c>
      <c r="AZ171" s="359" t="s">
        <v>321</v>
      </c>
      <c r="BA171" s="360" t="s">
        <v>505</v>
      </c>
      <c r="BB171" s="360" t="s">
        <v>446</v>
      </c>
      <c r="BC171" s="510">
        <v>7.1687130445886992E-3</v>
      </c>
      <c r="BD171" s="510">
        <v>4.0849999999999997E-2</v>
      </c>
      <c r="BE171" s="438">
        <v>1</v>
      </c>
      <c r="BF171" s="511">
        <v>0.10539705929698198</v>
      </c>
      <c r="BG171" s="512">
        <v>0.60059174436221807</v>
      </c>
      <c r="BH171" s="512">
        <v>14.702368283040833</v>
      </c>
      <c r="BI171" s="513">
        <v>0</v>
      </c>
      <c r="BJ171" s="514">
        <v>6000</v>
      </c>
      <c r="BK171" s="515">
        <v>0.22366666666666665</v>
      </c>
      <c r="BL171" s="512">
        <v>0.38432023421417993</v>
      </c>
      <c r="BM171" s="516">
        <v>0.51286514999999999</v>
      </c>
      <c r="BN171" s="517">
        <v>6000</v>
      </c>
      <c r="BO171" s="518">
        <v>6360.0000000000018</v>
      </c>
      <c r="BP171" s="518">
        <v>6741.5999999999985</v>
      </c>
      <c r="BQ171" s="518">
        <v>7146.0959999999995</v>
      </c>
      <c r="BR171" s="518">
        <v>7574.8617599999998</v>
      </c>
      <c r="BS171" s="518">
        <v>8029.353465600002</v>
      </c>
      <c r="BT171" s="518">
        <v>8511.1146735360016</v>
      </c>
      <c r="BU171" s="518">
        <v>9021.7815539481599</v>
      </c>
      <c r="BV171" s="518">
        <v>9563.0884471850532</v>
      </c>
      <c r="BW171" s="518">
        <v>10136.873754016153</v>
      </c>
      <c r="BX171" s="518">
        <v>10745.086179257121</v>
      </c>
      <c r="BY171" s="518">
        <v>11389.791350012551</v>
      </c>
      <c r="BZ171" s="518">
        <v>12073.178831013303</v>
      </c>
      <c r="CA171" s="518">
        <v>12797.569560874103</v>
      </c>
      <c r="CB171" s="518">
        <v>13565.423734526546</v>
      </c>
      <c r="CC171" s="518">
        <v>14379.349158598141</v>
      </c>
      <c r="CD171" s="518">
        <v>15242.11010811403</v>
      </c>
      <c r="CE171" s="518">
        <v>16156.636714600871</v>
      </c>
      <c r="CF171" s="518">
        <v>17126.034917476922</v>
      </c>
      <c r="CG171" s="519">
        <v>18153.597012525537</v>
      </c>
      <c r="CH171" s="520">
        <v>2.5</v>
      </c>
      <c r="CI171" s="521">
        <v>2.5625</v>
      </c>
      <c r="CJ171" s="521">
        <v>2.6265624999999999</v>
      </c>
      <c r="CK171" s="521">
        <v>2.6922265624999997</v>
      </c>
      <c r="CL171" s="521">
        <v>2.7595322265624995</v>
      </c>
      <c r="CM171" s="521">
        <v>2.8285205322265621</v>
      </c>
      <c r="CN171" s="521">
        <v>2.8992335455322262</v>
      </c>
      <c r="CO171" s="521">
        <v>2.9717143841705318</v>
      </c>
      <c r="CP171" s="521">
        <v>2.5</v>
      </c>
      <c r="CQ171" s="521">
        <v>2.5625</v>
      </c>
      <c r="CR171" s="521">
        <v>2.6265624999999999</v>
      </c>
      <c r="CS171" s="521">
        <v>2.6922265624999997</v>
      </c>
      <c r="CT171" s="521">
        <v>2.7595322265624995</v>
      </c>
      <c r="CU171" s="521">
        <v>2.8285205322265621</v>
      </c>
      <c r="CV171" s="521">
        <v>2.8992335455322262</v>
      </c>
      <c r="CW171" s="521">
        <v>2.9717143841705318</v>
      </c>
      <c r="CX171" s="521">
        <v>2.5</v>
      </c>
      <c r="CY171" s="521">
        <v>2.5625</v>
      </c>
      <c r="CZ171" s="521">
        <v>2.6265624999999999</v>
      </c>
      <c r="DA171" s="522">
        <v>2.6922265624999997</v>
      </c>
      <c r="DB171" s="523">
        <v>1.680788617619583E-3</v>
      </c>
      <c r="DC171" s="524">
        <v>9.2145406779015337E-3</v>
      </c>
      <c r="DD171" s="524">
        <v>1.0344963964877968E-2</v>
      </c>
      <c r="DE171" s="524">
        <v>1.1609566394770926E-2</v>
      </c>
      <c r="DF171" s="524">
        <v>1.3023928856865319E-2</v>
      </c>
      <c r="DG171" s="524">
        <v>1.4605416241076558E-2</v>
      </c>
      <c r="DH171" s="524">
        <v>1.6373380314418956E-2</v>
      </c>
      <c r="DI171" s="524">
        <v>1.8349385694778841E-2</v>
      </c>
      <c r="DJ171" s="524">
        <v>1.540737295228467E-2</v>
      </c>
      <c r="DK171" s="524">
        <v>3.20589096260675E-2</v>
      </c>
      <c r="DL171" s="524">
        <v>1.0004575081057343E-4</v>
      </c>
      <c r="DM171" s="524">
        <v>1.1358540830747055E-4</v>
      </c>
      <c r="DN171" s="524">
        <v>1.2883234288696421E-4</v>
      </c>
      <c r="DO171" s="524">
        <v>1.4599278654081616E-4</v>
      </c>
      <c r="DP171" s="524">
        <v>1.6529717930158228E-4</v>
      </c>
      <c r="DQ171" s="524">
        <v>1.8700295425005953E-4</v>
      </c>
      <c r="DR171" s="524">
        <v>-4.1230761397011428E-3</v>
      </c>
      <c r="DS171" s="524">
        <v>1.0394223787733969E-2</v>
      </c>
      <c r="DT171" s="524">
        <v>-2.5647736787182129E-4</v>
      </c>
      <c r="DU171" s="525">
        <v>-2.9142497993495109E-4</v>
      </c>
      <c r="DV171" s="526">
        <v>4.3</v>
      </c>
      <c r="DW171" s="507">
        <v>3</v>
      </c>
      <c r="DX171" s="509">
        <v>5.5</v>
      </c>
      <c r="DY171" s="507">
        <v>6</v>
      </c>
      <c r="DZ171" s="507">
        <v>10</v>
      </c>
      <c r="EA171" s="507">
        <v>0</v>
      </c>
      <c r="EB171" s="507">
        <v>0</v>
      </c>
      <c r="EC171" s="507">
        <v>1786.0000000000002</v>
      </c>
      <c r="ED171" s="507">
        <v>1635.0000000000002</v>
      </c>
      <c r="EE171" s="507">
        <v>0</v>
      </c>
      <c r="EF171" s="507">
        <v>400.99999999999994</v>
      </c>
      <c r="EG171" s="507">
        <v>469</v>
      </c>
      <c r="EH171" s="507">
        <v>205</v>
      </c>
      <c r="EI171" s="507">
        <v>267</v>
      </c>
      <c r="EJ171" s="507">
        <v>903</v>
      </c>
      <c r="EK171" s="507">
        <v>167</v>
      </c>
      <c r="EL171" s="507">
        <v>167</v>
      </c>
      <c r="EM171" s="508">
        <v>6000</v>
      </c>
    </row>
    <row r="172" spans="2:143" x14ac:dyDescent="0.25">
      <c r="B172" s="506" t="str">
        <f>[1]RONET_Input!J143</f>
        <v xml:space="preserve">Input VPROMMS: 212TH00024 (50.0 pct); 212th00024 (45.0 pct); 214tt00087 (5.0 pct); </v>
      </c>
      <c r="C172" s="359">
        <f>[1]RONET_Input!B143</f>
        <v>141</v>
      </c>
      <c r="D172" s="397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442">
        <f>[1]RONET_Input!K143</f>
        <v>0.36940039118899998</v>
      </c>
      <c r="Q172" s="398">
        <f>[1]RONET_Input!Y143</f>
        <v>2</v>
      </c>
      <c r="R172" s="398">
        <f>[1]RONET_Input!X143</f>
        <v>3.5</v>
      </c>
      <c r="S172" s="398"/>
      <c r="T172" s="398"/>
      <c r="U172" s="398">
        <f>[1]RONET_Input!AA143</f>
        <v>8</v>
      </c>
      <c r="V172" s="398">
        <f>[1]RONET_Input!AC143</f>
        <v>1</v>
      </c>
      <c r="W172" s="398">
        <f>[1]RONET_Input!AD143</f>
        <v>1</v>
      </c>
      <c r="X172" s="398">
        <f>[1]RONET_Input!AE143</f>
        <v>4</v>
      </c>
      <c r="Y172" s="398">
        <f>[1]RONET_Input!AB143</f>
        <v>1</v>
      </c>
      <c r="Z172" s="438">
        <f>[1]RONET_Input!Z143</f>
        <v>1</v>
      </c>
      <c r="AA172" s="442"/>
      <c r="AB172" s="398"/>
      <c r="AC172" s="438"/>
      <c r="AD172" s="442">
        <f>[1]RONET_Input!AH143</f>
        <v>2</v>
      </c>
      <c r="AE172" s="398">
        <f>[1]RONET_Input!D143</f>
        <v>5.33</v>
      </c>
      <c r="AF172" s="398"/>
      <c r="AG172" s="398"/>
      <c r="AH172" s="398"/>
      <c r="AI172" s="438"/>
      <c r="AJ172" s="442">
        <v>1</v>
      </c>
      <c r="AK172" s="442">
        <f>[1]RONET_Input!AF143</f>
        <v>4</v>
      </c>
      <c r="AL172" s="507"/>
      <c r="AM172" s="507"/>
      <c r="AN172" s="507"/>
      <c r="AO172" s="507"/>
      <c r="AP172" s="507"/>
      <c r="AQ172" s="507"/>
      <c r="AR172" s="507"/>
      <c r="AS172" s="507"/>
      <c r="AT172" s="507"/>
      <c r="AU172" s="507"/>
      <c r="AV172" s="507"/>
      <c r="AW172" s="507"/>
      <c r="AX172" s="508"/>
      <c r="AY172" s="509">
        <f>[1]RONET_Input!AG143</f>
        <v>3</v>
      </c>
      <c r="AZ172" s="359" t="s">
        <v>321</v>
      </c>
      <c r="BA172" s="360" t="s">
        <v>502</v>
      </c>
      <c r="BB172" s="360" t="s">
        <v>443</v>
      </c>
      <c r="BC172" s="510">
        <v>1.8488489579009448E-2</v>
      </c>
      <c r="BD172" s="510">
        <v>5.0049999999999997E-2</v>
      </c>
      <c r="BE172" s="438">
        <v>5</v>
      </c>
      <c r="BF172" s="511">
        <v>0.148356601066714</v>
      </c>
      <c r="BG172" s="512">
        <v>0.40161462901864886</v>
      </c>
      <c r="BH172" s="512">
        <v>8.0242683120609168</v>
      </c>
      <c r="BI172" s="513">
        <v>0</v>
      </c>
      <c r="BJ172" s="514">
        <v>375</v>
      </c>
      <c r="BK172" s="515">
        <v>0.22366666666666665</v>
      </c>
      <c r="BL172" s="512">
        <v>5.0561678543994376E-2</v>
      </c>
      <c r="BM172" s="516">
        <v>3.2054071874999999E-2</v>
      </c>
      <c r="BN172" s="517">
        <v>375</v>
      </c>
      <c r="BO172" s="518">
        <v>397.50000000000011</v>
      </c>
      <c r="BP172" s="518">
        <v>421.34999999999991</v>
      </c>
      <c r="BQ172" s="518">
        <v>446.63099999999997</v>
      </c>
      <c r="BR172" s="518">
        <v>473.42885999999999</v>
      </c>
      <c r="BS172" s="518">
        <v>501.83459160000012</v>
      </c>
      <c r="BT172" s="518">
        <v>531.9446670960001</v>
      </c>
      <c r="BU172" s="518">
        <v>563.86134712175999</v>
      </c>
      <c r="BV172" s="518">
        <v>597.69302794906582</v>
      </c>
      <c r="BW172" s="518">
        <v>633.55460962600955</v>
      </c>
      <c r="BX172" s="518">
        <v>671.56788620357008</v>
      </c>
      <c r="BY172" s="518">
        <v>711.86195937578441</v>
      </c>
      <c r="BZ172" s="518">
        <v>754.57367693833146</v>
      </c>
      <c r="CA172" s="518">
        <v>799.84809755463141</v>
      </c>
      <c r="CB172" s="518">
        <v>847.83898340790915</v>
      </c>
      <c r="CC172" s="518">
        <v>898.70932241238381</v>
      </c>
      <c r="CD172" s="518">
        <v>952.63188175712685</v>
      </c>
      <c r="CE172" s="518">
        <v>1009.7897946625544</v>
      </c>
      <c r="CF172" s="518">
        <v>1070.3771823423076</v>
      </c>
      <c r="CG172" s="519">
        <v>1134.5998132828461</v>
      </c>
      <c r="CH172" s="520">
        <v>5.33</v>
      </c>
      <c r="CI172" s="521">
        <v>5.4366000000000003</v>
      </c>
      <c r="CJ172" s="521">
        <v>5.5453320000000001</v>
      </c>
      <c r="CK172" s="521">
        <v>5.6562386399999998</v>
      </c>
      <c r="CL172" s="521">
        <v>2.5</v>
      </c>
      <c r="CM172" s="521">
        <v>2.5499999999999998</v>
      </c>
      <c r="CN172" s="521">
        <v>2.601</v>
      </c>
      <c r="CO172" s="521">
        <v>2.6530200000000002</v>
      </c>
      <c r="CP172" s="521">
        <v>2.7060804000000003</v>
      </c>
      <c r="CQ172" s="521">
        <v>2.7602020080000003</v>
      </c>
      <c r="CR172" s="521">
        <v>2.8154060481600003</v>
      </c>
      <c r="CS172" s="521">
        <v>2.8717141691232002</v>
      </c>
      <c r="CT172" s="521">
        <v>2.5</v>
      </c>
      <c r="CU172" s="521">
        <v>2.5499999999999998</v>
      </c>
      <c r="CV172" s="521">
        <v>2.601</v>
      </c>
      <c r="CW172" s="521">
        <v>2.6530200000000002</v>
      </c>
      <c r="CX172" s="521">
        <v>2.7060804000000003</v>
      </c>
      <c r="CY172" s="521">
        <v>2.7602020080000003</v>
      </c>
      <c r="CZ172" s="521">
        <v>2.8154060481600003</v>
      </c>
      <c r="DA172" s="522">
        <v>2.8717141691232002</v>
      </c>
      <c r="DB172" s="523">
        <v>0</v>
      </c>
      <c r="DC172" s="524">
        <v>0</v>
      </c>
      <c r="DD172" s="524">
        <v>0</v>
      </c>
      <c r="DE172" s="524">
        <v>0</v>
      </c>
      <c r="DF172" s="524">
        <v>-1.5117055017089563E-2</v>
      </c>
      <c r="DG172" s="524">
        <v>1.8896203786439719E-3</v>
      </c>
      <c r="DH172" s="524">
        <v>2.0908680990621778E-3</v>
      </c>
      <c r="DI172" s="524">
        <v>2.3131911772516639E-3</v>
      </c>
      <c r="DJ172" s="524">
        <v>2.5587701765741044E-3</v>
      </c>
      <c r="DK172" s="524">
        <v>0.25209337279113686</v>
      </c>
      <c r="DL172" s="524">
        <v>6.3567153195630277E-5</v>
      </c>
      <c r="DM172" s="524">
        <v>4.578837053558632E-5</v>
      </c>
      <c r="DN172" s="524">
        <v>-1.6591180744646682E-2</v>
      </c>
      <c r="DO172" s="524">
        <v>2.3199637902837633E-4</v>
      </c>
      <c r="DP172" s="524">
        <v>2.290313832098434E-4</v>
      </c>
      <c r="DQ172" s="524">
        <v>2.2419967629166287E-4</v>
      </c>
      <c r="DR172" s="524">
        <v>2.1722093100152995E-4</v>
      </c>
      <c r="DS172" s="524">
        <v>3.4010898963915598E-2</v>
      </c>
      <c r="DT172" s="524">
        <v>3.6905498589852315E-4</v>
      </c>
      <c r="DU172" s="525">
        <v>3.7533217263915897E-4</v>
      </c>
      <c r="DV172" s="526">
        <v>3.5</v>
      </c>
      <c r="DW172" s="507">
        <v>1</v>
      </c>
      <c r="DX172" s="509">
        <v>5.33</v>
      </c>
      <c r="DY172" s="507">
        <v>2</v>
      </c>
      <c r="DZ172" s="507">
        <v>5</v>
      </c>
      <c r="EA172" s="507">
        <v>0</v>
      </c>
      <c r="EB172" s="507">
        <v>0</v>
      </c>
      <c r="EC172" s="507">
        <v>111.62500000000001</v>
      </c>
      <c r="ED172" s="507">
        <v>102.18750000000001</v>
      </c>
      <c r="EE172" s="507">
        <v>0</v>
      </c>
      <c r="EF172" s="507">
        <v>25.062499999999996</v>
      </c>
      <c r="EG172" s="507">
        <v>29.3125</v>
      </c>
      <c r="EH172" s="507">
        <v>12.8125</v>
      </c>
      <c r="EI172" s="507">
        <v>16.6875</v>
      </c>
      <c r="EJ172" s="507">
        <v>56.4375</v>
      </c>
      <c r="EK172" s="507">
        <v>10.4375</v>
      </c>
      <c r="EL172" s="507">
        <v>10.4375</v>
      </c>
      <c r="EM172" s="508">
        <v>375</v>
      </c>
    </row>
    <row r="173" spans="2:143" x14ac:dyDescent="0.25">
      <c r="B173" s="506" t="str">
        <f>[1]RONET_Input!J144</f>
        <v xml:space="preserve">Input VPROMMS: 212th00024 (34.04 pct); 212TH00024 (34.04 pct); 214tt00085 (31.91 pct); </v>
      </c>
      <c r="C173" s="359">
        <f>[1]RONET_Input!B144</f>
        <v>142</v>
      </c>
      <c r="D173" s="397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442">
        <f>[1]RONET_Input!K144</f>
        <v>0.72157015779699996</v>
      </c>
      <c r="Q173" s="398">
        <f>[1]RONET_Input!Y144</f>
        <v>2</v>
      </c>
      <c r="R173" s="398">
        <f>[1]RONET_Input!X144</f>
        <v>3.5</v>
      </c>
      <c r="S173" s="398"/>
      <c r="T173" s="398"/>
      <c r="U173" s="398">
        <f>[1]RONET_Input!AA144</f>
        <v>8</v>
      </c>
      <c r="V173" s="398">
        <f>[1]RONET_Input!AC144</f>
        <v>1</v>
      </c>
      <c r="W173" s="398">
        <f>[1]RONET_Input!AD144</f>
        <v>1</v>
      </c>
      <c r="X173" s="398">
        <f>[1]RONET_Input!AE144</f>
        <v>4</v>
      </c>
      <c r="Y173" s="398">
        <f>[1]RONET_Input!AB144</f>
        <v>1</v>
      </c>
      <c r="Z173" s="438">
        <f>[1]RONET_Input!Z144</f>
        <v>1</v>
      </c>
      <c r="AA173" s="442"/>
      <c r="AB173" s="398"/>
      <c r="AC173" s="438"/>
      <c r="AD173" s="442">
        <f>[1]RONET_Input!AH144</f>
        <v>3</v>
      </c>
      <c r="AE173" s="398">
        <f>[1]RONET_Input!D144</f>
        <v>6.55</v>
      </c>
      <c r="AF173" s="398"/>
      <c r="AG173" s="398"/>
      <c r="AH173" s="398"/>
      <c r="AI173" s="438"/>
      <c r="AJ173" s="442">
        <v>1</v>
      </c>
      <c r="AK173" s="442">
        <f>[1]RONET_Input!AF144</f>
        <v>4</v>
      </c>
      <c r="AL173" s="507"/>
      <c r="AM173" s="507"/>
      <c r="AN173" s="507"/>
      <c r="AO173" s="507"/>
      <c r="AP173" s="507"/>
      <c r="AQ173" s="507"/>
      <c r="AR173" s="507"/>
      <c r="AS173" s="507"/>
      <c r="AT173" s="507"/>
      <c r="AU173" s="507"/>
      <c r="AV173" s="507"/>
      <c r="AW173" s="507"/>
      <c r="AX173" s="508"/>
      <c r="AY173" s="509">
        <f>[1]RONET_Input!AG144</f>
        <v>3</v>
      </c>
      <c r="AZ173" s="359" t="s">
        <v>321</v>
      </c>
      <c r="BA173" s="360" t="s">
        <v>502</v>
      </c>
      <c r="BB173" s="360" t="s">
        <v>443</v>
      </c>
      <c r="BC173" s="510">
        <v>3.6114586397739859E-2</v>
      </c>
      <c r="BD173" s="510">
        <v>5.0050000000000018E-2</v>
      </c>
      <c r="BE173" s="438">
        <v>5</v>
      </c>
      <c r="BF173" s="511">
        <v>0.29927195892788339</v>
      </c>
      <c r="BG173" s="512">
        <v>0.41475101997230579</v>
      </c>
      <c r="BH173" s="512">
        <v>8.2867336657803339</v>
      </c>
      <c r="BI173" s="513">
        <v>0</v>
      </c>
      <c r="BJ173" s="514">
        <v>375</v>
      </c>
      <c r="BK173" s="515">
        <v>0.22366666666666665</v>
      </c>
      <c r="BL173" s="512">
        <v>9.8764915348464363E-2</v>
      </c>
      <c r="BM173" s="516">
        <v>3.2054071874999999E-2</v>
      </c>
      <c r="BN173" s="517">
        <v>375</v>
      </c>
      <c r="BO173" s="518">
        <v>397.50000000000011</v>
      </c>
      <c r="BP173" s="518">
        <v>421.34999999999991</v>
      </c>
      <c r="BQ173" s="518">
        <v>446.63099999999997</v>
      </c>
      <c r="BR173" s="518">
        <v>473.42885999999999</v>
      </c>
      <c r="BS173" s="518">
        <v>501.83459160000012</v>
      </c>
      <c r="BT173" s="518">
        <v>531.9446670960001</v>
      </c>
      <c r="BU173" s="518">
        <v>563.86134712175999</v>
      </c>
      <c r="BV173" s="518">
        <v>597.69302794906582</v>
      </c>
      <c r="BW173" s="518">
        <v>633.55460962600955</v>
      </c>
      <c r="BX173" s="518">
        <v>671.56788620357008</v>
      </c>
      <c r="BY173" s="518">
        <v>711.86195937578441</v>
      </c>
      <c r="BZ173" s="518">
        <v>754.57367693833146</v>
      </c>
      <c r="CA173" s="518">
        <v>799.84809755463141</v>
      </c>
      <c r="CB173" s="518">
        <v>847.83898340790915</v>
      </c>
      <c r="CC173" s="518">
        <v>898.70932241238381</v>
      </c>
      <c r="CD173" s="518">
        <v>952.63188175712685</v>
      </c>
      <c r="CE173" s="518">
        <v>1009.7897946625544</v>
      </c>
      <c r="CF173" s="518">
        <v>1070.3771823423076</v>
      </c>
      <c r="CG173" s="519">
        <v>1134.5998132828461</v>
      </c>
      <c r="CH173" s="520">
        <v>6.55</v>
      </c>
      <c r="CI173" s="521">
        <v>6.681</v>
      </c>
      <c r="CJ173" s="521">
        <v>6.8146199999999997</v>
      </c>
      <c r="CK173" s="521">
        <v>6.9509124</v>
      </c>
      <c r="CL173" s="521">
        <v>2.5</v>
      </c>
      <c r="CM173" s="521">
        <v>2.5499999999999998</v>
      </c>
      <c r="CN173" s="521">
        <v>2.601</v>
      </c>
      <c r="CO173" s="521">
        <v>2.6530200000000002</v>
      </c>
      <c r="CP173" s="521">
        <v>2.7060804000000003</v>
      </c>
      <c r="CQ173" s="521">
        <v>2.7602020080000003</v>
      </c>
      <c r="CR173" s="521">
        <v>2.8154060481600003</v>
      </c>
      <c r="CS173" s="521">
        <v>2.8717141691232002</v>
      </c>
      <c r="CT173" s="521">
        <v>2.5</v>
      </c>
      <c r="CU173" s="521">
        <v>2.5499999999999998</v>
      </c>
      <c r="CV173" s="521">
        <v>2.601</v>
      </c>
      <c r="CW173" s="521">
        <v>2.6530200000000002</v>
      </c>
      <c r="CX173" s="521">
        <v>2.7060804000000003</v>
      </c>
      <c r="CY173" s="521">
        <v>2.7602020080000003</v>
      </c>
      <c r="CZ173" s="521">
        <v>2.8154060481600003</v>
      </c>
      <c r="DA173" s="522">
        <v>2.8717141691232002</v>
      </c>
      <c r="DB173" s="523">
        <v>0</v>
      </c>
      <c r="DC173" s="524">
        <v>0</v>
      </c>
      <c r="DD173" s="524">
        <v>0</v>
      </c>
      <c r="DE173" s="524">
        <v>0</v>
      </c>
      <c r="DF173" s="524">
        <v>-2.7324787528976574E-2</v>
      </c>
      <c r="DG173" s="524">
        <v>6.1239393017715818E-3</v>
      </c>
      <c r="DH173" s="524">
        <v>6.7692138203691576E-3</v>
      </c>
      <c r="DI173" s="524">
        <v>7.4815805147135372E-3</v>
      </c>
      <c r="DJ173" s="524">
        <v>8.2679534933131904E-3</v>
      </c>
      <c r="DK173" s="524">
        <v>0.49242788887954841</v>
      </c>
      <c r="DL173" s="524">
        <v>1.2416922628166738E-4</v>
      </c>
      <c r="DM173" s="524">
        <v>8.9440949551475302E-5</v>
      </c>
      <c r="DN173" s="524">
        <v>-3.2408468408546054E-2</v>
      </c>
      <c r="DO173" s="524">
        <v>4.5317132254521497E-4</v>
      </c>
      <c r="DP173" s="524">
        <v>4.4737963268327852E-4</v>
      </c>
      <c r="DQ173" s="524">
        <v>4.3794159307493363E-4</v>
      </c>
      <c r="DR173" s="524">
        <v>4.2430962499817593E-4</v>
      </c>
      <c r="DS173" s="524">
        <v>6.6435364762930382E-2</v>
      </c>
      <c r="DT173" s="524">
        <v>7.2089545859282955E-4</v>
      </c>
      <c r="DU173" s="525">
        <v>7.3315703366153007E-4</v>
      </c>
      <c r="DV173" s="526">
        <v>3.5</v>
      </c>
      <c r="DW173" s="507">
        <v>1</v>
      </c>
      <c r="DX173" s="509">
        <v>6.55</v>
      </c>
      <c r="DY173" s="507">
        <v>2</v>
      </c>
      <c r="DZ173" s="507">
        <v>10</v>
      </c>
      <c r="EA173" s="507">
        <v>0</v>
      </c>
      <c r="EB173" s="507">
        <v>0</v>
      </c>
      <c r="EC173" s="507">
        <v>111.62500000000001</v>
      </c>
      <c r="ED173" s="507">
        <v>102.18750000000001</v>
      </c>
      <c r="EE173" s="507">
        <v>0</v>
      </c>
      <c r="EF173" s="507">
        <v>25.062499999999996</v>
      </c>
      <c r="EG173" s="507">
        <v>29.3125</v>
      </c>
      <c r="EH173" s="507">
        <v>12.8125</v>
      </c>
      <c r="EI173" s="507">
        <v>16.6875</v>
      </c>
      <c r="EJ173" s="507">
        <v>56.4375</v>
      </c>
      <c r="EK173" s="507">
        <v>10.4375</v>
      </c>
      <c r="EL173" s="507">
        <v>10.4375</v>
      </c>
      <c r="EM173" s="508">
        <v>375</v>
      </c>
    </row>
    <row r="174" spans="2:143" x14ac:dyDescent="0.25">
      <c r="B174" s="506">
        <f>[1]RONET_Input!J145</f>
        <v>0</v>
      </c>
      <c r="C174" s="359">
        <f>[1]RONET_Input!B145</f>
        <v>143</v>
      </c>
      <c r="D174" s="397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442">
        <f>[1]RONET_Input!K145</f>
        <v>1.5014701261199999E-2</v>
      </c>
      <c r="Q174" s="398">
        <f>[1]RONET_Input!Y145</f>
        <v>2</v>
      </c>
      <c r="R174" s="398">
        <f>[1]RONET_Input!X145</f>
        <v>3.5</v>
      </c>
      <c r="S174" s="398"/>
      <c r="T174" s="398"/>
      <c r="U174" s="398">
        <f>[1]RONET_Input!AA145</f>
        <v>8</v>
      </c>
      <c r="V174" s="398">
        <f>[1]RONET_Input!AC145</f>
        <v>1</v>
      </c>
      <c r="W174" s="398">
        <f>[1]RONET_Input!AD145</f>
        <v>1</v>
      </c>
      <c r="X174" s="398">
        <f>[1]RONET_Input!AE145</f>
        <v>4</v>
      </c>
      <c r="Y174" s="398">
        <f>[1]RONET_Input!AB145</f>
        <v>1</v>
      </c>
      <c r="Z174" s="438">
        <f>[1]RONET_Input!Z145</f>
        <v>1</v>
      </c>
      <c r="AA174" s="442"/>
      <c r="AB174" s="398"/>
      <c r="AC174" s="438"/>
      <c r="AD174" s="442">
        <f>[1]RONET_Input!AH145</f>
        <v>3</v>
      </c>
      <c r="AE174" s="398">
        <f>[1]RONET_Input!D145</f>
        <v>0</v>
      </c>
      <c r="AF174" s="398"/>
      <c r="AG174" s="398"/>
      <c r="AH174" s="398"/>
      <c r="AI174" s="438"/>
      <c r="AJ174" s="442">
        <v>1</v>
      </c>
      <c r="AK174" s="442">
        <f>[1]RONET_Input!AF145</f>
        <v>4</v>
      </c>
      <c r="AL174" s="507"/>
      <c r="AM174" s="507"/>
      <c r="AN174" s="507"/>
      <c r="AO174" s="507"/>
      <c r="AP174" s="507"/>
      <c r="AQ174" s="507"/>
      <c r="AR174" s="507"/>
      <c r="AS174" s="507"/>
      <c r="AT174" s="507"/>
      <c r="AU174" s="507"/>
      <c r="AV174" s="507"/>
      <c r="AW174" s="507"/>
      <c r="AX174" s="508"/>
      <c r="AY174" s="509">
        <f>[1]RONET_Input!AG145</f>
        <v>3</v>
      </c>
      <c r="AZ174" s="359" t="s">
        <v>321</v>
      </c>
      <c r="BA174" s="360" t="s">
        <v>502</v>
      </c>
      <c r="BB174" s="360" t="s">
        <v>443</v>
      </c>
      <c r="BC174" s="510">
        <v>7.5148579812305992E-4</v>
      </c>
      <c r="BD174" s="510">
        <v>5.0049999999999997E-2</v>
      </c>
      <c r="BE174" s="438">
        <v>6</v>
      </c>
      <c r="BF174" s="511">
        <v>5.9389707602424532E-3</v>
      </c>
      <c r="BG174" s="512">
        <v>0.3955437179152908</v>
      </c>
      <c r="BH174" s="512">
        <v>7.9029713869188969</v>
      </c>
      <c r="BI174" s="513">
        <v>0</v>
      </c>
      <c r="BJ174" s="514">
        <v>375</v>
      </c>
      <c r="BK174" s="515">
        <v>0.22366666666666665</v>
      </c>
      <c r="BL174" s="512">
        <v>2.0551372351267504E-3</v>
      </c>
      <c r="BM174" s="516">
        <v>3.2054071874999999E-2</v>
      </c>
      <c r="BN174" s="517">
        <v>375</v>
      </c>
      <c r="BO174" s="518">
        <v>397.50000000000011</v>
      </c>
      <c r="BP174" s="518">
        <v>421.34999999999991</v>
      </c>
      <c r="BQ174" s="518">
        <v>446.63099999999997</v>
      </c>
      <c r="BR174" s="518">
        <v>473.42885999999999</v>
      </c>
      <c r="BS174" s="518">
        <v>501.83459160000012</v>
      </c>
      <c r="BT174" s="518">
        <v>531.9446670960001</v>
      </c>
      <c r="BU174" s="518">
        <v>563.86134712175999</v>
      </c>
      <c r="BV174" s="518">
        <v>597.69302794906582</v>
      </c>
      <c r="BW174" s="518">
        <v>633.55460962600955</v>
      </c>
      <c r="BX174" s="518">
        <v>671.56788620357008</v>
      </c>
      <c r="BY174" s="518">
        <v>711.86195937578441</v>
      </c>
      <c r="BZ174" s="518">
        <v>754.57367693833146</v>
      </c>
      <c r="CA174" s="518">
        <v>799.84809755463141</v>
      </c>
      <c r="CB174" s="518">
        <v>847.83898340790915</v>
      </c>
      <c r="CC174" s="518">
        <v>898.70932241238381</v>
      </c>
      <c r="CD174" s="518">
        <v>952.63188175712685</v>
      </c>
      <c r="CE174" s="518">
        <v>1009.7897946625544</v>
      </c>
      <c r="CF174" s="518">
        <v>1070.3771823423076</v>
      </c>
      <c r="CG174" s="519">
        <v>1134.5998132828461</v>
      </c>
      <c r="CH174" s="520">
        <v>4.5</v>
      </c>
      <c r="CI174" s="521">
        <v>4.59</v>
      </c>
      <c r="CJ174" s="521">
        <v>4.6818</v>
      </c>
      <c r="CK174" s="521">
        <v>4.775436</v>
      </c>
      <c r="CL174" s="521">
        <v>4.8709447199999998</v>
      </c>
      <c r="CM174" s="521">
        <v>2.5</v>
      </c>
      <c r="CN174" s="521">
        <v>2.5499999999999998</v>
      </c>
      <c r="CO174" s="521">
        <v>2.601</v>
      </c>
      <c r="CP174" s="521">
        <v>2.6530200000000002</v>
      </c>
      <c r="CQ174" s="521">
        <v>2.7060804000000003</v>
      </c>
      <c r="CR174" s="521">
        <v>2.7602020080000003</v>
      </c>
      <c r="CS174" s="521">
        <v>2.8154060481600003</v>
      </c>
      <c r="CT174" s="521">
        <v>2.8717141691232002</v>
      </c>
      <c r="CU174" s="521">
        <v>2.5</v>
      </c>
      <c r="CV174" s="521">
        <v>2.5499999999999998</v>
      </c>
      <c r="CW174" s="521">
        <v>2.601</v>
      </c>
      <c r="CX174" s="521">
        <v>2.6530200000000002</v>
      </c>
      <c r="CY174" s="521">
        <v>2.7060804000000003</v>
      </c>
      <c r="CZ174" s="521">
        <v>2.7602020080000003</v>
      </c>
      <c r="DA174" s="522">
        <v>2.8154060481600003</v>
      </c>
      <c r="DB174" s="523">
        <v>0</v>
      </c>
      <c r="DC174" s="524">
        <v>0</v>
      </c>
      <c r="DD174" s="524">
        <v>0</v>
      </c>
      <c r="DE174" s="524">
        <v>0</v>
      </c>
      <c r="DF174" s="524">
        <v>0</v>
      </c>
      <c r="DG174" s="524">
        <v>-6.3463020678919575E-4</v>
      </c>
      <c r="DH174" s="524">
        <v>5.4521657129571327E-5</v>
      </c>
      <c r="DI174" s="524">
        <v>6.0380769921383011E-5</v>
      </c>
      <c r="DJ174" s="524">
        <v>6.6857380008948815E-5</v>
      </c>
      <c r="DK174" s="524">
        <v>1.0247530198734013E-2</v>
      </c>
      <c r="DL174" s="524">
        <v>3.5921519354153823E-6</v>
      </c>
      <c r="DM174" s="524">
        <v>2.982101156130245E-6</v>
      </c>
      <c r="DN174" s="524">
        <v>2.2513185094228186E-6</v>
      </c>
      <c r="DO174" s="524">
        <v>-6.73480282269739E-4</v>
      </c>
      <c r="DP174" s="524">
        <v>1.0358245911934721E-5</v>
      </c>
      <c r="DQ174" s="524">
        <v>1.0280539565220726E-5</v>
      </c>
      <c r="DR174" s="524">
        <v>1.0128532434648327E-5</v>
      </c>
      <c r="DS174" s="524">
        <v>1.383857217730094E-3</v>
      </c>
      <c r="DT174" s="524">
        <v>1.6607886014693984E-5</v>
      </c>
      <c r="DU174" s="525">
        <v>1.7042477884340271E-5</v>
      </c>
      <c r="DV174" s="526">
        <v>3.5</v>
      </c>
      <c r="DW174" s="507">
        <v>1</v>
      </c>
      <c r="DX174" s="509">
        <v>4.5</v>
      </c>
      <c r="DY174" s="507">
        <v>2</v>
      </c>
      <c r="DZ174" s="507">
        <v>10</v>
      </c>
      <c r="EA174" s="507">
        <v>0</v>
      </c>
      <c r="EB174" s="507">
        <v>0</v>
      </c>
      <c r="EC174" s="507">
        <v>111.62500000000001</v>
      </c>
      <c r="ED174" s="507">
        <v>102.18750000000001</v>
      </c>
      <c r="EE174" s="507">
        <v>0</v>
      </c>
      <c r="EF174" s="507">
        <v>25.062499999999996</v>
      </c>
      <c r="EG174" s="507">
        <v>29.3125</v>
      </c>
      <c r="EH174" s="507">
        <v>12.8125</v>
      </c>
      <c r="EI174" s="507">
        <v>16.6875</v>
      </c>
      <c r="EJ174" s="507">
        <v>56.4375</v>
      </c>
      <c r="EK174" s="507">
        <v>10.4375</v>
      </c>
      <c r="EL174" s="507">
        <v>10.4375</v>
      </c>
      <c r="EM174" s="508">
        <v>375</v>
      </c>
    </row>
    <row r="175" spans="2:143" x14ac:dyDescent="0.25">
      <c r="B175" s="506" t="str">
        <f>[1]RONET_Input!J146</f>
        <v xml:space="preserve">Input VPROMMS: 212th00024 (33.33 pct); 214tt00097 (33.33 pct); 212TH00024 (33.33 pct); </v>
      </c>
      <c r="C175" s="359">
        <f>[1]RONET_Input!B146</f>
        <v>144</v>
      </c>
      <c r="D175" s="397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442">
        <f>[1]RONET_Input!K146</f>
        <v>1.8327247395199999E-2</v>
      </c>
      <c r="Q175" s="398">
        <f>[1]RONET_Input!Y146</f>
        <v>2</v>
      </c>
      <c r="R175" s="398">
        <f>[1]RONET_Input!X146</f>
        <v>3.5</v>
      </c>
      <c r="S175" s="398"/>
      <c r="T175" s="398"/>
      <c r="U175" s="398">
        <f>[1]RONET_Input!AA146</f>
        <v>8</v>
      </c>
      <c r="V175" s="398">
        <f>[1]RONET_Input!AC146</f>
        <v>1</v>
      </c>
      <c r="W175" s="398">
        <f>[1]RONET_Input!AD146</f>
        <v>1</v>
      </c>
      <c r="X175" s="398">
        <f>[1]RONET_Input!AE146</f>
        <v>4</v>
      </c>
      <c r="Y175" s="398">
        <f>[1]RONET_Input!AB146</f>
        <v>1</v>
      </c>
      <c r="Z175" s="438">
        <f>[1]RONET_Input!Z146</f>
        <v>1</v>
      </c>
      <c r="AA175" s="442"/>
      <c r="AB175" s="398"/>
      <c r="AC175" s="438"/>
      <c r="AD175" s="442">
        <f>[1]RONET_Input!AH146</f>
        <v>2</v>
      </c>
      <c r="AE175" s="398">
        <f>[1]RONET_Input!D146</f>
        <v>5.0199999999999996</v>
      </c>
      <c r="AF175" s="398"/>
      <c r="AG175" s="398"/>
      <c r="AH175" s="398"/>
      <c r="AI175" s="438"/>
      <c r="AJ175" s="442">
        <v>1</v>
      </c>
      <c r="AK175" s="442">
        <f>[1]RONET_Input!AF146</f>
        <v>4</v>
      </c>
      <c r="AL175" s="507"/>
      <c r="AM175" s="507"/>
      <c r="AN175" s="507"/>
      <c r="AO175" s="507"/>
      <c r="AP175" s="507"/>
      <c r="AQ175" s="507"/>
      <c r="AR175" s="507"/>
      <c r="AS175" s="507"/>
      <c r="AT175" s="507"/>
      <c r="AU175" s="507"/>
      <c r="AV175" s="507"/>
      <c r="AW175" s="507"/>
      <c r="AX175" s="508"/>
      <c r="AY175" s="509">
        <f>[1]RONET_Input!AG146</f>
        <v>3</v>
      </c>
      <c r="AZ175" s="359" t="s">
        <v>321</v>
      </c>
      <c r="BA175" s="360" t="s">
        <v>502</v>
      </c>
      <c r="BB175" s="360" t="s">
        <v>443</v>
      </c>
      <c r="BC175" s="510">
        <v>9.1727873212975992E-4</v>
      </c>
      <c r="BD175" s="510">
        <v>5.0049999999999997E-2</v>
      </c>
      <c r="BE175" s="438">
        <v>6</v>
      </c>
      <c r="BF175" s="511">
        <v>7.3154777687852376E-3</v>
      </c>
      <c r="BG175" s="512">
        <v>0.3991585648972687</v>
      </c>
      <c r="BH175" s="512">
        <v>7.9751961018435304</v>
      </c>
      <c r="BI175" s="513">
        <v>0</v>
      </c>
      <c r="BJ175" s="514">
        <v>375</v>
      </c>
      <c r="BK175" s="515">
        <v>0.22366666666666665</v>
      </c>
      <c r="BL175" s="512">
        <v>2.5085419872180005E-3</v>
      </c>
      <c r="BM175" s="516">
        <v>3.2054071874999999E-2</v>
      </c>
      <c r="BN175" s="517">
        <v>375</v>
      </c>
      <c r="BO175" s="518">
        <v>397.50000000000011</v>
      </c>
      <c r="BP175" s="518">
        <v>421.34999999999991</v>
      </c>
      <c r="BQ175" s="518">
        <v>446.63099999999997</v>
      </c>
      <c r="BR175" s="518">
        <v>473.42885999999999</v>
      </c>
      <c r="BS175" s="518">
        <v>501.83459160000012</v>
      </c>
      <c r="BT175" s="518">
        <v>531.9446670960001</v>
      </c>
      <c r="BU175" s="518">
        <v>563.86134712175999</v>
      </c>
      <c r="BV175" s="518">
        <v>597.69302794906582</v>
      </c>
      <c r="BW175" s="518">
        <v>633.55460962600955</v>
      </c>
      <c r="BX175" s="518">
        <v>671.56788620357008</v>
      </c>
      <c r="BY175" s="518">
        <v>711.86195937578441</v>
      </c>
      <c r="BZ175" s="518">
        <v>754.57367693833146</v>
      </c>
      <c r="CA175" s="518">
        <v>799.84809755463141</v>
      </c>
      <c r="CB175" s="518">
        <v>847.83898340790915</v>
      </c>
      <c r="CC175" s="518">
        <v>898.70932241238381</v>
      </c>
      <c r="CD175" s="518">
        <v>952.63188175712685</v>
      </c>
      <c r="CE175" s="518">
        <v>1009.7897946625544</v>
      </c>
      <c r="CF175" s="518">
        <v>1070.3771823423076</v>
      </c>
      <c r="CG175" s="519">
        <v>1134.5998132828461</v>
      </c>
      <c r="CH175" s="520">
        <v>5.0199999999999996</v>
      </c>
      <c r="CI175" s="521">
        <v>5.1203999999999992</v>
      </c>
      <c r="CJ175" s="521">
        <v>5.2228079999999988</v>
      </c>
      <c r="CK175" s="521">
        <v>5.3272641599999986</v>
      </c>
      <c r="CL175" s="521">
        <v>5.4338094431999986</v>
      </c>
      <c r="CM175" s="521">
        <v>2.5</v>
      </c>
      <c r="CN175" s="521">
        <v>2.5499999999999998</v>
      </c>
      <c r="CO175" s="521">
        <v>2.601</v>
      </c>
      <c r="CP175" s="521">
        <v>2.6530200000000002</v>
      </c>
      <c r="CQ175" s="521">
        <v>2.7060804000000003</v>
      </c>
      <c r="CR175" s="521">
        <v>2.7602020080000003</v>
      </c>
      <c r="CS175" s="521">
        <v>2.8154060481600003</v>
      </c>
      <c r="CT175" s="521">
        <v>2.8717141691232002</v>
      </c>
      <c r="CU175" s="521">
        <v>2.5</v>
      </c>
      <c r="CV175" s="521">
        <v>2.5499999999999998</v>
      </c>
      <c r="CW175" s="521">
        <v>2.601</v>
      </c>
      <c r="CX175" s="521">
        <v>2.6530200000000002</v>
      </c>
      <c r="CY175" s="521">
        <v>2.7060804000000003</v>
      </c>
      <c r="CZ175" s="521">
        <v>2.7602020080000003</v>
      </c>
      <c r="DA175" s="522">
        <v>2.8154060481600003</v>
      </c>
      <c r="DB175" s="523">
        <v>0</v>
      </c>
      <c r="DC175" s="524">
        <v>0</v>
      </c>
      <c r="DD175" s="524">
        <v>0</v>
      </c>
      <c r="DE175" s="524">
        <v>0</v>
      </c>
      <c r="DF175" s="524">
        <v>0</v>
      </c>
      <c r="DG175" s="524">
        <v>-7.5383233161112188E-4</v>
      </c>
      <c r="DH175" s="524">
        <v>8.9541283516674387E-5</v>
      </c>
      <c r="DI175" s="524">
        <v>9.9099697706520442E-5</v>
      </c>
      <c r="DJ175" s="524">
        <v>1.0966072628981012E-4</v>
      </c>
      <c r="DK175" s="524">
        <v>1.2508342182425232E-2</v>
      </c>
      <c r="DL175" s="524">
        <v>4.3846531513503512E-6</v>
      </c>
      <c r="DM175" s="524">
        <v>3.6400128577409804E-6</v>
      </c>
      <c r="DN175" s="524">
        <v>2.7480048100728127E-6</v>
      </c>
      <c r="DO175" s="524">
        <v>-8.2206362512471072E-4</v>
      </c>
      <c r="DP175" s="524">
        <v>1.2643484016490198E-5</v>
      </c>
      <c r="DQ175" s="524">
        <v>1.2548634081374025E-5</v>
      </c>
      <c r="DR175" s="524">
        <v>1.2363091109898316E-5</v>
      </c>
      <c r="DS175" s="524">
        <v>1.6891640498044504E-3</v>
      </c>
      <c r="DT175" s="524">
        <v>2.0271920859932235E-5</v>
      </c>
      <c r="DU175" s="525">
        <v>2.0802392467218767E-5</v>
      </c>
      <c r="DV175" s="526">
        <v>3.5</v>
      </c>
      <c r="DW175" s="507">
        <v>1</v>
      </c>
      <c r="DX175" s="509">
        <v>5.0199999999999996</v>
      </c>
      <c r="DY175" s="507">
        <v>2</v>
      </c>
      <c r="DZ175" s="507">
        <v>5</v>
      </c>
      <c r="EA175" s="507">
        <v>0</v>
      </c>
      <c r="EB175" s="507">
        <v>0</v>
      </c>
      <c r="EC175" s="507">
        <v>111.62500000000001</v>
      </c>
      <c r="ED175" s="507">
        <v>102.18750000000001</v>
      </c>
      <c r="EE175" s="507">
        <v>0</v>
      </c>
      <c r="EF175" s="507">
        <v>25.062499999999996</v>
      </c>
      <c r="EG175" s="507">
        <v>29.3125</v>
      </c>
      <c r="EH175" s="507">
        <v>12.8125</v>
      </c>
      <c r="EI175" s="507">
        <v>16.6875</v>
      </c>
      <c r="EJ175" s="507">
        <v>56.4375</v>
      </c>
      <c r="EK175" s="507">
        <v>10.4375</v>
      </c>
      <c r="EL175" s="507">
        <v>10.4375</v>
      </c>
      <c r="EM175" s="508">
        <v>375</v>
      </c>
    </row>
    <row r="176" spans="2:143" x14ac:dyDescent="0.25">
      <c r="B176" s="506" t="str">
        <f>[1]RONET_Input!J147</f>
        <v xml:space="preserve">Input VPROMMS: QL45_2 (46.67 pct); ql45_1 (46.67 pct); 212th00024 (6.67 pct); </v>
      </c>
      <c r="C176" s="359">
        <f>[1]RONET_Input!B147</f>
        <v>145</v>
      </c>
      <c r="D176" s="397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442">
        <f>[1]RONET_Input!K147</f>
        <v>0.43761428296600002</v>
      </c>
      <c r="Q176" s="398">
        <f>[1]RONET_Input!Y147</f>
        <v>2</v>
      </c>
      <c r="R176" s="398">
        <f>[1]RONET_Input!X147</f>
        <v>3.5</v>
      </c>
      <c r="S176" s="398"/>
      <c r="T176" s="398"/>
      <c r="U176" s="398">
        <f>[1]RONET_Input!AA147</f>
        <v>8</v>
      </c>
      <c r="V176" s="398">
        <f>[1]RONET_Input!AC147</f>
        <v>1</v>
      </c>
      <c r="W176" s="398">
        <f>[1]RONET_Input!AD147</f>
        <v>1</v>
      </c>
      <c r="X176" s="398">
        <f>[1]RONET_Input!AE147</f>
        <v>4</v>
      </c>
      <c r="Y176" s="398">
        <f>[1]RONET_Input!AB147</f>
        <v>1</v>
      </c>
      <c r="Z176" s="438">
        <f>[1]RONET_Input!Z147</f>
        <v>1</v>
      </c>
      <c r="AA176" s="442"/>
      <c r="AB176" s="398"/>
      <c r="AC176" s="438"/>
      <c r="AD176" s="442">
        <f>[1]RONET_Input!AH147</f>
        <v>4</v>
      </c>
      <c r="AE176" s="398">
        <f>[1]RONET_Input!D147</f>
        <v>8.06</v>
      </c>
      <c r="AF176" s="398"/>
      <c r="AG176" s="398"/>
      <c r="AH176" s="398"/>
      <c r="AI176" s="438"/>
      <c r="AJ176" s="442">
        <v>1</v>
      </c>
      <c r="AK176" s="442">
        <f>[1]RONET_Input!AF147</f>
        <v>4</v>
      </c>
      <c r="AL176" s="507"/>
      <c r="AM176" s="507"/>
      <c r="AN176" s="507"/>
      <c r="AO176" s="507"/>
      <c r="AP176" s="507"/>
      <c r="AQ176" s="507"/>
      <c r="AR176" s="507"/>
      <c r="AS176" s="507"/>
      <c r="AT176" s="507"/>
      <c r="AU176" s="507"/>
      <c r="AV176" s="507"/>
      <c r="AW176" s="507"/>
      <c r="AX176" s="508"/>
      <c r="AY176" s="509">
        <f>[1]RONET_Input!AG147</f>
        <v>3</v>
      </c>
      <c r="AZ176" s="359" t="s">
        <v>321</v>
      </c>
      <c r="BA176" s="360" t="s">
        <v>502</v>
      </c>
      <c r="BB176" s="360" t="s">
        <v>443</v>
      </c>
      <c r="BC176" s="510">
        <v>2.1902594862448301E-2</v>
      </c>
      <c r="BD176" s="510">
        <v>5.0049999999999997E-2</v>
      </c>
      <c r="BE176" s="438">
        <v>5</v>
      </c>
      <c r="BF176" s="511">
        <v>0.1902879258174113</v>
      </c>
      <c r="BG176" s="512">
        <v>0.43483024486245009</v>
      </c>
      <c r="BH176" s="512">
        <v>8.6879169802687333</v>
      </c>
      <c r="BI176" s="513">
        <v>0</v>
      </c>
      <c r="BJ176" s="514">
        <v>375</v>
      </c>
      <c r="BK176" s="515">
        <v>0.22366666666666665</v>
      </c>
      <c r="BL176" s="512">
        <v>5.9898454980971259E-2</v>
      </c>
      <c r="BM176" s="516">
        <v>3.2054071874999999E-2</v>
      </c>
      <c r="BN176" s="517">
        <v>375</v>
      </c>
      <c r="BO176" s="518">
        <v>397.50000000000011</v>
      </c>
      <c r="BP176" s="518">
        <v>421.34999999999991</v>
      </c>
      <c r="BQ176" s="518">
        <v>446.63099999999997</v>
      </c>
      <c r="BR176" s="518">
        <v>473.42885999999999</v>
      </c>
      <c r="BS176" s="518">
        <v>501.83459160000012</v>
      </c>
      <c r="BT176" s="518">
        <v>531.9446670960001</v>
      </c>
      <c r="BU176" s="518">
        <v>563.86134712175999</v>
      </c>
      <c r="BV176" s="518">
        <v>597.69302794906582</v>
      </c>
      <c r="BW176" s="518">
        <v>633.55460962600955</v>
      </c>
      <c r="BX176" s="518">
        <v>671.56788620357008</v>
      </c>
      <c r="BY176" s="518">
        <v>711.86195937578441</v>
      </c>
      <c r="BZ176" s="518">
        <v>754.57367693833146</v>
      </c>
      <c r="CA176" s="518">
        <v>799.84809755463141</v>
      </c>
      <c r="CB176" s="518">
        <v>847.83898340790915</v>
      </c>
      <c r="CC176" s="518">
        <v>898.70932241238381</v>
      </c>
      <c r="CD176" s="518">
        <v>952.63188175712685</v>
      </c>
      <c r="CE176" s="518">
        <v>1009.7897946625544</v>
      </c>
      <c r="CF176" s="518">
        <v>1070.3771823423076</v>
      </c>
      <c r="CG176" s="519">
        <v>1134.5998132828461</v>
      </c>
      <c r="CH176" s="520">
        <v>8.06</v>
      </c>
      <c r="CI176" s="521">
        <v>8.2212000000000014</v>
      </c>
      <c r="CJ176" s="521">
        <v>8.3856240000000017</v>
      </c>
      <c r="CK176" s="521">
        <v>8.5533364800000022</v>
      </c>
      <c r="CL176" s="521">
        <v>2.5</v>
      </c>
      <c r="CM176" s="521">
        <v>2.5499999999999998</v>
      </c>
      <c r="CN176" s="521">
        <v>2.601</v>
      </c>
      <c r="CO176" s="521">
        <v>2.6530200000000002</v>
      </c>
      <c r="CP176" s="521">
        <v>2.7060804000000003</v>
      </c>
      <c r="CQ176" s="521">
        <v>2.7602020080000003</v>
      </c>
      <c r="CR176" s="521">
        <v>2.8154060481600003</v>
      </c>
      <c r="CS176" s="521">
        <v>2.8717141691232002</v>
      </c>
      <c r="CT176" s="521">
        <v>2.5</v>
      </c>
      <c r="CU176" s="521">
        <v>2.5499999999999998</v>
      </c>
      <c r="CV176" s="521">
        <v>2.601</v>
      </c>
      <c r="CW176" s="521">
        <v>2.6530200000000002</v>
      </c>
      <c r="CX176" s="521">
        <v>2.7060804000000003</v>
      </c>
      <c r="CY176" s="521">
        <v>2.7602020080000003</v>
      </c>
      <c r="CZ176" s="521">
        <v>2.8154060481600003</v>
      </c>
      <c r="DA176" s="522">
        <v>2.8717141691232002</v>
      </c>
      <c r="DB176" s="523">
        <v>0</v>
      </c>
      <c r="DC176" s="524">
        <v>0</v>
      </c>
      <c r="DD176" s="524">
        <v>0</v>
      </c>
      <c r="DE176" s="524">
        <v>0</v>
      </c>
      <c r="DF176" s="524">
        <v>-1.4526045600465609E-2</v>
      </c>
      <c r="DG176" s="524">
        <v>5.9706030252572942E-3</v>
      </c>
      <c r="DH176" s="524">
        <v>6.5944066208057928E-3</v>
      </c>
      <c r="DI176" s="524">
        <v>7.2827464439214618E-3</v>
      </c>
      <c r="DJ176" s="524">
        <v>8.0422595106195982E-3</v>
      </c>
      <c r="DK176" s="524">
        <v>0.29864521859163373</v>
      </c>
      <c r="DL176" s="524">
        <v>7.5305535211685204E-5</v>
      </c>
      <c r="DM176" s="524">
        <v>5.4243702546218076E-5</v>
      </c>
      <c r="DN176" s="524">
        <v>-1.9654926844441499E-2</v>
      </c>
      <c r="DO176" s="524">
        <v>2.7483709135344564E-4</v>
      </c>
      <c r="DP176" s="524">
        <v>2.7132457607172145E-4</v>
      </c>
      <c r="DQ176" s="524">
        <v>2.6560064071884382E-4</v>
      </c>
      <c r="DR176" s="524">
        <v>2.5733319247299435E-4</v>
      </c>
      <c r="DS176" s="524">
        <v>4.0291389825594215E-2</v>
      </c>
      <c r="DT176" s="524">
        <v>4.3720509474602653E-4</v>
      </c>
      <c r="DU176" s="525">
        <v>4.4464143385143651E-4</v>
      </c>
      <c r="DV176" s="526">
        <v>3.5</v>
      </c>
      <c r="DW176" s="507">
        <v>1</v>
      </c>
      <c r="DX176" s="509">
        <v>8.06</v>
      </c>
      <c r="DY176" s="507">
        <v>2</v>
      </c>
      <c r="DZ176" s="507">
        <v>15</v>
      </c>
      <c r="EA176" s="507">
        <v>0</v>
      </c>
      <c r="EB176" s="507">
        <v>0</v>
      </c>
      <c r="EC176" s="507">
        <v>111.62500000000001</v>
      </c>
      <c r="ED176" s="507">
        <v>102.18750000000001</v>
      </c>
      <c r="EE176" s="507">
        <v>0</v>
      </c>
      <c r="EF176" s="507">
        <v>25.062499999999996</v>
      </c>
      <c r="EG176" s="507">
        <v>29.3125</v>
      </c>
      <c r="EH176" s="507">
        <v>12.8125</v>
      </c>
      <c r="EI176" s="507">
        <v>16.6875</v>
      </c>
      <c r="EJ176" s="507">
        <v>56.4375</v>
      </c>
      <c r="EK176" s="507">
        <v>10.4375</v>
      </c>
      <c r="EL176" s="507">
        <v>10.4375</v>
      </c>
      <c r="EM176" s="508">
        <v>375</v>
      </c>
    </row>
    <row r="177" spans="2:143" x14ac:dyDescent="0.25">
      <c r="B177" s="506" t="str">
        <f>[1]RONET_Input!J148</f>
        <v xml:space="preserve">Input VPROMMS: 212th00024 (57.14 pct); 212TH00024 (42.86 pct); </v>
      </c>
      <c r="C177" s="359">
        <f>[1]RONET_Input!B148</f>
        <v>146</v>
      </c>
      <c r="D177" s="397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442">
        <f>[1]RONET_Input!K148</f>
        <v>8.5787961728000003E-2</v>
      </c>
      <c r="Q177" s="398">
        <f>[1]RONET_Input!Y148</f>
        <v>2</v>
      </c>
      <c r="R177" s="398">
        <f>[1]RONET_Input!X148</f>
        <v>3.5</v>
      </c>
      <c r="S177" s="398"/>
      <c r="T177" s="398"/>
      <c r="U177" s="398">
        <f>[1]RONET_Input!AA148</f>
        <v>8</v>
      </c>
      <c r="V177" s="398">
        <f>[1]RONET_Input!AC148</f>
        <v>1</v>
      </c>
      <c r="W177" s="398">
        <f>[1]RONET_Input!AD148</f>
        <v>1</v>
      </c>
      <c r="X177" s="398">
        <f>[1]RONET_Input!AE148</f>
        <v>4</v>
      </c>
      <c r="Y177" s="398">
        <f>[1]RONET_Input!AB148</f>
        <v>1</v>
      </c>
      <c r="Z177" s="438">
        <f>[1]RONET_Input!Z148</f>
        <v>1</v>
      </c>
      <c r="AA177" s="442"/>
      <c r="AB177" s="398"/>
      <c r="AC177" s="438"/>
      <c r="AD177" s="442">
        <f>[1]RONET_Input!AH148</f>
        <v>3</v>
      </c>
      <c r="AE177" s="398">
        <f>[1]RONET_Input!D148</f>
        <v>0</v>
      </c>
      <c r="AF177" s="398"/>
      <c r="AG177" s="398"/>
      <c r="AH177" s="398"/>
      <c r="AI177" s="438"/>
      <c r="AJ177" s="442">
        <v>1</v>
      </c>
      <c r="AK177" s="442">
        <f>[1]RONET_Input!AF148</f>
        <v>4</v>
      </c>
      <c r="AL177" s="507"/>
      <c r="AM177" s="507"/>
      <c r="AN177" s="507"/>
      <c r="AO177" s="507"/>
      <c r="AP177" s="507"/>
      <c r="AQ177" s="507"/>
      <c r="AR177" s="507"/>
      <c r="AS177" s="507"/>
      <c r="AT177" s="507"/>
      <c r="AU177" s="507"/>
      <c r="AV177" s="507"/>
      <c r="AW177" s="507"/>
      <c r="AX177" s="508"/>
      <c r="AY177" s="509">
        <f>[1]RONET_Input!AG148</f>
        <v>3</v>
      </c>
      <c r="AZ177" s="359" t="s">
        <v>321</v>
      </c>
      <c r="BA177" s="360" t="s">
        <v>502</v>
      </c>
      <c r="BB177" s="360" t="s">
        <v>443</v>
      </c>
      <c r="BC177" s="510">
        <v>4.2936874844863998E-3</v>
      </c>
      <c r="BD177" s="510">
        <v>5.0049999999999997E-2</v>
      </c>
      <c r="BE177" s="438">
        <v>6</v>
      </c>
      <c r="BF177" s="511">
        <v>3.3932889334267795E-2</v>
      </c>
      <c r="BG177" s="512">
        <v>0.3955437179152908</v>
      </c>
      <c r="BH177" s="512">
        <v>7.9029713869188978</v>
      </c>
      <c r="BI177" s="513">
        <v>0</v>
      </c>
      <c r="BJ177" s="514">
        <v>375</v>
      </c>
      <c r="BK177" s="515">
        <v>0.22366666666666665</v>
      </c>
      <c r="BL177" s="512">
        <v>1.1742227261520003E-2</v>
      </c>
      <c r="BM177" s="516">
        <v>3.2054071874999999E-2</v>
      </c>
      <c r="BN177" s="517">
        <v>375</v>
      </c>
      <c r="BO177" s="518">
        <v>397.50000000000011</v>
      </c>
      <c r="BP177" s="518">
        <v>421.34999999999991</v>
      </c>
      <c r="BQ177" s="518">
        <v>446.63099999999997</v>
      </c>
      <c r="BR177" s="518">
        <v>473.42885999999999</v>
      </c>
      <c r="BS177" s="518">
        <v>501.83459160000012</v>
      </c>
      <c r="BT177" s="518">
        <v>531.9446670960001</v>
      </c>
      <c r="BU177" s="518">
        <v>563.86134712175999</v>
      </c>
      <c r="BV177" s="518">
        <v>597.69302794906582</v>
      </c>
      <c r="BW177" s="518">
        <v>633.55460962600955</v>
      </c>
      <c r="BX177" s="518">
        <v>671.56788620357008</v>
      </c>
      <c r="BY177" s="518">
        <v>711.86195937578441</v>
      </c>
      <c r="BZ177" s="518">
        <v>754.57367693833146</v>
      </c>
      <c r="CA177" s="518">
        <v>799.84809755463141</v>
      </c>
      <c r="CB177" s="518">
        <v>847.83898340790915</v>
      </c>
      <c r="CC177" s="518">
        <v>898.70932241238381</v>
      </c>
      <c r="CD177" s="518">
        <v>952.63188175712685</v>
      </c>
      <c r="CE177" s="518">
        <v>1009.7897946625544</v>
      </c>
      <c r="CF177" s="518">
        <v>1070.3771823423076</v>
      </c>
      <c r="CG177" s="519">
        <v>1134.5998132828461</v>
      </c>
      <c r="CH177" s="520">
        <v>4.5</v>
      </c>
      <c r="CI177" s="521">
        <v>4.59</v>
      </c>
      <c r="CJ177" s="521">
        <v>4.6818</v>
      </c>
      <c r="CK177" s="521">
        <v>4.775436</v>
      </c>
      <c r="CL177" s="521">
        <v>4.8709447199999998</v>
      </c>
      <c r="CM177" s="521">
        <v>2.5</v>
      </c>
      <c r="CN177" s="521">
        <v>2.5499999999999998</v>
      </c>
      <c r="CO177" s="521">
        <v>2.601</v>
      </c>
      <c r="CP177" s="521">
        <v>2.6530200000000002</v>
      </c>
      <c r="CQ177" s="521">
        <v>2.7060804000000003</v>
      </c>
      <c r="CR177" s="521">
        <v>2.7602020080000003</v>
      </c>
      <c r="CS177" s="521">
        <v>2.8154060481600003</v>
      </c>
      <c r="CT177" s="521">
        <v>2.8717141691232002</v>
      </c>
      <c r="CU177" s="521">
        <v>2.5</v>
      </c>
      <c r="CV177" s="521">
        <v>2.5499999999999998</v>
      </c>
      <c r="CW177" s="521">
        <v>2.601</v>
      </c>
      <c r="CX177" s="521">
        <v>2.6530200000000002</v>
      </c>
      <c r="CY177" s="521">
        <v>2.7060804000000003</v>
      </c>
      <c r="CZ177" s="521">
        <v>2.7602020080000003</v>
      </c>
      <c r="DA177" s="522">
        <v>2.8154060481600003</v>
      </c>
      <c r="DB177" s="523">
        <v>0</v>
      </c>
      <c r="DC177" s="524">
        <v>0</v>
      </c>
      <c r="DD177" s="524">
        <v>0</v>
      </c>
      <c r="DE177" s="524">
        <v>0</v>
      </c>
      <c r="DF177" s="524">
        <v>0</v>
      </c>
      <c r="DG177" s="524">
        <v>-3.6260216533347805E-3</v>
      </c>
      <c r="DH177" s="524">
        <v>3.1151481163768386E-4</v>
      </c>
      <c r="DI177" s="524">
        <v>3.4499142467179535E-4</v>
      </c>
      <c r="DJ177" s="524">
        <v>3.8199616879914383E-4</v>
      </c>
      <c r="DK177" s="524">
        <v>5.8550264384364954E-2</v>
      </c>
      <c r="DL177" s="524">
        <v>2.0524110829492348E-5</v>
      </c>
      <c r="DM177" s="524">
        <v>1.7038526135196644E-5</v>
      </c>
      <c r="DN177" s="524">
        <v>1.2863128127831372E-5</v>
      </c>
      <c r="DO177" s="524">
        <v>-3.8479953530092016E-3</v>
      </c>
      <c r="DP177" s="524">
        <v>5.9182849422290823E-5</v>
      </c>
      <c r="DQ177" s="524">
        <v>5.8738866622902799E-5</v>
      </c>
      <c r="DR177" s="524">
        <v>5.7870359040028407E-5</v>
      </c>
      <c r="DS177" s="524">
        <v>7.906803336702399E-3</v>
      </c>
      <c r="DT177" s="524">
        <v>9.4890778379539895E-5</v>
      </c>
      <c r="DU177" s="525">
        <v>9.7373861461379219E-5</v>
      </c>
      <c r="DV177" s="526">
        <v>3.5</v>
      </c>
      <c r="DW177" s="507">
        <v>1</v>
      </c>
      <c r="DX177" s="509">
        <v>4.5</v>
      </c>
      <c r="DY177" s="507">
        <v>2</v>
      </c>
      <c r="DZ177" s="507">
        <v>10</v>
      </c>
      <c r="EA177" s="507">
        <v>0</v>
      </c>
      <c r="EB177" s="507">
        <v>0</v>
      </c>
      <c r="EC177" s="507">
        <v>111.62500000000001</v>
      </c>
      <c r="ED177" s="507">
        <v>102.18750000000001</v>
      </c>
      <c r="EE177" s="507">
        <v>0</v>
      </c>
      <c r="EF177" s="507">
        <v>25.062499999999996</v>
      </c>
      <c r="EG177" s="507">
        <v>29.3125</v>
      </c>
      <c r="EH177" s="507">
        <v>12.8125</v>
      </c>
      <c r="EI177" s="507">
        <v>16.6875</v>
      </c>
      <c r="EJ177" s="507">
        <v>56.4375</v>
      </c>
      <c r="EK177" s="507">
        <v>10.4375</v>
      </c>
      <c r="EL177" s="507">
        <v>10.4375</v>
      </c>
      <c r="EM177" s="508">
        <v>375</v>
      </c>
    </row>
    <row r="178" spans="2:143" x14ac:dyDescent="0.25">
      <c r="B178" s="506" t="str">
        <f>[1]RONET_Input!J149</f>
        <v>214tt00097</v>
      </c>
      <c r="C178" s="359">
        <f>[1]RONET_Input!B149</f>
        <v>147</v>
      </c>
      <c r="D178" s="397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442">
        <f>[1]RONET_Input!K149</f>
        <v>0.62154516951100003</v>
      </c>
      <c r="Q178" s="398">
        <f>[1]RONET_Input!Y149</f>
        <v>1</v>
      </c>
      <c r="R178" s="398">
        <f>[1]RONET_Input!X149</f>
        <v>3.4</v>
      </c>
      <c r="S178" s="398"/>
      <c r="T178" s="398"/>
      <c r="U178" s="398">
        <f>[1]RONET_Input!AA149</f>
        <v>8</v>
      </c>
      <c r="V178" s="398">
        <f>[1]RONET_Input!AC149</f>
        <v>1</v>
      </c>
      <c r="W178" s="398">
        <f>[1]RONET_Input!AD149</f>
        <v>1</v>
      </c>
      <c r="X178" s="398">
        <f>[1]RONET_Input!AE149</f>
        <v>4</v>
      </c>
      <c r="Y178" s="398">
        <f>[1]RONET_Input!AB149</f>
        <v>1</v>
      </c>
      <c r="Z178" s="438">
        <f>[1]RONET_Input!Z149</f>
        <v>1</v>
      </c>
      <c r="AA178" s="442"/>
      <c r="AB178" s="398"/>
      <c r="AC178" s="438"/>
      <c r="AD178" s="442">
        <f>[1]RONET_Input!AH149</f>
        <v>2</v>
      </c>
      <c r="AE178" s="398">
        <f>[1]RONET_Input!D149</f>
        <v>5.5650000000000004</v>
      </c>
      <c r="AF178" s="398"/>
      <c r="AG178" s="398"/>
      <c r="AH178" s="398"/>
      <c r="AI178" s="438"/>
      <c r="AJ178" s="442">
        <v>1</v>
      </c>
      <c r="AK178" s="442">
        <f>[1]RONET_Input!AF149</f>
        <v>4</v>
      </c>
      <c r="AL178" s="507"/>
      <c r="AM178" s="507"/>
      <c r="AN178" s="507"/>
      <c r="AO178" s="507"/>
      <c r="AP178" s="507"/>
      <c r="AQ178" s="507"/>
      <c r="AR178" s="507"/>
      <c r="AS178" s="507"/>
      <c r="AT178" s="507"/>
      <c r="AU178" s="507"/>
      <c r="AV178" s="507"/>
      <c r="AW178" s="507"/>
      <c r="AX178" s="508"/>
      <c r="AY178" s="509">
        <f>[1]RONET_Input!AG149</f>
        <v>3</v>
      </c>
      <c r="AZ178" s="359" t="s">
        <v>321</v>
      </c>
      <c r="BA178" s="360" t="s">
        <v>502</v>
      </c>
      <c r="BB178" s="360" t="s">
        <v>443</v>
      </c>
      <c r="BC178" s="510">
        <v>3.0219526141624823E-2</v>
      </c>
      <c r="BD178" s="510">
        <v>4.8620000000000003E-2</v>
      </c>
      <c r="BE178" s="438">
        <v>5</v>
      </c>
      <c r="BF178" s="511">
        <v>0.26306383350586643</v>
      </c>
      <c r="BG178" s="512">
        <v>0.42324169893047614</v>
      </c>
      <c r="BH178" s="512">
        <v>8.7050945892734699</v>
      </c>
      <c r="BI178" s="513">
        <v>0</v>
      </c>
      <c r="BJ178" s="514">
        <v>375</v>
      </c>
      <c r="BK178" s="515">
        <v>0.22366666666666665</v>
      </c>
      <c r="BL178" s="512">
        <v>8.5073995076818149E-2</v>
      </c>
      <c r="BM178" s="516">
        <v>6.4108143749999999E-2</v>
      </c>
      <c r="BN178" s="517">
        <v>375</v>
      </c>
      <c r="BO178" s="518">
        <v>397.50000000000011</v>
      </c>
      <c r="BP178" s="518">
        <v>421.34999999999991</v>
      </c>
      <c r="BQ178" s="518">
        <v>446.63099999999997</v>
      </c>
      <c r="BR178" s="518">
        <v>473.42885999999999</v>
      </c>
      <c r="BS178" s="518">
        <v>501.83459160000012</v>
      </c>
      <c r="BT178" s="518">
        <v>531.9446670960001</v>
      </c>
      <c r="BU178" s="518">
        <v>563.86134712175999</v>
      </c>
      <c r="BV178" s="518">
        <v>597.69302794906582</v>
      </c>
      <c r="BW178" s="518">
        <v>633.55460962600955</v>
      </c>
      <c r="BX178" s="518">
        <v>671.56788620357008</v>
      </c>
      <c r="BY178" s="518">
        <v>711.86195937578441</v>
      </c>
      <c r="BZ178" s="518">
        <v>754.57367693833146</v>
      </c>
      <c r="CA178" s="518">
        <v>799.84809755463141</v>
      </c>
      <c r="CB178" s="518">
        <v>847.83898340790915</v>
      </c>
      <c r="CC178" s="518">
        <v>898.70932241238381</v>
      </c>
      <c r="CD178" s="518">
        <v>952.63188175712685</v>
      </c>
      <c r="CE178" s="518">
        <v>1009.7897946625544</v>
      </c>
      <c r="CF178" s="518">
        <v>1070.3771823423076</v>
      </c>
      <c r="CG178" s="519">
        <v>1134.5998132828461</v>
      </c>
      <c r="CH178" s="520">
        <v>5.5650000000000004</v>
      </c>
      <c r="CI178" s="521">
        <v>5.6763000000000003</v>
      </c>
      <c r="CJ178" s="521">
        <v>5.7898260000000006</v>
      </c>
      <c r="CK178" s="521">
        <v>5.9056225200000005</v>
      </c>
      <c r="CL178" s="521">
        <v>2.5</v>
      </c>
      <c r="CM178" s="521">
        <v>2.5499999999999998</v>
      </c>
      <c r="CN178" s="521">
        <v>2.601</v>
      </c>
      <c r="CO178" s="521">
        <v>2.6530200000000002</v>
      </c>
      <c r="CP178" s="521">
        <v>2.7060804000000003</v>
      </c>
      <c r="CQ178" s="521">
        <v>2.7602020080000003</v>
      </c>
      <c r="CR178" s="521">
        <v>2.8154060481600003</v>
      </c>
      <c r="CS178" s="521">
        <v>2.8717141691232002</v>
      </c>
      <c r="CT178" s="521">
        <v>2.5</v>
      </c>
      <c r="CU178" s="521">
        <v>2.5499999999999998</v>
      </c>
      <c r="CV178" s="521">
        <v>2.601</v>
      </c>
      <c r="CW178" s="521">
        <v>2.6530200000000002</v>
      </c>
      <c r="CX178" s="521">
        <v>2.7060804000000003</v>
      </c>
      <c r="CY178" s="521">
        <v>2.7602020080000003</v>
      </c>
      <c r="CZ178" s="521">
        <v>2.8154060481600003</v>
      </c>
      <c r="DA178" s="522">
        <v>2.8717141691232002</v>
      </c>
      <c r="DB178" s="523">
        <v>0</v>
      </c>
      <c r="DC178" s="524">
        <v>0</v>
      </c>
      <c r="DD178" s="524">
        <v>0</v>
      </c>
      <c r="DE178" s="524">
        <v>0</v>
      </c>
      <c r="DF178" s="524">
        <v>-2.3937239413977414E-2</v>
      </c>
      <c r="DG178" s="524">
        <v>3.9287084420903881E-3</v>
      </c>
      <c r="DH178" s="524">
        <v>4.3321776902992687E-3</v>
      </c>
      <c r="DI178" s="524">
        <v>4.7767087389474217E-3</v>
      </c>
      <c r="DJ178" s="524">
        <v>5.266453063205348E-3</v>
      </c>
      <c r="DK178" s="524">
        <v>0.42589516464155919</v>
      </c>
      <c r="DL178" s="524">
        <v>1.8618491489983541E-3</v>
      </c>
      <c r="DM178" s="524">
        <v>1.8594541837561457E-3</v>
      </c>
      <c r="DN178" s="524">
        <v>-2.5215560924302924E-2</v>
      </c>
      <c r="DO178" s="524">
        <v>2.3174509953493155E-3</v>
      </c>
      <c r="DP178" s="524">
        <v>2.3493215225276892E-3</v>
      </c>
      <c r="DQ178" s="524">
        <v>2.3794205981828714E-3</v>
      </c>
      <c r="DR178" s="524">
        <v>2.4072956357883701E-3</v>
      </c>
      <c r="DS178" s="524">
        <v>5.9308834546679082E-2</v>
      </c>
      <c r="DT178" s="524">
        <v>2.7462277129600421E-3</v>
      </c>
      <c r="DU178" s="525">
        <v>2.8006510489492348E-3</v>
      </c>
      <c r="DV178" s="526">
        <v>3.4</v>
      </c>
      <c r="DW178" s="507">
        <v>1</v>
      </c>
      <c r="DX178" s="509">
        <v>5.5650000000000004</v>
      </c>
      <c r="DY178" s="507">
        <v>2</v>
      </c>
      <c r="DZ178" s="507">
        <v>5</v>
      </c>
      <c r="EA178" s="507">
        <v>0</v>
      </c>
      <c r="EB178" s="507">
        <v>0</v>
      </c>
      <c r="EC178" s="507">
        <v>111.62500000000001</v>
      </c>
      <c r="ED178" s="507">
        <v>102.18750000000001</v>
      </c>
      <c r="EE178" s="507">
        <v>0</v>
      </c>
      <c r="EF178" s="507">
        <v>25.062499999999996</v>
      </c>
      <c r="EG178" s="507">
        <v>29.3125</v>
      </c>
      <c r="EH178" s="507">
        <v>12.8125</v>
      </c>
      <c r="EI178" s="507">
        <v>16.6875</v>
      </c>
      <c r="EJ178" s="507">
        <v>56.4375</v>
      </c>
      <c r="EK178" s="507">
        <v>10.4375</v>
      </c>
      <c r="EL178" s="507">
        <v>10.4375</v>
      </c>
      <c r="EM178" s="508">
        <v>375</v>
      </c>
    </row>
    <row r="179" spans="2:143" x14ac:dyDescent="0.25">
      <c r="B179" s="506" t="str">
        <f>[1]RONET_Input!J150</f>
        <v>214tt00085</v>
      </c>
      <c r="C179" s="359">
        <f>[1]RONET_Input!B150</f>
        <v>148</v>
      </c>
      <c r="D179" s="397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442">
        <f>[1]RONET_Input!K150</f>
        <v>1.3355915544300001</v>
      </c>
      <c r="Q179" s="398">
        <f>[1]RONET_Input!Y150</f>
        <v>1</v>
      </c>
      <c r="R179" s="398">
        <f>[1]RONET_Input!X150</f>
        <v>3.4</v>
      </c>
      <c r="S179" s="398"/>
      <c r="T179" s="398"/>
      <c r="U179" s="398">
        <f>[1]RONET_Input!AA150</f>
        <v>8</v>
      </c>
      <c r="V179" s="398">
        <f>[1]RONET_Input!AC150</f>
        <v>1</v>
      </c>
      <c r="W179" s="398">
        <f>[1]RONET_Input!AD150</f>
        <v>1</v>
      </c>
      <c r="X179" s="398">
        <f>[1]RONET_Input!AE150</f>
        <v>4</v>
      </c>
      <c r="Y179" s="398">
        <f>[1]RONET_Input!AB150</f>
        <v>1</v>
      </c>
      <c r="Z179" s="438">
        <f>[1]RONET_Input!Z150</f>
        <v>1</v>
      </c>
      <c r="AA179" s="442"/>
      <c r="AB179" s="398"/>
      <c r="AC179" s="438"/>
      <c r="AD179" s="442">
        <f>[1]RONET_Input!AH150</f>
        <v>3</v>
      </c>
      <c r="AE179" s="398">
        <f>[1]RONET_Input!D150</f>
        <v>7.16</v>
      </c>
      <c r="AF179" s="398"/>
      <c r="AG179" s="398"/>
      <c r="AH179" s="398"/>
      <c r="AI179" s="438"/>
      <c r="AJ179" s="442">
        <v>1</v>
      </c>
      <c r="AK179" s="442">
        <f>[1]RONET_Input!AF150</f>
        <v>4</v>
      </c>
      <c r="AL179" s="507"/>
      <c r="AM179" s="507"/>
      <c r="AN179" s="507"/>
      <c r="AO179" s="507"/>
      <c r="AP179" s="507"/>
      <c r="AQ179" s="507"/>
      <c r="AR179" s="507"/>
      <c r="AS179" s="507"/>
      <c r="AT179" s="507"/>
      <c r="AU179" s="507"/>
      <c r="AV179" s="507"/>
      <c r="AW179" s="507"/>
      <c r="AX179" s="508"/>
      <c r="AY179" s="509">
        <f>[1]RONET_Input!AG150</f>
        <v>3</v>
      </c>
      <c r="AZ179" s="359" t="s">
        <v>321</v>
      </c>
      <c r="BA179" s="360" t="s">
        <v>502</v>
      </c>
      <c r="BB179" s="360" t="s">
        <v>443</v>
      </c>
      <c r="BC179" s="510">
        <v>6.4936461376386603E-2</v>
      </c>
      <c r="BD179" s="510">
        <v>4.8619999999999997E-2</v>
      </c>
      <c r="BE179" s="438">
        <v>5</v>
      </c>
      <c r="BF179" s="511">
        <v>0.59083970291117116</v>
      </c>
      <c r="BG179" s="512">
        <v>0.44238053239512137</v>
      </c>
      <c r="BH179" s="512">
        <v>9.0987357547330596</v>
      </c>
      <c r="BI179" s="513">
        <v>0</v>
      </c>
      <c r="BJ179" s="514">
        <v>375</v>
      </c>
      <c r="BK179" s="515">
        <v>0.22366666666666665</v>
      </c>
      <c r="BL179" s="512">
        <v>0.18280909401260625</v>
      </c>
      <c r="BM179" s="516">
        <v>6.4108143749999999E-2</v>
      </c>
      <c r="BN179" s="517">
        <v>375</v>
      </c>
      <c r="BO179" s="518">
        <v>397.50000000000011</v>
      </c>
      <c r="BP179" s="518">
        <v>421.34999999999991</v>
      </c>
      <c r="BQ179" s="518">
        <v>446.63099999999997</v>
      </c>
      <c r="BR179" s="518">
        <v>473.42885999999999</v>
      </c>
      <c r="BS179" s="518">
        <v>501.83459160000012</v>
      </c>
      <c r="BT179" s="518">
        <v>531.9446670960001</v>
      </c>
      <c r="BU179" s="518">
        <v>563.86134712175999</v>
      </c>
      <c r="BV179" s="518">
        <v>597.69302794906582</v>
      </c>
      <c r="BW179" s="518">
        <v>633.55460962600955</v>
      </c>
      <c r="BX179" s="518">
        <v>671.56788620357008</v>
      </c>
      <c r="BY179" s="518">
        <v>711.86195937578441</v>
      </c>
      <c r="BZ179" s="518">
        <v>754.57367693833146</v>
      </c>
      <c r="CA179" s="518">
        <v>799.84809755463141</v>
      </c>
      <c r="CB179" s="518">
        <v>847.83898340790915</v>
      </c>
      <c r="CC179" s="518">
        <v>898.70932241238381</v>
      </c>
      <c r="CD179" s="518">
        <v>952.63188175712685</v>
      </c>
      <c r="CE179" s="518">
        <v>1009.7897946625544</v>
      </c>
      <c r="CF179" s="518">
        <v>1070.3771823423076</v>
      </c>
      <c r="CG179" s="519">
        <v>1134.5998132828461</v>
      </c>
      <c r="CH179" s="520">
        <v>7.16</v>
      </c>
      <c r="CI179" s="521">
        <v>7.3032000000000004</v>
      </c>
      <c r="CJ179" s="521">
        <v>7.4492640000000003</v>
      </c>
      <c r="CK179" s="521">
        <v>7.5982492800000001</v>
      </c>
      <c r="CL179" s="521">
        <v>2.5</v>
      </c>
      <c r="CM179" s="521">
        <v>2.5499999999999998</v>
      </c>
      <c r="CN179" s="521">
        <v>2.601</v>
      </c>
      <c r="CO179" s="521">
        <v>2.6530200000000002</v>
      </c>
      <c r="CP179" s="521">
        <v>2.7060804000000003</v>
      </c>
      <c r="CQ179" s="521">
        <v>2.7602020080000003</v>
      </c>
      <c r="CR179" s="521">
        <v>2.8154060481600003</v>
      </c>
      <c r="CS179" s="521">
        <v>2.8717141691232002</v>
      </c>
      <c r="CT179" s="521">
        <v>2.5</v>
      </c>
      <c r="CU179" s="521">
        <v>2.5499999999999998</v>
      </c>
      <c r="CV179" s="521">
        <v>2.601</v>
      </c>
      <c r="CW179" s="521">
        <v>2.6530200000000002</v>
      </c>
      <c r="CX179" s="521">
        <v>2.7060804000000003</v>
      </c>
      <c r="CY179" s="521">
        <v>2.7602020080000003</v>
      </c>
      <c r="CZ179" s="521">
        <v>2.8154060481600003</v>
      </c>
      <c r="DA179" s="522">
        <v>2.8717141691232002</v>
      </c>
      <c r="DB179" s="523">
        <v>0</v>
      </c>
      <c r="DC179" s="524">
        <v>0</v>
      </c>
      <c r="DD179" s="524">
        <v>0</v>
      </c>
      <c r="DE179" s="524">
        <v>0</v>
      </c>
      <c r="DF179" s="524">
        <v>-4.5464746534997325E-2</v>
      </c>
      <c r="DG179" s="524">
        <v>1.5018565192752506E-2</v>
      </c>
      <c r="DH179" s="524">
        <v>1.6550741904667279E-2</v>
      </c>
      <c r="DI179" s="524">
        <v>1.8238204999176444E-2</v>
      </c>
      <c r="DJ179" s="524">
        <v>2.0096632177184853E-2</v>
      </c>
      <c r="DK179" s="524">
        <v>0.91517400966266227</v>
      </c>
      <c r="DL179" s="524">
        <v>4.0007872653588239E-3</v>
      </c>
      <c r="DM179" s="524">
        <v>3.9956409051141173E-3</v>
      </c>
      <c r="DN179" s="524">
        <v>-5.4183817786259997E-2</v>
      </c>
      <c r="DO179" s="524">
        <v>4.9797957236624724E-3</v>
      </c>
      <c r="DP179" s="524">
        <v>5.0482798966923481E-3</v>
      </c>
      <c r="DQ179" s="524">
        <v>5.1129575310995545E-3</v>
      </c>
      <c r="DR179" s="524">
        <v>5.1728560978193394E-3</v>
      </c>
      <c r="DS179" s="524">
        <v>0.12744428306948483</v>
      </c>
      <c r="DT179" s="524">
        <v>5.9011616852508164E-3</v>
      </c>
      <c r="DU179" s="525">
        <v>6.0181078888038864E-3</v>
      </c>
      <c r="DV179" s="526">
        <v>3.4</v>
      </c>
      <c r="DW179" s="507">
        <v>1</v>
      </c>
      <c r="DX179" s="509">
        <v>7.16</v>
      </c>
      <c r="DY179" s="507">
        <v>2</v>
      </c>
      <c r="DZ179" s="507">
        <v>10</v>
      </c>
      <c r="EA179" s="507">
        <v>0</v>
      </c>
      <c r="EB179" s="507">
        <v>0</v>
      </c>
      <c r="EC179" s="507">
        <v>111.62500000000001</v>
      </c>
      <c r="ED179" s="507">
        <v>102.18750000000001</v>
      </c>
      <c r="EE179" s="507">
        <v>0</v>
      </c>
      <c r="EF179" s="507">
        <v>25.062499999999996</v>
      </c>
      <c r="EG179" s="507">
        <v>29.3125</v>
      </c>
      <c r="EH179" s="507">
        <v>12.8125</v>
      </c>
      <c r="EI179" s="507">
        <v>16.6875</v>
      </c>
      <c r="EJ179" s="507">
        <v>56.4375</v>
      </c>
      <c r="EK179" s="507">
        <v>10.4375</v>
      </c>
      <c r="EL179" s="507">
        <v>10.4375</v>
      </c>
      <c r="EM179" s="508">
        <v>375</v>
      </c>
    </row>
    <row r="180" spans="2:143" x14ac:dyDescent="0.25">
      <c r="B180" s="506" t="str">
        <f>[1]RONET_Input!J151</f>
        <v xml:space="preserve">Input VPROMMS: 214TT00083 (50.0 pct); 213TT00005 (50.0 pct); </v>
      </c>
      <c r="C180" s="359">
        <f>[1]RONET_Input!B151</f>
        <v>149</v>
      </c>
      <c r="D180" s="397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442">
        <f>[1]RONET_Input!K151</f>
        <v>3.1829959000500001E-2</v>
      </c>
      <c r="Q180" s="398">
        <f>[1]RONET_Input!Y151</f>
        <v>2</v>
      </c>
      <c r="R180" s="398">
        <f>[1]RONET_Input!X151</f>
        <v>3.5</v>
      </c>
      <c r="S180" s="398"/>
      <c r="T180" s="398"/>
      <c r="U180" s="398">
        <f>[1]RONET_Input!AA151</f>
        <v>8</v>
      </c>
      <c r="V180" s="398">
        <f>[1]RONET_Input!AC151</f>
        <v>1</v>
      </c>
      <c r="W180" s="398">
        <f>[1]RONET_Input!AD151</f>
        <v>1</v>
      </c>
      <c r="X180" s="398">
        <f>[1]RONET_Input!AE151</f>
        <v>4</v>
      </c>
      <c r="Y180" s="398">
        <f>[1]RONET_Input!AB151</f>
        <v>1</v>
      </c>
      <c r="Z180" s="438">
        <f>[1]RONET_Input!Z151</f>
        <v>1</v>
      </c>
      <c r="AA180" s="442"/>
      <c r="AB180" s="398"/>
      <c r="AC180" s="438"/>
      <c r="AD180" s="442">
        <f>[1]RONET_Input!AH151</f>
        <v>3</v>
      </c>
      <c r="AE180" s="398">
        <f>[1]RONET_Input!D151</f>
        <v>0</v>
      </c>
      <c r="AF180" s="398"/>
      <c r="AG180" s="398"/>
      <c r="AH180" s="398"/>
      <c r="AI180" s="438"/>
      <c r="AJ180" s="442">
        <v>1</v>
      </c>
      <c r="AK180" s="442">
        <f>[1]RONET_Input!AF151</f>
        <v>4</v>
      </c>
      <c r="AL180" s="507"/>
      <c r="AM180" s="507"/>
      <c r="AN180" s="507"/>
      <c r="AO180" s="507"/>
      <c r="AP180" s="507"/>
      <c r="AQ180" s="507"/>
      <c r="AR180" s="507"/>
      <c r="AS180" s="507"/>
      <c r="AT180" s="507"/>
      <c r="AU180" s="507"/>
      <c r="AV180" s="507"/>
      <c r="AW180" s="507"/>
      <c r="AX180" s="508"/>
      <c r="AY180" s="509">
        <f>[1]RONET_Input!AG151</f>
        <v>3</v>
      </c>
      <c r="AZ180" s="359" t="s">
        <v>321</v>
      </c>
      <c r="BA180" s="360" t="s">
        <v>502</v>
      </c>
      <c r="BB180" s="360" t="s">
        <v>443</v>
      </c>
      <c r="BC180" s="510">
        <v>1.5930894479750254E-3</v>
      </c>
      <c r="BD180" s="510">
        <v>5.0050000000000011E-2</v>
      </c>
      <c r="BE180" s="438">
        <v>6</v>
      </c>
      <c r="BF180" s="511">
        <v>1.2590140324149044E-2</v>
      </c>
      <c r="BG180" s="512">
        <v>0.3955437179152908</v>
      </c>
      <c r="BH180" s="512">
        <v>7.902971386918896</v>
      </c>
      <c r="BI180" s="513">
        <v>0</v>
      </c>
      <c r="BJ180" s="514">
        <v>375</v>
      </c>
      <c r="BK180" s="515">
        <v>0.22366666666666665</v>
      </c>
      <c r="BL180" s="512">
        <v>4.3567256381934387E-3</v>
      </c>
      <c r="BM180" s="516">
        <v>3.2054071874999999E-2</v>
      </c>
      <c r="BN180" s="517">
        <v>375</v>
      </c>
      <c r="BO180" s="518">
        <v>397.50000000000011</v>
      </c>
      <c r="BP180" s="518">
        <v>421.34999999999991</v>
      </c>
      <c r="BQ180" s="518">
        <v>446.63099999999997</v>
      </c>
      <c r="BR180" s="518">
        <v>473.42885999999999</v>
      </c>
      <c r="BS180" s="518">
        <v>501.83459160000012</v>
      </c>
      <c r="BT180" s="518">
        <v>531.9446670960001</v>
      </c>
      <c r="BU180" s="518">
        <v>563.86134712175999</v>
      </c>
      <c r="BV180" s="518">
        <v>597.69302794906582</v>
      </c>
      <c r="BW180" s="518">
        <v>633.55460962600955</v>
      </c>
      <c r="BX180" s="518">
        <v>671.56788620357008</v>
      </c>
      <c r="BY180" s="518">
        <v>711.86195937578441</v>
      </c>
      <c r="BZ180" s="518">
        <v>754.57367693833146</v>
      </c>
      <c r="CA180" s="518">
        <v>799.84809755463141</v>
      </c>
      <c r="CB180" s="518">
        <v>847.83898340790915</v>
      </c>
      <c r="CC180" s="518">
        <v>898.70932241238381</v>
      </c>
      <c r="CD180" s="518">
        <v>952.63188175712685</v>
      </c>
      <c r="CE180" s="518">
        <v>1009.7897946625544</v>
      </c>
      <c r="CF180" s="518">
        <v>1070.3771823423076</v>
      </c>
      <c r="CG180" s="519">
        <v>1134.5998132828461</v>
      </c>
      <c r="CH180" s="520">
        <v>4.5</v>
      </c>
      <c r="CI180" s="521">
        <v>4.59</v>
      </c>
      <c r="CJ180" s="521">
        <v>4.6818</v>
      </c>
      <c r="CK180" s="521">
        <v>4.775436</v>
      </c>
      <c r="CL180" s="521">
        <v>4.8709447199999998</v>
      </c>
      <c r="CM180" s="521">
        <v>2.5</v>
      </c>
      <c r="CN180" s="521">
        <v>2.5499999999999998</v>
      </c>
      <c r="CO180" s="521">
        <v>2.601</v>
      </c>
      <c r="CP180" s="521">
        <v>2.6530200000000002</v>
      </c>
      <c r="CQ180" s="521">
        <v>2.7060804000000003</v>
      </c>
      <c r="CR180" s="521">
        <v>2.7602020080000003</v>
      </c>
      <c r="CS180" s="521">
        <v>2.8154060481600003</v>
      </c>
      <c r="CT180" s="521">
        <v>2.8717141691232002</v>
      </c>
      <c r="CU180" s="521">
        <v>2.5</v>
      </c>
      <c r="CV180" s="521">
        <v>2.5499999999999998</v>
      </c>
      <c r="CW180" s="521">
        <v>2.601</v>
      </c>
      <c r="CX180" s="521">
        <v>2.6530200000000002</v>
      </c>
      <c r="CY180" s="521">
        <v>2.7060804000000003</v>
      </c>
      <c r="CZ180" s="521">
        <v>2.7602020080000003</v>
      </c>
      <c r="DA180" s="522">
        <v>2.8154060481600003</v>
      </c>
      <c r="DB180" s="523">
        <v>0</v>
      </c>
      <c r="DC180" s="524">
        <v>0</v>
      </c>
      <c r="DD180" s="524">
        <v>0</v>
      </c>
      <c r="DE180" s="524">
        <v>0</v>
      </c>
      <c r="DF180" s="524">
        <v>0</v>
      </c>
      <c r="DG180" s="524">
        <v>-1.3453649933601471E-3</v>
      </c>
      <c r="DH180" s="524">
        <v>1.1558152778957638E-4</v>
      </c>
      <c r="DI180" s="524">
        <v>1.2800237564384578E-4</v>
      </c>
      <c r="DJ180" s="524">
        <v>1.4173226809812735E-4</v>
      </c>
      <c r="DK180" s="524">
        <v>2.172393978460152E-2</v>
      </c>
      <c r="DL180" s="524">
        <v>7.615073176534589E-6</v>
      </c>
      <c r="DM180" s="524">
        <v>6.3218145924925223E-6</v>
      </c>
      <c r="DN180" s="524">
        <v>4.7726141603077893E-6</v>
      </c>
      <c r="DO180" s="524">
        <v>-1.4277240285617042E-3</v>
      </c>
      <c r="DP180" s="524">
        <v>2.1958648191421418E-5</v>
      </c>
      <c r="DQ180" s="524">
        <v>2.1793916986518821E-5</v>
      </c>
      <c r="DR180" s="524">
        <v>2.1471674096055354E-5</v>
      </c>
      <c r="DS180" s="524">
        <v>2.9336659941893838E-3</v>
      </c>
      <c r="DT180" s="524">
        <v>3.5207382533724955E-5</v>
      </c>
      <c r="DU180" s="525">
        <v>3.6128682341970975E-5</v>
      </c>
      <c r="DV180" s="526">
        <v>3.5</v>
      </c>
      <c r="DW180" s="507">
        <v>1</v>
      </c>
      <c r="DX180" s="509">
        <v>4.5</v>
      </c>
      <c r="DY180" s="507">
        <v>2</v>
      </c>
      <c r="DZ180" s="507">
        <v>10</v>
      </c>
      <c r="EA180" s="507">
        <v>0</v>
      </c>
      <c r="EB180" s="507">
        <v>0</v>
      </c>
      <c r="EC180" s="507">
        <v>111.62500000000001</v>
      </c>
      <c r="ED180" s="507">
        <v>102.18750000000001</v>
      </c>
      <c r="EE180" s="507">
        <v>0</v>
      </c>
      <c r="EF180" s="507">
        <v>25.062499999999996</v>
      </c>
      <c r="EG180" s="507">
        <v>29.3125</v>
      </c>
      <c r="EH180" s="507">
        <v>12.8125</v>
      </c>
      <c r="EI180" s="507">
        <v>16.6875</v>
      </c>
      <c r="EJ180" s="507">
        <v>56.4375</v>
      </c>
      <c r="EK180" s="507">
        <v>10.4375</v>
      </c>
      <c r="EL180" s="507">
        <v>10.4375</v>
      </c>
      <c r="EM180" s="508">
        <v>375</v>
      </c>
    </row>
    <row r="181" spans="2:143" x14ac:dyDescent="0.25">
      <c r="B181" s="506" t="str">
        <f>[1]RONET_Input!J152</f>
        <v>214TT00082</v>
      </c>
      <c r="C181" s="359">
        <f>[1]RONET_Input!B152</f>
        <v>150</v>
      </c>
      <c r="D181" s="397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442">
        <f>[1]RONET_Input!K152</f>
        <v>0.40882370533700002</v>
      </c>
      <c r="Q181" s="398">
        <f>[1]RONET_Input!Y152</f>
        <v>1</v>
      </c>
      <c r="R181" s="398">
        <f>[1]RONET_Input!X152</f>
        <v>3.4</v>
      </c>
      <c r="S181" s="398"/>
      <c r="T181" s="398"/>
      <c r="U181" s="398">
        <f>[1]RONET_Input!AA152</f>
        <v>8</v>
      </c>
      <c r="V181" s="398">
        <f>[1]RONET_Input!AC152</f>
        <v>1</v>
      </c>
      <c r="W181" s="398">
        <f>[1]RONET_Input!AD152</f>
        <v>1</v>
      </c>
      <c r="X181" s="398">
        <f>[1]RONET_Input!AE152</f>
        <v>4</v>
      </c>
      <c r="Y181" s="398">
        <f>[1]RONET_Input!AB152</f>
        <v>1</v>
      </c>
      <c r="Z181" s="438">
        <f>[1]RONET_Input!Z152</f>
        <v>1</v>
      </c>
      <c r="AA181" s="442"/>
      <c r="AB181" s="398"/>
      <c r="AC181" s="438"/>
      <c r="AD181" s="442">
        <f>[1]RONET_Input!AH152</f>
        <v>4</v>
      </c>
      <c r="AE181" s="398">
        <f>[1]RONET_Input!D152</f>
        <v>8.2799999999999994</v>
      </c>
      <c r="AF181" s="398"/>
      <c r="AG181" s="398"/>
      <c r="AH181" s="398"/>
      <c r="AI181" s="438"/>
      <c r="AJ181" s="442">
        <v>1</v>
      </c>
      <c r="AK181" s="442">
        <f>[1]RONET_Input!AF152</f>
        <v>4</v>
      </c>
      <c r="AL181" s="507"/>
      <c r="AM181" s="507"/>
      <c r="AN181" s="507"/>
      <c r="AO181" s="507"/>
      <c r="AP181" s="507"/>
      <c r="AQ181" s="507"/>
      <c r="AR181" s="507"/>
      <c r="AS181" s="507"/>
      <c r="AT181" s="507"/>
      <c r="AU181" s="507"/>
      <c r="AV181" s="507"/>
      <c r="AW181" s="507"/>
      <c r="AX181" s="508"/>
      <c r="AY181" s="509">
        <f>[1]RONET_Input!AG152</f>
        <v>3</v>
      </c>
      <c r="AZ181" s="359" t="s">
        <v>321</v>
      </c>
      <c r="BA181" s="360" t="s">
        <v>502</v>
      </c>
      <c r="BB181" s="360" t="s">
        <v>443</v>
      </c>
      <c r="BC181" s="510">
        <v>1.987700855348494E-2</v>
      </c>
      <c r="BD181" s="510">
        <v>4.8619999999999997E-2</v>
      </c>
      <c r="BE181" s="438">
        <v>5</v>
      </c>
      <c r="BF181" s="511">
        <v>0.18741740571277848</v>
      </c>
      <c r="BG181" s="512">
        <v>0.45843086706111447</v>
      </c>
      <c r="BH181" s="512">
        <v>9.4288537034371558</v>
      </c>
      <c r="BI181" s="513">
        <v>0</v>
      </c>
      <c r="BJ181" s="514">
        <v>375</v>
      </c>
      <c r="BK181" s="515">
        <v>0.22366666666666665</v>
      </c>
      <c r="BL181" s="512">
        <v>5.5957744668001887E-2</v>
      </c>
      <c r="BM181" s="516">
        <v>6.4108143749999999E-2</v>
      </c>
      <c r="BN181" s="517">
        <v>375</v>
      </c>
      <c r="BO181" s="518">
        <v>397.50000000000011</v>
      </c>
      <c r="BP181" s="518">
        <v>421.34999999999991</v>
      </c>
      <c r="BQ181" s="518">
        <v>446.63099999999997</v>
      </c>
      <c r="BR181" s="518">
        <v>473.42885999999999</v>
      </c>
      <c r="BS181" s="518">
        <v>501.83459160000012</v>
      </c>
      <c r="BT181" s="518">
        <v>531.9446670960001</v>
      </c>
      <c r="BU181" s="518">
        <v>563.86134712175999</v>
      </c>
      <c r="BV181" s="518">
        <v>597.69302794906582</v>
      </c>
      <c r="BW181" s="518">
        <v>633.55460962600955</v>
      </c>
      <c r="BX181" s="518">
        <v>671.56788620357008</v>
      </c>
      <c r="BY181" s="518">
        <v>711.86195937578441</v>
      </c>
      <c r="BZ181" s="518">
        <v>754.57367693833146</v>
      </c>
      <c r="CA181" s="518">
        <v>799.84809755463141</v>
      </c>
      <c r="CB181" s="518">
        <v>847.83898340790915</v>
      </c>
      <c r="CC181" s="518">
        <v>898.70932241238381</v>
      </c>
      <c r="CD181" s="518">
        <v>952.63188175712685</v>
      </c>
      <c r="CE181" s="518">
        <v>1009.7897946625544</v>
      </c>
      <c r="CF181" s="518">
        <v>1070.3771823423076</v>
      </c>
      <c r="CG181" s="519">
        <v>1134.5998132828461</v>
      </c>
      <c r="CH181" s="520">
        <v>8.2799999999999994</v>
      </c>
      <c r="CI181" s="521">
        <v>8.4455999999999989</v>
      </c>
      <c r="CJ181" s="521">
        <v>8.6145119999999995</v>
      </c>
      <c r="CK181" s="521">
        <v>8.7868022400000001</v>
      </c>
      <c r="CL181" s="521">
        <v>2.5</v>
      </c>
      <c r="CM181" s="521">
        <v>2.5499999999999998</v>
      </c>
      <c r="CN181" s="521">
        <v>2.601</v>
      </c>
      <c r="CO181" s="521">
        <v>2.6530200000000002</v>
      </c>
      <c r="CP181" s="521">
        <v>2.7060804000000003</v>
      </c>
      <c r="CQ181" s="521">
        <v>2.7602020080000003</v>
      </c>
      <c r="CR181" s="521">
        <v>2.8154060481600003</v>
      </c>
      <c r="CS181" s="521">
        <v>2.8717141691232002</v>
      </c>
      <c r="CT181" s="521">
        <v>2.5</v>
      </c>
      <c r="CU181" s="521">
        <v>2.5499999999999998</v>
      </c>
      <c r="CV181" s="521">
        <v>2.601</v>
      </c>
      <c r="CW181" s="521">
        <v>2.6530200000000002</v>
      </c>
      <c r="CX181" s="521">
        <v>2.7060804000000003</v>
      </c>
      <c r="CY181" s="521">
        <v>2.7602020080000003</v>
      </c>
      <c r="CZ181" s="521">
        <v>2.8154060481600003</v>
      </c>
      <c r="DA181" s="522">
        <v>2.8717141691232002</v>
      </c>
      <c r="DB181" s="523">
        <v>0</v>
      </c>
      <c r="DC181" s="524">
        <v>0</v>
      </c>
      <c r="DD181" s="524">
        <v>0</v>
      </c>
      <c r="DE181" s="524">
        <v>0</v>
      </c>
      <c r="DF181" s="524">
        <v>-1.2383043378665116E-2</v>
      </c>
      <c r="DG181" s="524">
        <v>6.2856802635163772E-3</v>
      </c>
      <c r="DH181" s="524">
        <v>6.9251116274535521E-3</v>
      </c>
      <c r="DI181" s="524">
        <v>7.6292633338735025E-3</v>
      </c>
      <c r="DJ181" s="524">
        <v>8.4046683320907548E-3</v>
      </c>
      <c r="DK181" s="524">
        <v>0.28013416857677381</v>
      </c>
      <c r="DL181" s="524">
        <v>1.2246383774020819E-3</v>
      </c>
      <c r="DM181" s="524">
        <v>1.2230630798814798E-3</v>
      </c>
      <c r="DN181" s="524">
        <v>-1.6585631350549732E-2</v>
      </c>
      <c r="DO181" s="524">
        <v>1.5243122291514546E-3</v>
      </c>
      <c r="DP181" s="524">
        <v>1.545275189932499E-3</v>
      </c>
      <c r="DQ181" s="524">
        <v>1.5650729717192266E-3</v>
      </c>
      <c r="DR181" s="524">
        <v>1.5834078839979948E-3</v>
      </c>
      <c r="DS181" s="524">
        <v>3.9010612080966872E-2</v>
      </c>
      <c r="DT181" s="524">
        <v>1.8063417501816836E-3</v>
      </c>
      <c r="DU181" s="525">
        <v>1.842138906956961E-3</v>
      </c>
      <c r="DV181" s="526">
        <v>3.4</v>
      </c>
      <c r="DW181" s="507">
        <v>1</v>
      </c>
      <c r="DX181" s="509">
        <v>8.2799999999999994</v>
      </c>
      <c r="DY181" s="507">
        <v>2</v>
      </c>
      <c r="DZ181" s="507">
        <v>15</v>
      </c>
      <c r="EA181" s="507">
        <v>0</v>
      </c>
      <c r="EB181" s="507">
        <v>0</v>
      </c>
      <c r="EC181" s="507">
        <v>111.62500000000001</v>
      </c>
      <c r="ED181" s="507">
        <v>102.18750000000001</v>
      </c>
      <c r="EE181" s="507">
        <v>0</v>
      </c>
      <c r="EF181" s="507">
        <v>25.062499999999996</v>
      </c>
      <c r="EG181" s="507">
        <v>29.3125</v>
      </c>
      <c r="EH181" s="507">
        <v>12.8125</v>
      </c>
      <c r="EI181" s="507">
        <v>16.6875</v>
      </c>
      <c r="EJ181" s="507">
        <v>56.4375</v>
      </c>
      <c r="EK181" s="507">
        <v>10.4375</v>
      </c>
      <c r="EL181" s="507">
        <v>10.4375</v>
      </c>
      <c r="EM181" s="508">
        <v>375</v>
      </c>
    </row>
    <row r="182" spans="2:143" x14ac:dyDescent="0.25">
      <c r="B182" s="506" t="str">
        <f>[1]RONET_Input!J153</f>
        <v xml:space="preserve">Input VPROMMS: 214TT00083 (50.0 pct); 213TT00005 (50.0 pct); </v>
      </c>
      <c r="C182" s="359">
        <f>[1]RONET_Input!B153</f>
        <v>151</v>
      </c>
      <c r="D182" s="397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442">
        <f>[1]RONET_Input!K153</f>
        <v>0.39815303649799999</v>
      </c>
      <c r="Q182" s="398">
        <f>[1]RONET_Input!Y153</f>
        <v>2</v>
      </c>
      <c r="R182" s="398">
        <f>[1]RONET_Input!X153</f>
        <v>3.5</v>
      </c>
      <c r="S182" s="398"/>
      <c r="T182" s="398"/>
      <c r="U182" s="398">
        <f>[1]RONET_Input!AA153</f>
        <v>8</v>
      </c>
      <c r="V182" s="398">
        <f>[1]RONET_Input!AC153</f>
        <v>1</v>
      </c>
      <c r="W182" s="398">
        <f>[1]RONET_Input!AD153</f>
        <v>1</v>
      </c>
      <c r="X182" s="398">
        <f>[1]RONET_Input!AE153</f>
        <v>4</v>
      </c>
      <c r="Y182" s="398">
        <f>[1]RONET_Input!AB153</f>
        <v>1</v>
      </c>
      <c r="Z182" s="438">
        <f>[1]RONET_Input!Z153</f>
        <v>1</v>
      </c>
      <c r="AA182" s="442"/>
      <c r="AB182" s="398"/>
      <c r="AC182" s="438"/>
      <c r="AD182" s="442">
        <f>[1]RONET_Input!AH153</f>
        <v>4</v>
      </c>
      <c r="AE182" s="398">
        <f>[1]RONET_Input!D153</f>
        <v>10.38</v>
      </c>
      <c r="AF182" s="398"/>
      <c r="AG182" s="398"/>
      <c r="AH182" s="398"/>
      <c r="AI182" s="438"/>
      <c r="AJ182" s="442">
        <v>1</v>
      </c>
      <c r="AK182" s="442">
        <f>[1]RONET_Input!AF153</f>
        <v>4</v>
      </c>
      <c r="AL182" s="507"/>
      <c r="AM182" s="507"/>
      <c r="AN182" s="507"/>
      <c r="AO182" s="507"/>
      <c r="AP182" s="507"/>
      <c r="AQ182" s="507"/>
      <c r="AR182" s="507"/>
      <c r="AS182" s="507"/>
      <c r="AT182" s="507"/>
      <c r="AU182" s="507"/>
      <c r="AV182" s="507"/>
      <c r="AW182" s="507"/>
      <c r="AX182" s="508"/>
      <c r="AY182" s="509">
        <f>[1]RONET_Input!AG153</f>
        <v>3</v>
      </c>
      <c r="AZ182" s="359" t="s">
        <v>321</v>
      </c>
      <c r="BA182" s="360" t="s">
        <v>502</v>
      </c>
      <c r="BB182" s="360" t="s">
        <v>443</v>
      </c>
      <c r="BC182" s="510">
        <v>1.99275594767249E-2</v>
      </c>
      <c r="BD182" s="510">
        <v>5.0050000000000004E-2</v>
      </c>
      <c r="BE182" s="438">
        <v>5</v>
      </c>
      <c r="BF182" s="511">
        <v>0.18862290571978543</v>
      </c>
      <c r="BG182" s="512">
        <v>0.47374473739755824</v>
      </c>
      <c r="BH182" s="512">
        <v>9.4654293186325322</v>
      </c>
      <c r="BI182" s="513">
        <v>0</v>
      </c>
      <c r="BJ182" s="514">
        <v>375</v>
      </c>
      <c r="BK182" s="515">
        <v>0.22366666666666665</v>
      </c>
      <c r="BL182" s="512">
        <v>5.4497196870663761E-2</v>
      </c>
      <c r="BM182" s="516">
        <v>3.2054071874999999E-2</v>
      </c>
      <c r="BN182" s="517">
        <v>375</v>
      </c>
      <c r="BO182" s="518">
        <v>397.50000000000011</v>
      </c>
      <c r="BP182" s="518">
        <v>421.34999999999991</v>
      </c>
      <c r="BQ182" s="518">
        <v>446.63099999999997</v>
      </c>
      <c r="BR182" s="518">
        <v>473.42885999999999</v>
      </c>
      <c r="BS182" s="518">
        <v>501.83459160000012</v>
      </c>
      <c r="BT182" s="518">
        <v>531.9446670960001</v>
      </c>
      <c r="BU182" s="518">
        <v>563.86134712175999</v>
      </c>
      <c r="BV182" s="518">
        <v>597.69302794906582</v>
      </c>
      <c r="BW182" s="518">
        <v>633.55460962600955</v>
      </c>
      <c r="BX182" s="518">
        <v>671.56788620357008</v>
      </c>
      <c r="BY182" s="518">
        <v>711.86195937578441</v>
      </c>
      <c r="BZ182" s="518">
        <v>754.57367693833146</v>
      </c>
      <c r="CA182" s="518">
        <v>799.84809755463141</v>
      </c>
      <c r="CB182" s="518">
        <v>847.83898340790915</v>
      </c>
      <c r="CC182" s="518">
        <v>898.70932241238381</v>
      </c>
      <c r="CD182" s="518">
        <v>952.63188175712685</v>
      </c>
      <c r="CE182" s="518">
        <v>1009.7897946625544</v>
      </c>
      <c r="CF182" s="518">
        <v>1070.3771823423076</v>
      </c>
      <c r="CG182" s="519">
        <v>1134.5998132828461</v>
      </c>
      <c r="CH182" s="520">
        <v>10.38</v>
      </c>
      <c r="CI182" s="521">
        <v>10.5876</v>
      </c>
      <c r="CJ182" s="521">
        <v>10.799352000000001</v>
      </c>
      <c r="CK182" s="521">
        <v>11.015339040000001</v>
      </c>
      <c r="CL182" s="521">
        <v>2.5</v>
      </c>
      <c r="CM182" s="521">
        <v>2.5499999999999998</v>
      </c>
      <c r="CN182" s="521">
        <v>2.601</v>
      </c>
      <c r="CO182" s="521">
        <v>2.6530200000000002</v>
      </c>
      <c r="CP182" s="521">
        <v>2.7060804000000003</v>
      </c>
      <c r="CQ182" s="521">
        <v>2.7602020080000003</v>
      </c>
      <c r="CR182" s="521">
        <v>2.8154060481600003</v>
      </c>
      <c r="CS182" s="521">
        <v>2.8717141691232002</v>
      </c>
      <c r="CT182" s="521">
        <v>2.5</v>
      </c>
      <c r="CU182" s="521">
        <v>2.5499999999999998</v>
      </c>
      <c r="CV182" s="521">
        <v>2.601</v>
      </c>
      <c r="CW182" s="521">
        <v>2.6530200000000002</v>
      </c>
      <c r="CX182" s="521">
        <v>2.7060804000000003</v>
      </c>
      <c r="CY182" s="521">
        <v>2.7602020080000003</v>
      </c>
      <c r="CZ182" s="521">
        <v>2.8154060481600003</v>
      </c>
      <c r="DA182" s="522">
        <v>2.8717141691232002</v>
      </c>
      <c r="DB182" s="523">
        <v>0</v>
      </c>
      <c r="DC182" s="524">
        <v>0</v>
      </c>
      <c r="DD182" s="524">
        <v>0</v>
      </c>
      <c r="DE182" s="524">
        <v>0</v>
      </c>
      <c r="DF182" s="524">
        <v>-9.6056745242604144E-3</v>
      </c>
      <c r="DG182" s="524">
        <v>9.4131885110447441E-3</v>
      </c>
      <c r="DH182" s="524">
        <v>1.0388975532779086E-2</v>
      </c>
      <c r="DI182" s="524">
        <v>1.1465003715069207E-2</v>
      </c>
      <c r="DJ182" s="524">
        <v>1.2651410526990946E-2</v>
      </c>
      <c r="DK182" s="524">
        <v>0.27171531014015421</v>
      </c>
      <c r="DL182" s="524">
        <v>6.8514965522681326E-5</v>
      </c>
      <c r="DM182" s="524">
        <v>4.9352353705844898E-5</v>
      </c>
      <c r="DN182" s="524">
        <v>-1.7882571730110645E-2</v>
      </c>
      <c r="DO182" s="524">
        <v>2.5005404696344657E-4</v>
      </c>
      <c r="DP182" s="524">
        <v>2.4685826775878994E-4</v>
      </c>
      <c r="DQ182" s="524">
        <v>2.4165048014723051E-4</v>
      </c>
      <c r="DR182" s="524">
        <v>2.3412853730556127E-4</v>
      </c>
      <c r="DS182" s="524">
        <v>3.6658170969779191E-2</v>
      </c>
      <c r="DT182" s="524">
        <v>3.9778074624464976E-4</v>
      </c>
      <c r="DU182" s="525">
        <v>4.0454652403226765E-4</v>
      </c>
      <c r="DV182" s="526">
        <v>3.5</v>
      </c>
      <c r="DW182" s="507">
        <v>1</v>
      </c>
      <c r="DX182" s="509">
        <v>10.38</v>
      </c>
      <c r="DY182" s="507">
        <v>2</v>
      </c>
      <c r="DZ182" s="507">
        <v>15</v>
      </c>
      <c r="EA182" s="507">
        <v>0</v>
      </c>
      <c r="EB182" s="507">
        <v>0</v>
      </c>
      <c r="EC182" s="507">
        <v>111.62500000000001</v>
      </c>
      <c r="ED182" s="507">
        <v>102.18750000000001</v>
      </c>
      <c r="EE182" s="507">
        <v>0</v>
      </c>
      <c r="EF182" s="507">
        <v>25.062499999999996</v>
      </c>
      <c r="EG182" s="507">
        <v>29.3125</v>
      </c>
      <c r="EH182" s="507">
        <v>12.8125</v>
      </c>
      <c r="EI182" s="507">
        <v>16.6875</v>
      </c>
      <c r="EJ182" s="507">
        <v>56.4375</v>
      </c>
      <c r="EK182" s="507">
        <v>10.4375</v>
      </c>
      <c r="EL182" s="507">
        <v>10.4375</v>
      </c>
      <c r="EM182" s="508">
        <v>375</v>
      </c>
    </row>
    <row r="183" spans="2:143" x14ac:dyDescent="0.25">
      <c r="B183" s="506" t="str">
        <f>[1]RONET_Input!J154</f>
        <v xml:space="preserve">Input VPROMMS: 213TT00005 (66.67 pct); 214TT00083 (33.33 pct); </v>
      </c>
      <c r="C183" s="359">
        <f>[1]RONET_Input!B154</f>
        <v>152</v>
      </c>
      <c r="D183" s="397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442">
        <f>[1]RONET_Input!K154</f>
        <v>3.8232467055699999E-2</v>
      </c>
      <c r="Q183" s="398">
        <f>[1]RONET_Input!Y154</f>
        <v>2</v>
      </c>
      <c r="R183" s="398">
        <f>[1]RONET_Input!X154</f>
        <v>3.5</v>
      </c>
      <c r="S183" s="398"/>
      <c r="T183" s="398"/>
      <c r="U183" s="398">
        <f>[1]RONET_Input!AA154</f>
        <v>8</v>
      </c>
      <c r="V183" s="398">
        <f>[1]RONET_Input!AC154</f>
        <v>1</v>
      </c>
      <c r="W183" s="398">
        <f>[1]RONET_Input!AD154</f>
        <v>1</v>
      </c>
      <c r="X183" s="398">
        <f>[1]RONET_Input!AE154</f>
        <v>4</v>
      </c>
      <c r="Y183" s="398">
        <f>[1]RONET_Input!AB154</f>
        <v>1</v>
      </c>
      <c r="Z183" s="438">
        <f>[1]RONET_Input!Z154</f>
        <v>1</v>
      </c>
      <c r="AA183" s="442"/>
      <c r="AB183" s="398"/>
      <c r="AC183" s="438"/>
      <c r="AD183" s="442">
        <f>[1]RONET_Input!AH154</f>
        <v>3</v>
      </c>
      <c r="AE183" s="398">
        <f>[1]RONET_Input!D154</f>
        <v>0</v>
      </c>
      <c r="AF183" s="398"/>
      <c r="AG183" s="398"/>
      <c r="AH183" s="398"/>
      <c r="AI183" s="438"/>
      <c r="AJ183" s="442">
        <v>1</v>
      </c>
      <c r="AK183" s="442">
        <f>[1]RONET_Input!AF154</f>
        <v>4</v>
      </c>
      <c r="AL183" s="507"/>
      <c r="AM183" s="507"/>
      <c r="AN183" s="507"/>
      <c r="AO183" s="507"/>
      <c r="AP183" s="507"/>
      <c r="AQ183" s="507"/>
      <c r="AR183" s="507"/>
      <c r="AS183" s="507"/>
      <c r="AT183" s="507"/>
      <c r="AU183" s="507"/>
      <c r="AV183" s="507"/>
      <c r="AW183" s="507"/>
      <c r="AX183" s="508"/>
      <c r="AY183" s="509">
        <f>[1]RONET_Input!AG154</f>
        <v>3</v>
      </c>
      <c r="AZ183" s="359" t="s">
        <v>321</v>
      </c>
      <c r="BA183" s="360" t="s">
        <v>502</v>
      </c>
      <c r="BB183" s="360" t="s">
        <v>443</v>
      </c>
      <c r="BC183" s="510">
        <v>1.9135349761377849E-3</v>
      </c>
      <c r="BD183" s="510">
        <v>5.0049999999999997E-2</v>
      </c>
      <c r="BE183" s="438">
        <v>6</v>
      </c>
      <c r="BF183" s="511">
        <v>1.512261216428545E-2</v>
      </c>
      <c r="BG183" s="512">
        <v>0.39554371791529086</v>
      </c>
      <c r="BH183" s="512">
        <v>7.9029713869188978</v>
      </c>
      <c r="BI183" s="513">
        <v>0</v>
      </c>
      <c r="BJ183" s="514">
        <v>375</v>
      </c>
      <c r="BK183" s="515">
        <v>0.22366666666666665</v>
      </c>
      <c r="BL183" s="512">
        <v>5.2330689282489382E-3</v>
      </c>
      <c r="BM183" s="516">
        <v>3.2054071874999999E-2</v>
      </c>
      <c r="BN183" s="517">
        <v>375</v>
      </c>
      <c r="BO183" s="518">
        <v>397.50000000000011</v>
      </c>
      <c r="BP183" s="518">
        <v>421.34999999999991</v>
      </c>
      <c r="BQ183" s="518">
        <v>446.63099999999997</v>
      </c>
      <c r="BR183" s="518">
        <v>473.42885999999999</v>
      </c>
      <c r="BS183" s="518">
        <v>501.83459160000012</v>
      </c>
      <c r="BT183" s="518">
        <v>531.9446670960001</v>
      </c>
      <c r="BU183" s="518">
        <v>563.86134712175999</v>
      </c>
      <c r="BV183" s="518">
        <v>597.69302794906582</v>
      </c>
      <c r="BW183" s="518">
        <v>633.55460962600955</v>
      </c>
      <c r="BX183" s="518">
        <v>671.56788620357008</v>
      </c>
      <c r="BY183" s="518">
        <v>711.86195937578441</v>
      </c>
      <c r="BZ183" s="518">
        <v>754.57367693833146</v>
      </c>
      <c r="CA183" s="518">
        <v>799.84809755463141</v>
      </c>
      <c r="CB183" s="518">
        <v>847.83898340790915</v>
      </c>
      <c r="CC183" s="518">
        <v>898.70932241238381</v>
      </c>
      <c r="CD183" s="518">
        <v>952.63188175712685</v>
      </c>
      <c r="CE183" s="518">
        <v>1009.7897946625544</v>
      </c>
      <c r="CF183" s="518">
        <v>1070.3771823423076</v>
      </c>
      <c r="CG183" s="519">
        <v>1134.5998132828461</v>
      </c>
      <c r="CH183" s="520">
        <v>4.5</v>
      </c>
      <c r="CI183" s="521">
        <v>4.59</v>
      </c>
      <c r="CJ183" s="521">
        <v>4.6818</v>
      </c>
      <c r="CK183" s="521">
        <v>4.775436</v>
      </c>
      <c r="CL183" s="521">
        <v>4.8709447199999998</v>
      </c>
      <c r="CM183" s="521">
        <v>2.5</v>
      </c>
      <c r="CN183" s="521">
        <v>2.5499999999999998</v>
      </c>
      <c r="CO183" s="521">
        <v>2.601</v>
      </c>
      <c r="CP183" s="521">
        <v>2.6530200000000002</v>
      </c>
      <c r="CQ183" s="521">
        <v>2.7060804000000003</v>
      </c>
      <c r="CR183" s="521">
        <v>2.7602020080000003</v>
      </c>
      <c r="CS183" s="521">
        <v>2.8154060481600003</v>
      </c>
      <c r="CT183" s="521">
        <v>2.8717141691232002</v>
      </c>
      <c r="CU183" s="521">
        <v>2.5</v>
      </c>
      <c r="CV183" s="521">
        <v>2.5499999999999998</v>
      </c>
      <c r="CW183" s="521">
        <v>2.601</v>
      </c>
      <c r="CX183" s="521">
        <v>2.6530200000000002</v>
      </c>
      <c r="CY183" s="521">
        <v>2.7060804000000003</v>
      </c>
      <c r="CZ183" s="521">
        <v>2.7602020080000003</v>
      </c>
      <c r="DA183" s="522">
        <v>2.8154060481600003</v>
      </c>
      <c r="DB183" s="523">
        <v>0</v>
      </c>
      <c r="DC183" s="524">
        <v>0</v>
      </c>
      <c r="DD183" s="524">
        <v>0</v>
      </c>
      <c r="DE183" s="524">
        <v>0</v>
      </c>
      <c r="DF183" s="524">
        <v>0</v>
      </c>
      <c r="DG183" s="524">
        <v>-1.6159814338977275E-3</v>
      </c>
      <c r="DH183" s="524">
        <v>1.3883043183916897E-4</v>
      </c>
      <c r="DI183" s="524">
        <v>1.5374969882235145E-4</v>
      </c>
      <c r="DJ183" s="524">
        <v>1.7024132109960156E-4</v>
      </c>
      <c r="DK183" s="524">
        <v>2.6093650077329389E-2</v>
      </c>
      <c r="DL183" s="524">
        <v>9.1468240453604008E-6</v>
      </c>
      <c r="DM183" s="524">
        <v>7.5934300806336161E-6</v>
      </c>
      <c r="DN183" s="524">
        <v>5.7326122741997027E-6</v>
      </c>
      <c r="DO183" s="524">
        <v>-1.7149067608211235E-3</v>
      </c>
      <c r="DP183" s="524">
        <v>2.6375569429827432E-5</v>
      </c>
      <c r="DQ183" s="524">
        <v>2.6177702999514128E-5</v>
      </c>
      <c r="DR183" s="524">
        <v>2.579064184453448E-5</v>
      </c>
      <c r="DS183" s="524">
        <v>3.5237647800146757E-3</v>
      </c>
      <c r="DT183" s="524">
        <v>4.2289249974118703E-5</v>
      </c>
      <c r="DU183" s="525">
        <v>4.339586668595987E-5</v>
      </c>
      <c r="DV183" s="526">
        <v>3.5</v>
      </c>
      <c r="DW183" s="507">
        <v>1</v>
      </c>
      <c r="DX183" s="509">
        <v>4.5</v>
      </c>
      <c r="DY183" s="507">
        <v>2</v>
      </c>
      <c r="DZ183" s="507">
        <v>10</v>
      </c>
      <c r="EA183" s="507">
        <v>0</v>
      </c>
      <c r="EB183" s="507">
        <v>0</v>
      </c>
      <c r="EC183" s="507">
        <v>111.62500000000001</v>
      </c>
      <c r="ED183" s="507">
        <v>102.18750000000001</v>
      </c>
      <c r="EE183" s="507">
        <v>0</v>
      </c>
      <c r="EF183" s="507">
        <v>25.062499999999996</v>
      </c>
      <c r="EG183" s="507">
        <v>29.3125</v>
      </c>
      <c r="EH183" s="507">
        <v>12.8125</v>
      </c>
      <c r="EI183" s="507">
        <v>16.6875</v>
      </c>
      <c r="EJ183" s="507">
        <v>56.4375</v>
      </c>
      <c r="EK183" s="507">
        <v>10.4375</v>
      </c>
      <c r="EL183" s="507">
        <v>10.4375</v>
      </c>
      <c r="EM183" s="508">
        <v>375</v>
      </c>
    </row>
    <row r="184" spans="2:143" x14ac:dyDescent="0.25">
      <c r="B184" s="506" t="str">
        <f>[1]RONET_Input!J155</f>
        <v>213TT00005</v>
      </c>
      <c r="C184" s="359">
        <f>[1]RONET_Input!B155</f>
        <v>153</v>
      </c>
      <c r="D184" s="397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442">
        <f>[1]RONET_Input!K155</f>
        <v>9.1986725373400004E-3</v>
      </c>
      <c r="Q184" s="398">
        <f>[1]RONET_Input!Y155</f>
        <v>2</v>
      </c>
      <c r="R184" s="398">
        <f>[1]RONET_Input!X155</f>
        <v>3.8</v>
      </c>
      <c r="S184" s="398"/>
      <c r="T184" s="398"/>
      <c r="U184" s="398">
        <f>[1]RONET_Input!AA155</f>
        <v>6</v>
      </c>
      <c r="V184" s="398">
        <f>[1]RONET_Input!AC155</f>
        <v>1</v>
      </c>
      <c r="W184" s="398">
        <f>[1]RONET_Input!AD155</f>
        <v>1</v>
      </c>
      <c r="X184" s="398">
        <f>[1]RONET_Input!AE155</f>
        <v>4</v>
      </c>
      <c r="Y184" s="398">
        <f>[1]RONET_Input!AB155</f>
        <v>1</v>
      </c>
      <c r="Z184" s="438">
        <f>[1]RONET_Input!Z155</f>
        <v>3</v>
      </c>
      <c r="AA184" s="442"/>
      <c r="AB184" s="398"/>
      <c r="AC184" s="438"/>
      <c r="AD184" s="442">
        <f>[1]RONET_Input!AH155</f>
        <v>3</v>
      </c>
      <c r="AE184" s="398">
        <f>[1]RONET_Input!D155</f>
        <v>0</v>
      </c>
      <c r="AF184" s="398"/>
      <c r="AG184" s="398"/>
      <c r="AH184" s="398"/>
      <c r="AI184" s="438"/>
      <c r="AJ184" s="442">
        <v>1</v>
      </c>
      <c r="AK184" s="442">
        <f>[1]RONET_Input!AF155</f>
        <v>6</v>
      </c>
      <c r="AL184" s="507"/>
      <c r="AM184" s="507"/>
      <c r="AN184" s="507"/>
      <c r="AO184" s="507"/>
      <c r="AP184" s="507"/>
      <c r="AQ184" s="507"/>
      <c r="AR184" s="507"/>
      <c r="AS184" s="507"/>
      <c r="AT184" s="507"/>
      <c r="AU184" s="507"/>
      <c r="AV184" s="507"/>
      <c r="AW184" s="507"/>
      <c r="AX184" s="508"/>
      <c r="AY184" s="509">
        <f>[1]RONET_Input!AG155</f>
        <v>3</v>
      </c>
      <c r="AZ184" s="359" t="s">
        <v>321</v>
      </c>
      <c r="BA184" s="360" t="s">
        <v>505</v>
      </c>
      <c r="BB184" s="360" t="s">
        <v>446</v>
      </c>
      <c r="BC184" s="510">
        <v>3.3207207859797398E-4</v>
      </c>
      <c r="BD184" s="510">
        <v>3.61E-2</v>
      </c>
      <c r="BE184" s="438">
        <v>1</v>
      </c>
      <c r="BF184" s="511">
        <v>2.6815269639779262E-3</v>
      </c>
      <c r="BG184" s="512">
        <v>0.29151238432424392</v>
      </c>
      <c r="BH184" s="512">
        <v>8.0751352998405519</v>
      </c>
      <c r="BI184" s="513">
        <v>0</v>
      </c>
      <c r="BJ184" s="514">
        <v>2000.0000000000002</v>
      </c>
      <c r="BK184" s="515">
        <v>0.22366666666666662</v>
      </c>
      <c r="BL184" s="512">
        <v>6.7150309522582014E-3</v>
      </c>
      <c r="BM184" s="516">
        <v>0.17095505000000003</v>
      </c>
      <c r="BN184" s="517">
        <v>2000.0000000000002</v>
      </c>
      <c r="BO184" s="518">
        <v>2120.0000000000005</v>
      </c>
      <c r="BP184" s="518">
        <v>2247.1999999999998</v>
      </c>
      <c r="BQ184" s="518">
        <v>2382.0320000000002</v>
      </c>
      <c r="BR184" s="518">
        <v>2524.9539199999995</v>
      </c>
      <c r="BS184" s="518">
        <v>2676.4511551999999</v>
      </c>
      <c r="BT184" s="518">
        <v>2837.0382245120009</v>
      </c>
      <c r="BU184" s="518">
        <v>3007.2605179827201</v>
      </c>
      <c r="BV184" s="518">
        <v>3187.6961490616836</v>
      </c>
      <c r="BW184" s="518">
        <v>3378.9579180053843</v>
      </c>
      <c r="BX184" s="518">
        <v>3581.6953930857071</v>
      </c>
      <c r="BY184" s="518">
        <v>3796.59711667085</v>
      </c>
      <c r="BZ184" s="518">
        <v>4024.3929436711001</v>
      </c>
      <c r="CA184" s="518">
        <v>4265.8565202913678</v>
      </c>
      <c r="CB184" s="518">
        <v>4521.8079115088494</v>
      </c>
      <c r="CC184" s="518">
        <v>4793.11638619938</v>
      </c>
      <c r="CD184" s="518">
        <v>5080.703369371342</v>
      </c>
      <c r="CE184" s="518">
        <v>5385.5455715336238</v>
      </c>
      <c r="CF184" s="518">
        <v>5708.6783058256406</v>
      </c>
      <c r="CG184" s="519">
        <v>6051.1990041751797</v>
      </c>
      <c r="CH184" s="520">
        <v>2.5</v>
      </c>
      <c r="CI184" s="521">
        <v>2.5625</v>
      </c>
      <c r="CJ184" s="521">
        <v>2.6265624999999999</v>
      </c>
      <c r="CK184" s="521">
        <v>2.6922265624999997</v>
      </c>
      <c r="CL184" s="521">
        <v>2.7595322265624995</v>
      </c>
      <c r="CM184" s="521">
        <v>2.8285205322265621</v>
      </c>
      <c r="CN184" s="521">
        <v>2.8992335455322262</v>
      </c>
      <c r="CO184" s="521">
        <v>2.9717143841705318</v>
      </c>
      <c r="CP184" s="521">
        <v>2.5</v>
      </c>
      <c r="CQ184" s="521">
        <v>2.5625</v>
      </c>
      <c r="CR184" s="521">
        <v>2.6265624999999999</v>
      </c>
      <c r="CS184" s="521">
        <v>2.6922265624999997</v>
      </c>
      <c r="CT184" s="521">
        <v>2.7595322265624995</v>
      </c>
      <c r="CU184" s="521">
        <v>2.8285205322265621</v>
      </c>
      <c r="CV184" s="521">
        <v>2.8992335455322262</v>
      </c>
      <c r="CW184" s="521">
        <v>2.9717143841705318</v>
      </c>
      <c r="CX184" s="521">
        <v>2.5</v>
      </c>
      <c r="CY184" s="521">
        <v>2.5625</v>
      </c>
      <c r="CZ184" s="521">
        <v>2.6265624999999999</v>
      </c>
      <c r="DA184" s="522">
        <v>2.6922265624999997</v>
      </c>
      <c r="DB184" s="523">
        <v>-1.4362821452756696E-4</v>
      </c>
      <c r="DC184" s="524">
        <v>1.774055474700535E-4</v>
      </c>
      <c r="DD184" s="524">
        <v>1.9844276071411893E-4</v>
      </c>
      <c r="DE184" s="524">
        <v>2.2191919084438294E-4</v>
      </c>
      <c r="DF184" s="524">
        <v>2.4811330914735127E-4</v>
      </c>
      <c r="DG184" s="524">
        <v>2.7733507073924787E-4</v>
      </c>
      <c r="DH184" s="524">
        <v>3.099294610962389E-4</v>
      </c>
      <c r="DI184" s="524">
        <v>3.462804435493223E-4</v>
      </c>
      <c r="DJ184" s="524">
        <v>1.1340568707761921E-4</v>
      </c>
      <c r="DK184" s="524">
        <v>1.7204102897359222E-3</v>
      </c>
      <c r="DL184" s="524">
        <v>4.6734130790765903E-5</v>
      </c>
      <c r="DM184" s="524">
        <v>4.8981199277150361E-5</v>
      </c>
      <c r="DN184" s="524">
        <v>5.13217505460975E-5</v>
      </c>
      <c r="DO184" s="524">
        <v>5.3758627004582907E-5</v>
      </c>
      <c r="DP184" s="524">
        <v>5.6294697068901001E-5</v>
      </c>
      <c r="DQ184" s="524">
        <v>5.8932855173179054E-5</v>
      </c>
      <c r="DR184" s="524">
        <v>-1.9464511597657407E-4</v>
      </c>
      <c r="DS184" s="524">
        <v>6.2131672790081797E-4</v>
      </c>
      <c r="DT184" s="524">
        <v>6.7219683122511989E-5</v>
      </c>
      <c r="DU184" s="525">
        <v>6.9813488095730666E-5</v>
      </c>
      <c r="DV184" s="526">
        <v>3.8</v>
      </c>
      <c r="DW184" s="507">
        <v>3</v>
      </c>
      <c r="DX184" s="509">
        <v>5.5</v>
      </c>
      <c r="DY184" s="507">
        <v>4</v>
      </c>
      <c r="DZ184" s="507">
        <v>10</v>
      </c>
      <c r="EA184" s="507">
        <v>0</v>
      </c>
      <c r="EB184" s="507">
        <v>0</v>
      </c>
      <c r="EC184" s="507">
        <v>595.33333333333337</v>
      </c>
      <c r="ED184" s="507">
        <v>545</v>
      </c>
      <c r="EE184" s="507">
        <v>0</v>
      </c>
      <c r="EF184" s="507">
        <v>133.66666666666666</v>
      </c>
      <c r="EG184" s="507">
        <v>156.33333333333331</v>
      </c>
      <c r="EH184" s="507">
        <v>68.333333333333329</v>
      </c>
      <c r="EI184" s="507">
        <v>89</v>
      </c>
      <c r="EJ184" s="507">
        <v>301</v>
      </c>
      <c r="EK184" s="507">
        <v>55.666666666666671</v>
      </c>
      <c r="EL184" s="507">
        <v>55.666666666666671</v>
      </c>
      <c r="EM184" s="508">
        <v>2000.0000000000002</v>
      </c>
    </row>
    <row r="185" spans="2:143" x14ac:dyDescent="0.25">
      <c r="B185" s="506">
        <f>[1]RONET_Input!J156</f>
        <v>0</v>
      </c>
      <c r="C185" s="359">
        <f>[1]RONET_Input!B156</f>
        <v>154</v>
      </c>
      <c r="D185" s="397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442">
        <f>[1]RONET_Input!K156</f>
        <v>0.12382251176300001</v>
      </c>
      <c r="Q185" s="398">
        <f>[1]RONET_Input!Y156</f>
        <v>2</v>
      </c>
      <c r="R185" s="398">
        <f>[1]RONET_Input!X156</f>
        <v>3.5</v>
      </c>
      <c r="S185" s="398"/>
      <c r="T185" s="398"/>
      <c r="U185" s="398">
        <f>[1]RONET_Input!AA156</f>
        <v>8</v>
      </c>
      <c r="V185" s="398">
        <f>[1]RONET_Input!AC156</f>
        <v>1</v>
      </c>
      <c r="W185" s="398">
        <f>[1]RONET_Input!AD156</f>
        <v>1</v>
      </c>
      <c r="X185" s="398">
        <f>[1]RONET_Input!AE156</f>
        <v>4</v>
      </c>
      <c r="Y185" s="398">
        <f>[1]RONET_Input!AB156</f>
        <v>1</v>
      </c>
      <c r="Z185" s="438">
        <f>[1]RONET_Input!Z156</f>
        <v>1</v>
      </c>
      <c r="AA185" s="442"/>
      <c r="AB185" s="398"/>
      <c r="AC185" s="438"/>
      <c r="AD185" s="442">
        <f>[1]RONET_Input!AH156</f>
        <v>3</v>
      </c>
      <c r="AE185" s="398">
        <f>[1]RONET_Input!D156</f>
        <v>0</v>
      </c>
      <c r="AF185" s="398"/>
      <c r="AG185" s="398"/>
      <c r="AH185" s="398"/>
      <c r="AI185" s="438"/>
      <c r="AJ185" s="442">
        <v>1</v>
      </c>
      <c r="AK185" s="442">
        <f>[1]RONET_Input!AF156</f>
        <v>4</v>
      </c>
      <c r="AL185" s="507"/>
      <c r="AM185" s="507"/>
      <c r="AN185" s="507"/>
      <c r="AO185" s="507"/>
      <c r="AP185" s="507"/>
      <c r="AQ185" s="507"/>
      <c r="AR185" s="507"/>
      <c r="AS185" s="507"/>
      <c r="AT185" s="507"/>
      <c r="AU185" s="507"/>
      <c r="AV185" s="507"/>
      <c r="AW185" s="507"/>
      <c r="AX185" s="508"/>
      <c r="AY185" s="509">
        <f>[1]RONET_Input!AG156</f>
        <v>3</v>
      </c>
      <c r="AZ185" s="359" t="s">
        <v>321</v>
      </c>
      <c r="BA185" s="360" t="s">
        <v>502</v>
      </c>
      <c r="BB185" s="360" t="s">
        <v>443</v>
      </c>
      <c r="BC185" s="510">
        <v>6.1973167137381515E-3</v>
      </c>
      <c r="BD185" s="510">
        <v>5.0050000000000011E-2</v>
      </c>
      <c r="BE185" s="438">
        <v>6</v>
      </c>
      <c r="BF185" s="511">
        <v>4.8977216664346852E-2</v>
      </c>
      <c r="BG185" s="512">
        <v>0.3955437179152908</v>
      </c>
      <c r="BH185" s="512">
        <v>7.902971386918896</v>
      </c>
      <c r="BI185" s="513">
        <v>0</v>
      </c>
      <c r="BJ185" s="514">
        <v>375</v>
      </c>
      <c r="BK185" s="515">
        <v>0.22366666666666665</v>
      </c>
      <c r="BL185" s="512">
        <v>1.6948206297560626E-2</v>
      </c>
      <c r="BM185" s="516">
        <v>3.2054071874999999E-2</v>
      </c>
      <c r="BN185" s="517">
        <v>375</v>
      </c>
      <c r="BO185" s="518">
        <v>397.50000000000011</v>
      </c>
      <c r="BP185" s="518">
        <v>421.34999999999991</v>
      </c>
      <c r="BQ185" s="518">
        <v>446.63099999999997</v>
      </c>
      <c r="BR185" s="518">
        <v>473.42885999999999</v>
      </c>
      <c r="BS185" s="518">
        <v>501.83459160000012</v>
      </c>
      <c r="BT185" s="518">
        <v>531.9446670960001</v>
      </c>
      <c r="BU185" s="518">
        <v>563.86134712175999</v>
      </c>
      <c r="BV185" s="518">
        <v>597.69302794906582</v>
      </c>
      <c r="BW185" s="518">
        <v>633.55460962600955</v>
      </c>
      <c r="BX185" s="518">
        <v>671.56788620357008</v>
      </c>
      <c r="BY185" s="518">
        <v>711.86195937578441</v>
      </c>
      <c r="BZ185" s="518">
        <v>754.57367693833146</v>
      </c>
      <c r="CA185" s="518">
        <v>799.84809755463141</v>
      </c>
      <c r="CB185" s="518">
        <v>847.83898340790915</v>
      </c>
      <c r="CC185" s="518">
        <v>898.70932241238381</v>
      </c>
      <c r="CD185" s="518">
        <v>952.63188175712685</v>
      </c>
      <c r="CE185" s="518">
        <v>1009.7897946625544</v>
      </c>
      <c r="CF185" s="518">
        <v>1070.3771823423076</v>
      </c>
      <c r="CG185" s="519">
        <v>1134.5998132828461</v>
      </c>
      <c r="CH185" s="520">
        <v>4.5</v>
      </c>
      <c r="CI185" s="521">
        <v>4.59</v>
      </c>
      <c r="CJ185" s="521">
        <v>4.6818</v>
      </c>
      <c r="CK185" s="521">
        <v>4.775436</v>
      </c>
      <c r="CL185" s="521">
        <v>4.8709447199999998</v>
      </c>
      <c r="CM185" s="521">
        <v>2.5</v>
      </c>
      <c r="CN185" s="521">
        <v>2.5499999999999998</v>
      </c>
      <c r="CO185" s="521">
        <v>2.601</v>
      </c>
      <c r="CP185" s="521">
        <v>2.6530200000000002</v>
      </c>
      <c r="CQ185" s="521">
        <v>2.7060804000000003</v>
      </c>
      <c r="CR185" s="521">
        <v>2.7602020080000003</v>
      </c>
      <c r="CS185" s="521">
        <v>2.8154060481600003</v>
      </c>
      <c r="CT185" s="521">
        <v>2.8717141691232002</v>
      </c>
      <c r="CU185" s="521">
        <v>2.5</v>
      </c>
      <c r="CV185" s="521">
        <v>2.5499999999999998</v>
      </c>
      <c r="CW185" s="521">
        <v>2.601</v>
      </c>
      <c r="CX185" s="521">
        <v>2.6530200000000002</v>
      </c>
      <c r="CY185" s="521">
        <v>2.7060804000000003</v>
      </c>
      <c r="CZ185" s="521">
        <v>2.7602020080000003</v>
      </c>
      <c r="DA185" s="522">
        <v>2.8154060481600003</v>
      </c>
      <c r="DB185" s="523">
        <v>0</v>
      </c>
      <c r="DC185" s="524">
        <v>0</v>
      </c>
      <c r="DD185" s="524">
        <v>0</v>
      </c>
      <c r="DE185" s="524">
        <v>0</v>
      </c>
      <c r="DF185" s="524">
        <v>0</v>
      </c>
      <c r="DG185" s="524">
        <v>-5.2336376780519386E-3</v>
      </c>
      <c r="DH185" s="524">
        <v>4.4962656358072881E-4</v>
      </c>
      <c r="DI185" s="524">
        <v>4.9794521141554443E-4</v>
      </c>
      <c r="DJ185" s="524">
        <v>5.5135620606678627E-4</v>
      </c>
      <c r="DK185" s="524">
        <v>8.4508836140042481E-2</v>
      </c>
      <c r="DL185" s="524">
        <v>2.9623584748027232E-5</v>
      </c>
      <c r="DM185" s="524">
        <v>2.4592647503256237E-5</v>
      </c>
      <c r="DN185" s="524">
        <v>1.8566064536738175E-5</v>
      </c>
      <c r="DO185" s="524">
        <v>-5.5540246004753685E-3</v>
      </c>
      <c r="DP185" s="524">
        <v>8.5421881125865434E-5</v>
      </c>
      <c r="DQ185" s="524">
        <v>8.478105618617976E-5</v>
      </c>
      <c r="DR185" s="524">
        <v>8.3527491137776189E-5</v>
      </c>
      <c r="DS185" s="524">
        <v>1.1412326734964437E-2</v>
      </c>
      <c r="DT185" s="524">
        <v>1.3696111069003147E-4</v>
      </c>
      <c r="DU185" s="525">
        <v>1.4054508188967793E-4</v>
      </c>
      <c r="DV185" s="526">
        <v>3.5</v>
      </c>
      <c r="DW185" s="507">
        <v>1</v>
      </c>
      <c r="DX185" s="509">
        <v>4.5</v>
      </c>
      <c r="DY185" s="507">
        <v>2</v>
      </c>
      <c r="DZ185" s="507">
        <v>10</v>
      </c>
      <c r="EA185" s="507">
        <v>0</v>
      </c>
      <c r="EB185" s="507">
        <v>0</v>
      </c>
      <c r="EC185" s="507">
        <v>111.62500000000001</v>
      </c>
      <c r="ED185" s="507">
        <v>102.18750000000001</v>
      </c>
      <c r="EE185" s="507">
        <v>0</v>
      </c>
      <c r="EF185" s="507">
        <v>25.062499999999996</v>
      </c>
      <c r="EG185" s="507">
        <v>29.3125</v>
      </c>
      <c r="EH185" s="507">
        <v>12.8125</v>
      </c>
      <c r="EI185" s="507">
        <v>16.6875</v>
      </c>
      <c r="EJ185" s="507">
        <v>56.4375</v>
      </c>
      <c r="EK185" s="507">
        <v>10.4375</v>
      </c>
      <c r="EL185" s="507">
        <v>10.4375</v>
      </c>
      <c r="EM185" s="508">
        <v>375</v>
      </c>
    </row>
    <row r="186" spans="2:143" x14ac:dyDescent="0.25">
      <c r="B186" s="506" t="str">
        <f>[1]RONET_Input!J157</f>
        <v>214tt00080</v>
      </c>
      <c r="C186" s="359">
        <f>[1]RONET_Input!B157</f>
        <v>155</v>
      </c>
      <c r="D186" s="397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442">
        <f>[1]RONET_Input!K157</f>
        <v>6.5278041185800006</v>
      </c>
      <c r="Q186" s="398">
        <f>[1]RONET_Input!Y157</f>
        <v>1</v>
      </c>
      <c r="R186" s="398">
        <f>[1]RONET_Input!X157</f>
        <v>3.4</v>
      </c>
      <c r="S186" s="398"/>
      <c r="T186" s="398"/>
      <c r="U186" s="398">
        <f>[1]RONET_Input!AA157</f>
        <v>8</v>
      </c>
      <c r="V186" s="398">
        <f>[1]RONET_Input!AC157</f>
        <v>1</v>
      </c>
      <c r="W186" s="398">
        <f>[1]RONET_Input!AD157</f>
        <v>1</v>
      </c>
      <c r="X186" s="398">
        <f>[1]RONET_Input!AE157</f>
        <v>4</v>
      </c>
      <c r="Y186" s="398">
        <f>[1]RONET_Input!AB157</f>
        <v>1</v>
      </c>
      <c r="Z186" s="438">
        <f>[1]RONET_Input!Z157</f>
        <v>1</v>
      </c>
      <c r="AA186" s="442"/>
      <c r="AB186" s="398"/>
      <c r="AC186" s="438"/>
      <c r="AD186" s="442">
        <f>[1]RONET_Input!AH157</f>
        <v>3</v>
      </c>
      <c r="AE186" s="398">
        <f>[1]RONET_Input!D157</f>
        <v>7.58</v>
      </c>
      <c r="AF186" s="398"/>
      <c r="AG186" s="398"/>
      <c r="AH186" s="398"/>
      <c r="AI186" s="438"/>
      <c r="AJ186" s="442">
        <v>1</v>
      </c>
      <c r="AK186" s="442">
        <f>[1]RONET_Input!AF157</f>
        <v>4</v>
      </c>
      <c r="AL186" s="507"/>
      <c r="AM186" s="507"/>
      <c r="AN186" s="507"/>
      <c r="AO186" s="507"/>
      <c r="AP186" s="507"/>
      <c r="AQ186" s="507"/>
      <c r="AR186" s="507"/>
      <c r="AS186" s="507"/>
      <c r="AT186" s="507"/>
      <c r="AU186" s="507"/>
      <c r="AV186" s="507"/>
      <c r="AW186" s="507"/>
      <c r="AX186" s="508"/>
      <c r="AY186" s="509">
        <f>[1]RONET_Input!AG157</f>
        <v>3</v>
      </c>
      <c r="AZ186" s="359" t="s">
        <v>321</v>
      </c>
      <c r="BA186" s="360" t="s">
        <v>502</v>
      </c>
      <c r="BB186" s="360" t="s">
        <v>443</v>
      </c>
      <c r="BC186" s="510">
        <v>0.31738183624535965</v>
      </c>
      <c r="BD186" s="510">
        <v>4.8620000000000003E-2</v>
      </c>
      <c r="BE186" s="438">
        <v>5</v>
      </c>
      <c r="BF186" s="511">
        <v>2.9254353820832275</v>
      </c>
      <c r="BG186" s="512">
        <v>0.44814999484384044</v>
      </c>
      <c r="BH186" s="512">
        <v>9.2174001407618338</v>
      </c>
      <c r="BI186" s="513">
        <v>0</v>
      </c>
      <c r="BJ186" s="514">
        <v>375</v>
      </c>
      <c r="BK186" s="515">
        <v>0.22366666666666665</v>
      </c>
      <c r="BL186" s="512">
        <v>0.89349318873063743</v>
      </c>
      <c r="BM186" s="516">
        <v>6.4108143749999999E-2</v>
      </c>
      <c r="BN186" s="517">
        <v>375</v>
      </c>
      <c r="BO186" s="518">
        <v>397.50000000000011</v>
      </c>
      <c r="BP186" s="518">
        <v>421.34999999999991</v>
      </c>
      <c r="BQ186" s="518">
        <v>446.63099999999997</v>
      </c>
      <c r="BR186" s="518">
        <v>473.42885999999999</v>
      </c>
      <c r="BS186" s="518">
        <v>501.83459160000012</v>
      </c>
      <c r="BT186" s="518">
        <v>531.9446670960001</v>
      </c>
      <c r="BU186" s="518">
        <v>563.86134712175999</v>
      </c>
      <c r="BV186" s="518">
        <v>597.69302794906582</v>
      </c>
      <c r="BW186" s="518">
        <v>633.55460962600955</v>
      </c>
      <c r="BX186" s="518">
        <v>671.56788620357008</v>
      </c>
      <c r="BY186" s="518">
        <v>711.86195937578441</v>
      </c>
      <c r="BZ186" s="518">
        <v>754.57367693833146</v>
      </c>
      <c r="CA186" s="518">
        <v>799.84809755463141</v>
      </c>
      <c r="CB186" s="518">
        <v>847.83898340790915</v>
      </c>
      <c r="CC186" s="518">
        <v>898.70932241238381</v>
      </c>
      <c r="CD186" s="518">
        <v>952.63188175712685</v>
      </c>
      <c r="CE186" s="518">
        <v>1009.7897946625544</v>
      </c>
      <c r="CF186" s="518">
        <v>1070.3771823423076</v>
      </c>
      <c r="CG186" s="519">
        <v>1134.5998132828461</v>
      </c>
      <c r="CH186" s="520">
        <v>7.58</v>
      </c>
      <c r="CI186" s="521">
        <v>7.7316000000000003</v>
      </c>
      <c r="CJ186" s="521">
        <v>7.8862320000000006</v>
      </c>
      <c r="CK186" s="521">
        <v>8.0439566400000011</v>
      </c>
      <c r="CL186" s="521">
        <v>2.5</v>
      </c>
      <c r="CM186" s="521">
        <v>2.5499999999999998</v>
      </c>
      <c r="CN186" s="521">
        <v>2.601</v>
      </c>
      <c r="CO186" s="521">
        <v>2.6530200000000002</v>
      </c>
      <c r="CP186" s="521">
        <v>2.7060804000000003</v>
      </c>
      <c r="CQ186" s="521">
        <v>2.7602020080000003</v>
      </c>
      <c r="CR186" s="521">
        <v>2.8154060481600003</v>
      </c>
      <c r="CS186" s="521">
        <v>2.8717141691232002</v>
      </c>
      <c r="CT186" s="521">
        <v>2.5</v>
      </c>
      <c r="CU186" s="521">
        <v>2.5499999999999998</v>
      </c>
      <c r="CV186" s="521">
        <v>2.601</v>
      </c>
      <c r="CW186" s="521">
        <v>2.6530200000000002</v>
      </c>
      <c r="CX186" s="521">
        <v>2.7060804000000003</v>
      </c>
      <c r="CY186" s="521">
        <v>2.7602020080000003</v>
      </c>
      <c r="CZ186" s="521">
        <v>2.8154060481600003</v>
      </c>
      <c r="DA186" s="522">
        <v>2.8717141691232002</v>
      </c>
      <c r="DB186" s="523">
        <v>0</v>
      </c>
      <c r="DC186" s="524">
        <v>0</v>
      </c>
      <c r="DD186" s="524">
        <v>0</v>
      </c>
      <c r="DE186" s="524">
        <v>0</v>
      </c>
      <c r="DF186" s="524">
        <v>-0.21340998978637005</v>
      </c>
      <c r="DG186" s="524">
        <v>8.3095558908414469E-2</v>
      </c>
      <c r="DH186" s="524">
        <v>9.1562608013381896E-2</v>
      </c>
      <c r="DI186" s="524">
        <v>0.10088727950809384</v>
      </c>
      <c r="DJ186" s="524">
        <v>0.11115615785205313</v>
      </c>
      <c r="DK186" s="524">
        <v>4.4729817657786093</v>
      </c>
      <c r="DL186" s="524">
        <v>1.9554148498279078E-2</v>
      </c>
      <c r="DM186" s="524">
        <v>1.9528995275731709E-2</v>
      </c>
      <c r="DN186" s="524">
        <v>-0.26482748242331322</v>
      </c>
      <c r="DO186" s="524">
        <v>2.4339125930220584E-2</v>
      </c>
      <c r="DP186" s="524">
        <v>2.4673847473853594E-2</v>
      </c>
      <c r="DQ186" s="524">
        <v>2.4989964273831156E-2</v>
      </c>
      <c r="DR186" s="524">
        <v>2.5282723021244236E-2</v>
      </c>
      <c r="DS186" s="524">
        <v>0.62289351347800892</v>
      </c>
      <c r="DT186" s="524">
        <v>2.8842371326484484E-2</v>
      </c>
      <c r="DU186" s="525">
        <v>2.9413954687186106E-2</v>
      </c>
      <c r="DV186" s="526">
        <v>3.4</v>
      </c>
      <c r="DW186" s="507">
        <v>1</v>
      </c>
      <c r="DX186" s="509">
        <v>7.58</v>
      </c>
      <c r="DY186" s="507">
        <v>2</v>
      </c>
      <c r="DZ186" s="507">
        <v>10</v>
      </c>
      <c r="EA186" s="507">
        <v>0</v>
      </c>
      <c r="EB186" s="507">
        <v>0</v>
      </c>
      <c r="EC186" s="507">
        <v>111.62500000000001</v>
      </c>
      <c r="ED186" s="507">
        <v>102.18750000000001</v>
      </c>
      <c r="EE186" s="507">
        <v>0</v>
      </c>
      <c r="EF186" s="507">
        <v>25.062499999999996</v>
      </c>
      <c r="EG186" s="507">
        <v>29.3125</v>
      </c>
      <c r="EH186" s="507">
        <v>12.8125</v>
      </c>
      <c r="EI186" s="507">
        <v>16.6875</v>
      </c>
      <c r="EJ186" s="507">
        <v>56.4375</v>
      </c>
      <c r="EK186" s="507">
        <v>10.4375</v>
      </c>
      <c r="EL186" s="507">
        <v>10.4375</v>
      </c>
      <c r="EM186" s="508">
        <v>375</v>
      </c>
    </row>
    <row r="187" spans="2:143" x14ac:dyDescent="0.25">
      <c r="B187" s="506" t="str">
        <f>[1]RONET_Input!J158</f>
        <v xml:space="preserve">Input VPROMMS: 217b_1 (49.53 pct); 217B_1 (49.06 pct); 214tt00030 (0.94 pct); 214tt00025 (0.47 pct); </v>
      </c>
      <c r="C187" s="359">
        <f>[1]RONET_Input!B158</f>
        <v>156</v>
      </c>
      <c r="D187" s="397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442">
        <f>[1]RONET_Input!K158</f>
        <v>5.5694915200300006</v>
      </c>
      <c r="Q187" s="398">
        <f>[1]RONET_Input!Y158</f>
        <v>2</v>
      </c>
      <c r="R187" s="398">
        <f>[1]RONET_Input!X158</f>
        <v>3.5</v>
      </c>
      <c r="S187" s="398"/>
      <c r="T187" s="398"/>
      <c r="U187" s="398">
        <f>[1]RONET_Input!AA158</f>
        <v>8</v>
      </c>
      <c r="V187" s="398">
        <f>[1]RONET_Input!AC158</f>
        <v>1</v>
      </c>
      <c r="W187" s="398">
        <f>[1]RONET_Input!AD158</f>
        <v>1</v>
      </c>
      <c r="X187" s="398">
        <f>[1]RONET_Input!AE158</f>
        <v>4</v>
      </c>
      <c r="Y187" s="398">
        <f>[1]RONET_Input!AB158</f>
        <v>1</v>
      </c>
      <c r="Z187" s="438">
        <f>[1]RONET_Input!Z158</f>
        <v>1</v>
      </c>
      <c r="AA187" s="442"/>
      <c r="AB187" s="398"/>
      <c r="AC187" s="438"/>
      <c r="AD187" s="442">
        <f>[1]RONET_Input!AH158</f>
        <v>2</v>
      </c>
      <c r="AE187" s="398">
        <f>[1]RONET_Input!D158</f>
        <v>5.9249999999999998</v>
      </c>
      <c r="AF187" s="398"/>
      <c r="AG187" s="398"/>
      <c r="AH187" s="398"/>
      <c r="AI187" s="438"/>
      <c r="AJ187" s="442">
        <v>1</v>
      </c>
      <c r="AK187" s="442">
        <f>[1]RONET_Input!AF158</f>
        <v>4</v>
      </c>
      <c r="AL187" s="507"/>
      <c r="AM187" s="507"/>
      <c r="AN187" s="507"/>
      <c r="AO187" s="507"/>
      <c r="AP187" s="507"/>
      <c r="AQ187" s="507"/>
      <c r="AR187" s="507"/>
      <c r="AS187" s="507"/>
      <c r="AT187" s="507"/>
      <c r="AU187" s="507"/>
      <c r="AV187" s="507"/>
      <c r="AW187" s="507"/>
      <c r="AX187" s="508"/>
      <c r="AY187" s="509">
        <f>[1]RONET_Input!AG158</f>
        <v>3</v>
      </c>
      <c r="AZ187" s="359" t="s">
        <v>321</v>
      </c>
      <c r="BA187" s="360" t="s">
        <v>502</v>
      </c>
      <c r="BB187" s="360" t="s">
        <v>443</v>
      </c>
      <c r="BC187" s="510">
        <v>0.27875305057750155</v>
      </c>
      <c r="BD187" s="510">
        <v>5.0050000000000004E-2</v>
      </c>
      <c r="BE187" s="438">
        <v>5</v>
      </c>
      <c r="BF187" s="511">
        <v>2.2705260999039343</v>
      </c>
      <c r="BG187" s="512">
        <v>0.40767206337208028</v>
      </c>
      <c r="BH187" s="512">
        <v>8.1452959714701354</v>
      </c>
      <c r="BI187" s="513">
        <v>0</v>
      </c>
      <c r="BJ187" s="514">
        <v>375</v>
      </c>
      <c r="BK187" s="515">
        <v>0.22366666666666665</v>
      </c>
      <c r="BL187" s="512">
        <v>0.76232415180410629</v>
      </c>
      <c r="BM187" s="516">
        <v>3.2054071874999999E-2</v>
      </c>
      <c r="BN187" s="517">
        <v>375</v>
      </c>
      <c r="BO187" s="518">
        <v>397.50000000000011</v>
      </c>
      <c r="BP187" s="518">
        <v>421.34999999999991</v>
      </c>
      <c r="BQ187" s="518">
        <v>446.63099999999997</v>
      </c>
      <c r="BR187" s="518">
        <v>473.42885999999999</v>
      </c>
      <c r="BS187" s="518">
        <v>501.83459160000012</v>
      </c>
      <c r="BT187" s="518">
        <v>531.9446670960001</v>
      </c>
      <c r="BU187" s="518">
        <v>563.86134712175999</v>
      </c>
      <c r="BV187" s="518">
        <v>597.69302794906582</v>
      </c>
      <c r="BW187" s="518">
        <v>633.55460962600955</v>
      </c>
      <c r="BX187" s="518">
        <v>671.56788620357008</v>
      </c>
      <c r="BY187" s="518">
        <v>711.86195937578441</v>
      </c>
      <c r="BZ187" s="518">
        <v>754.57367693833146</v>
      </c>
      <c r="CA187" s="518">
        <v>799.84809755463141</v>
      </c>
      <c r="CB187" s="518">
        <v>847.83898340790915</v>
      </c>
      <c r="CC187" s="518">
        <v>898.70932241238381</v>
      </c>
      <c r="CD187" s="518">
        <v>952.63188175712685</v>
      </c>
      <c r="CE187" s="518">
        <v>1009.7897946625544</v>
      </c>
      <c r="CF187" s="518">
        <v>1070.3771823423076</v>
      </c>
      <c r="CG187" s="519">
        <v>1134.5998132828461</v>
      </c>
      <c r="CH187" s="520">
        <v>5.9249999999999998</v>
      </c>
      <c r="CI187" s="521">
        <v>6.0434999999999999</v>
      </c>
      <c r="CJ187" s="521">
        <v>6.1643699999999999</v>
      </c>
      <c r="CK187" s="521">
        <v>6.2876573999999996</v>
      </c>
      <c r="CL187" s="521">
        <v>2.5</v>
      </c>
      <c r="CM187" s="521">
        <v>2.5499999999999998</v>
      </c>
      <c r="CN187" s="521">
        <v>2.601</v>
      </c>
      <c r="CO187" s="521">
        <v>2.6530200000000002</v>
      </c>
      <c r="CP187" s="521">
        <v>2.7060804000000003</v>
      </c>
      <c r="CQ187" s="521">
        <v>2.7602020080000003</v>
      </c>
      <c r="CR187" s="521">
        <v>2.8154060481600003</v>
      </c>
      <c r="CS187" s="521">
        <v>2.8717141691232002</v>
      </c>
      <c r="CT187" s="521">
        <v>2.5</v>
      </c>
      <c r="CU187" s="521">
        <v>2.5499999999999998</v>
      </c>
      <c r="CV187" s="521">
        <v>2.601</v>
      </c>
      <c r="CW187" s="521">
        <v>2.6530200000000002</v>
      </c>
      <c r="CX187" s="521">
        <v>2.7060804000000003</v>
      </c>
      <c r="CY187" s="521">
        <v>2.7602020080000003</v>
      </c>
      <c r="CZ187" s="521">
        <v>2.8154060481600003</v>
      </c>
      <c r="DA187" s="522">
        <v>2.8717141691232002</v>
      </c>
      <c r="DB187" s="523">
        <v>0</v>
      </c>
      <c r="DC187" s="524">
        <v>0</v>
      </c>
      <c r="DD187" s="524">
        <v>0</v>
      </c>
      <c r="DE187" s="524">
        <v>0</v>
      </c>
      <c r="DF187" s="524">
        <v>-0.22007984522486268</v>
      </c>
      <c r="DG187" s="524">
        <v>3.714706840416937E-2</v>
      </c>
      <c r="DH187" s="524">
        <v>4.1080606008239595E-2</v>
      </c>
      <c r="DI187" s="524">
        <v>4.5424456547050962E-2</v>
      </c>
      <c r="DJ187" s="524">
        <v>5.0220973825857218E-2</v>
      </c>
      <c r="DK187" s="524">
        <v>3.8008403226017151</v>
      </c>
      <c r="DL187" s="524">
        <v>9.5840916555611777E-4</v>
      </c>
      <c r="DM187" s="524">
        <v>6.9035644654602546E-4</v>
      </c>
      <c r="DN187" s="524">
        <v>-0.2501471104758981</v>
      </c>
      <c r="DO187" s="524">
        <v>3.4978356723371906E-3</v>
      </c>
      <c r="DP187" s="524">
        <v>3.4531320946959987E-3</v>
      </c>
      <c r="DQ187" s="524">
        <v>3.3802839024634768E-3</v>
      </c>
      <c r="DR187" s="524">
        <v>3.2750645696176806E-3</v>
      </c>
      <c r="DS187" s="524">
        <v>0.51278617426046114</v>
      </c>
      <c r="DT187" s="524">
        <v>5.5642838053597821E-3</v>
      </c>
      <c r="DU187" s="525">
        <v>5.6589256605272809E-3</v>
      </c>
      <c r="DV187" s="526">
        <v>3.5</v>
      </c>
      <c r="DW187" s="507">
        <v>1</v>
      </c>
      <c r="DX187" s="509">
        <v>5.9249999999999998</v>
      </c>
      <c r="DY187" s="507">
        <v>2</v>
      </c>
      <c r="DZ187" s="507">
        <v>5</v>
      </c>
      <c r="EA187" s="507">
        <v>0</v>
      </c>
      <c r="EB187" s="507">
        <v>0</v>
      </c>
      <c r="EC187" s="507">
        <v>111.62500000000001</v>
      </c>
      <c r="ED187" s="507">
        <v>102.18750000000001</v>
      </c>
      <c r="EE187" s="507">
        <v>0</v>
      </c>
      <c r="EF187" s="507">
        <v>25.062499999999996</v>
      </c>
      <c r="EG187" s="507">
        <v>29.3125</v>
      </c>
      <c r="EH187" s="507">
        <v>12.8125</v>
      </c>
      <c r="EI187" s="507">
        <v>16.6875</v>
      </c>
      <c r="EJ187" s="507">
        <v>56.4375</v>
      </c>
      <c r="EK187" s="507">
        <v>10.4375</v>
      </c>
      <c r="EL187" s="507">
        <v>10.4375</v>
      </c>
      <c r="EM187" s="508">
        <v>375</v>
      </c>
    </row>
    <row r="188" spans="2:143" x14ac:dyDescent="0.25">
      <c r="B188" s="506" t="str">
        <f>[1]RONET_Input!J159</f>
        <v xml:space="preserve">Input VPROMMS: 214TT00083 (50.0 pct); 213TT00005 (50.0 pct); </v>
      </c>
      <c r="C188" s="359">
        <f>[1]RONET_Input!B159</f>
        <v>157</v>
      </c>
      <c r="D188" s="397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442">
        <f>[1]RONET_Input!K159</f>
        <v>5.9853421843900002E-2</v>
      </c>
      <c r="Q188" s="398">
        <f>[1]RONET_Input!Y159</f>
        <v>2</v>
      </c>
      <c r="R188" s="398">
        <f>[1]RONET_Input!X159</f>
        <v>3.5</v>
      </c>
      <c r="S188" s="398"/>
      <c r="T188" s="398"/>
      <c r="U188" s="398">
        <f>[1]RONET_Input!AA159</f>
        <v>8</v>
      </c>
      <c r="V188" s="398">
        <f>[1]RONET_Input!AC159</f>
        <v>1</v>
      </c>
      <c r="W188" s="398">
        <f>[1]RONET_Input!AD159</f>
        <v>1</v>
      </c>
      <c r="X188" s="398">
        <f>[1]RONET_Input!AE159</f>
        <v>4</v>
      </c>
      <c r="Y188" s="398">
        <f>[1]RONET_Input!AB159</f>
        <v>1</v>
      </c>
      <c r="Z188" s="438">
        <f>[1]RONET_Input!Z159</f>
        <v>1</v>
      </c>
      <c r="AA188" s="442"/>
      <c r="AB188" s="398"/>
      <c r="AC188" s="438"/>
      <c r="AD188" s="442">
        <f>[1]RONET_Input!AH159</f>
        <v>3</v>
      </c>
      <c r="AE188" s="398">
        <f>[1]RONET_Input!D159</f>
        <v>0</v>
      </c>
      <c r="AF188" s="398"/>
      <c r="AG188" s="398"/>
      <c r="AH188" s="398"/>
      <c r="AI188" s="438"/>
      <c r="AJ188" s="442">
        <v>1</v>
      </c>
      <c r="AK188" s="442">
        <f>[1]RONET_Input!AF159</f>
        <v>4</v>
      </c>
      <c r="AL188" s="507"/>
      <c r="AM188" s="507"/>
      <c r="AN188" s="507"/>
      <c r="AO188" s="507"/>
      <c r="AP188" s="507"/>
      <c r="AQ188" s="507"/>
      <c r="AR188" s="507"/>
      <c r="AS188" s="507"/>
      <c r="AT188" s="507"/>
      <c r="AU188" s="507"/>
      <c r="AV188" s="507"/>
      <c r="AW188" s="507"/>
      <c r="AX188" s="508"/>
      <c r="AY188" s="509">
        <f>[1]RONET_Input!AG159</f>
        <v>3</v>
      </c>
      <c r="AZ188" s="359" t="s">
        <v>321</v>
      </c>
      <c r="BA188" s="360" t="s">
        <v>502</v>
      </c>
      <c r="BB188" s="360" t="s">
        <v>443</v>
      </c>
      <c r="BC188" s="510">
        <v>2.9956637632871951E-3</v>
      </c>
      <c r="BD188" s="510">
        <v>5.0049999999999997E-2</v>
      </c>
      <c r="BE188" s="438">
        <v>6</v>
      </c>
      <c r="BF188" s="511">
        <v>2.3674645006088495E-2</v>
      </c>
      <c r="BG188" s="512">
        <v>0.39554371791529092</v>
      </c>
      <c r="BH188" s="512">
        <v>7.9029713869188996</v>
      </c>
      <c r="BI188" s="513">
        <v>0</v>
      </c>
      <c r="BJ188" s="514">
        <v>375</v>
      </c>
      <c r="BK188" s="515">
        <v>0.22366666666666665</v>
      </c>
      <c r="BL188" s="512">
        <v>8.1924371148838129E-3</v>
      </c>
      <c r="BM188" s="516">
        <v>3.2054071874999999E-2</v>
      </c>
      <c r="BN188" s="517">
        <v>375</v>
      </c>
      <c r="BO188" s="518">
        <v>397.50000000000011</v>
      </c>
      <c r="BP188" s="518">
        <v>421.34999999999991</v>
      </c>
      <c r="BQ188" s="518">
        <v>446.63099999999997</v>
      </c>
      <c r="BR188" s="518">
        <v>473.42885999999999</v>
      </c>
      <c r="BS188" s="518">
        <v>501.83459160000012</v>
      </c>
      <c r="BT188" s="518">
        <v>531.9446670960001</v>
      </c>
      <c r="BU188" s="518">
        <v>563.86134712175999</v>
      </c>
      <c r="BV188" s="518">
        <v>597.69302794906582</v>
      </c>
      <c r="BW188" s="518">
        <v>633.55460962600955</v>
      </c>
      <c r="BX188" s="518">
        <v>671.56788620357008</v>
      </c>
      <c r="BY188" s="518">
        <v>711.86195937578441</v>
      </c>
      <c r="BZ188" s="518">
        <v>754.57367693833146</v>
      </c>
      <c r="CA188" s="518">
        <v>799.84809755463141</v>
      </c>
      <c r="CB188" s="518">
        <v>847.83898340790915</v>
      </c>
      <c r="CC188" s="518">
        <v>898.70932241238381</v>
      </c>
      <c r="CD188" s="518">
        <v>952.63188175712685</v>
      </c>
      <c r="CE188" s="518">
        <v>1009.7897946625544</v>
      </c>
      <c r="CF188" s="518">
        <v>1070.3771823423076</v>
      </c>
      <c r="CG188" s="519">
        <v>1134.5998132828461</v>
      </c>
      <c r="CH188" s="520">
        <v>4.5</v>
      </c>
      <c r="CI188" s="521">
        <v>4.59</v>
      </c>
      <c r="CJ188" s="521">
        <v>4.6818</v>
      </c>
      <c r="CK188" s="521">
        <v>4.775436</v>
      </c>
      <c r="CL188" s="521">
        <v>4.8709447199999998</v>
      </c>
      <c r="CM188" s="521">
        <v>2.5</v>
      </c>
      <c r="CN188" s="521">
        <v>2.5499999999999998</v>
      </c>
      <c r="CO188" s="521">
        <v>2.601</v>
      </c>
      <c r="CP188" s="521">
        <v>2.6530200000000002</v>
      </c>
      <c r="CQ188" s="521">
        <v>2.7060804000000003</v>
      </c>
      <c r="CR188" s="521">
        <v>2.7602020080000003</v>
      </c>
      <c r="CS188" s="521">
        <v>2.8154060481600003</v>
      </c>
      <c r="CT188" s="521">
        <v>2.8717141691232002</v>
      </c>
      <c r="CU188" s="521">
        <v>2.5</v>
      </c>
      <c r="CV188" s="521">
        <v>2.5499999999999998</v>
      </c>
      <c r="CW188" s="521">
        <v>2.601</v>
      </c>
      <c r="CX188" s="521">
        <v>2.6530200000000002</v>
      </c>
      <c r="CY188" s="521">
        <v>2.7060804000000003</v>
      </c>
      <c r="CZ188" s="521">
        <v>2.7602020080000003</v>
      </c>
      <c r="DA188" s="522">
        <v>2.8154060481600003</v>
      </c>
      <c r="DB188" s="523">
        <v>0</v>
      </c>
      <c r="DC188" s="524">
        <v>0</v>
      </c>
      <c r="DD188" s="524">
        <v>0</v>
      </c>
      <c r="DE188" s="524">
        <v>0</v>
      </c>
      <c r="DF188" s="524">
        <v>0</v>
      </c>
      <c r="DG188" s="524">
        <v>-2.5298398430339064E-3</v>
      </c>
      <c r="DH188" s="524">
        <v>2.1734083729241759E-4</v>
      </c>
      <c r="DI188" s="524">
        <v>2.4069714278652111E-4</v>
      </c>
      <c r="DJ188" s="524">
        <v>2.6651499083730091E-4</v>
      </c>
      <c r="DK188" s="524">
        <v>4.0849946806994379E-2</v>
      </c>
      <c r="DL188" s="524">
        <v>1.4319471388578829E-5</v>
      </c>
      <c r="DM188" s="524">
        <v>1.1887613038314912E-5</v>
      </c>
      <c r="DN188" s="524">
        <v>8.9744786862773832E-6</v>
      </c>
      <c r="DO188" s="524">
        <v>-2.6847087222711691E-3</v>
      </c>
      <c r="DP188" s="524">
        <v>4.129129520092506E-5</v>
      </c>
      <c r="DQ188" s="524">
        <v>4.0981532744186269E-5</v>
      </c>
      <c r="DR188" s="524">
        <v>4.0375583498102746E-5</v>
      </c>
      <c r="DS188" s="524">
        <v>5.5164993551064037E-3</v>
      </c>
      <c r="DT188" s="524">
        <v>6.6204367991097926E-5</v>
      </c>
      <c r="DU188" s="525">
        <v>6.7936790771369604E-5</v>
      </c>
      <c r="DV188" s="526">
        <v>3.5</v>
      </c>
      <c r="DW188" s="507">
        <v>1</v>
      </c>
      <c r="DX188" s="509">
        <v>4.5</v>
      </c>
      <c r="DY188" s="507">
        <v>2</v>
      </c>
      <c r="DZ188" s="507">
        <v>10</v>
      </c>
      <c r="EA188" s="507">
        <v>0</v>
      </c>
      <c r="EB188" s="507">
        <v>0</v>
      </c>
      <c r="EC188" s="507">
        <v>111.62500000000001</v>
      </c>
      <c r="ED188" s="507">
        <v>102.18750000000001</v>
      </c>
      <c r="EE188" s="507">
        <v>0</v>
      </c>
      <c r="EF188" s="507">
        <v>25.062499999999996</v>
      </c>
      <c r="EG188" s="507">
        <v>29.3125</v>
      </c>
      <c r="EH188" s="507">
        <v>12.8125</v>
      </c>
      <c r="EI188" s="507">
        <v>16.6875</v>
      </c>
      <c r="EJ188" s="507">
        <v>56.4375</v>
      </c>
      <c r="EK188" s="507">
        <v>10.4375</v>
      </c>
      <c r="EL188" s="507">
        <v>10.4375</v>
      </c>
      <c r="EM188" s="508">
        <v>375</v>
      </c>
    </row>
    <row r="189" spans="2:143" x14ac:dyDescent="0.25">
      <c r="B189" s="506" t="str">
        <f>[1]RONET_Input!J160</f>
        <v xml:space="preserve">Input VPROMMS: 212TH00024 (50.0 pct); 212th00024 (50.0 pct); </v>
      </c>
      <c r="C189" s="359">
        <f>[1]RONET_Input!B160</f>
        <v>158</v>
      </c>
      <c r="D189" s="397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442">
        <f>[1]RONET_Input!K160</f>
        <v>0.63469588562500001</v>
      </c>
      <c r="Q189" s="398">
        <f>[1]RONET_Input!Y160</f>
        <v>2</v>
      </c>
      <c r="R189" s="398">
        <f>[1]RONET_Input!X160</f>
        <v>3.5</v>
      </c>
      <c r="S189" s="398"/>
      <c r="T189" s="398"/>
      <c r="U189" s="398">
        <f>[1]RONET_Input!AA160</f>
        <v>8</v>
      </c>
      <c r="V189" s="398">
        <f>[1]RONET_Input!AC160</f>
        <v>1</v>
      </c>
      <c r="W189" s="398">
        <f>[1]RONET_Input!AD160</f>
        <v>1</v>
      </c>
      <c r="X189" s="398">
        <f>[1]RONET_Input!AE160</f>
        <v>4</v>
      </c>
      <c r="Y189" s="398">
        <f>[1]RONET_Input!AB160</f>
        <v>1</v>
      </c>
      <c r="Z189" s="438">
        <f>[1]RONET_Input!Z160</f>
        <v>1</v>
      </c>
      <c r="AA189" s="442"/>
      <c r="AB189" s="398"/>
      <c r="AC189" s="438"/>
      <c r="AD189" s="442">
        <f>[1]RONET_Input!AH160</f>
        <v>4</v>
      </c>
      <c r="AE189" s="398">
        <f>[1]RONET_Input!D160</f>
        <v>8.0150000000000006</v>
      </c>
      <c r="AF189" s="398"/>
      <c r="AG189" s="398"/>
      <c r="AH189" s="398"/>
      <c r="AI189" s="438"/>
      <c r="AJ189" s="442">
        <v>1</v>
      </c>
      <c r="AK189" s="442">
        <f>[1]RONET_Input!AF160</f>
        <v>4</v>
      </c>
      <c r="AL189" s="507"/>
      <c r="AM189" s="507"/>
      <c r="AN189" s="507"/>
      <c r="AO189" s="507"/>
      <c r="AP189" s="507"/>
      <c r="AQ189" s="507"/>
      <c r="AR189" s="507"/>
      <c r="AS189" s="507"/>
      <c r="AT189" s="507"/>
      <c r="AU189" s="507"/>
      <c r="AV189" s="507"/>
      <c r="AW189" s="507"/>
      <c r="AX189" s="508"/>
      <c r="AY189" s="509">
        <f>[1]RONET_Input!AG160</f>
        <v>3</v>
      </c>
      <c r="AZ189" s="359" t="s">
        <v>321</v>
      </c>
      <c r="BA189" s="360" t="s">
        <v>502</v>
      </c>
      <c r="BB189" s="360" t="s">
        <v>443</v>
      </c>
      <c r="BC189" s="510">
        <v>3.176652907553125E-2</v>
      </c>
      <c r="BD189" s="510">
        <v>5.0049999999999997E-2</v>
      </c>
      <c r="BE189" s="438">
        <v>5</v>
      </c>
      <c r="BF189" s="511">
        <v>0.27556689026481573</v>
      </c>
      <c r="BG189" s="512">
        <v>0.43417154026996491</v>
      </c>
      <c r="BH189" s="512">
        <v>8.6747560493499485</v>
      </c>
      <c r="BI189" s="513">
        <v>0</v>
      </c>
      <c r="BJ189" s="514">
        <v>375</v>
      </c>
      <c r="BK189" s="515">
        <v>0.22366666666666665</v>
      </c>
      <c r="BL189" s="512">
        <v>8.687399934492189E-2</v>
      </c>
      <c r="BM189" s="516">
        <v>3.2054071874999999E-2</v>
      </c>
      <c r="BN189" s="517">
        <v>375</v>
      </c>
      <c r="BO189" s="518">
        <v>397.50000000000011</v>
      </c>
      <c r="BP189" s="518">
        <v>421.34999999999991</v>
      </c>
      <c r="BQ189" s="518">
        <v>446.63099999999997</v>
      </c>
      <c r="BR189" s="518">
        <v>473.42885999999999</v>
      </c>
      <c r="BS189" s="518">
        <v>501.83459160000012</v>
      </c>
      <c r="BT189" s="518">
        <v>531.9446670960001</v>
      </c>
      <c r="BU189" s="518">
        <v>563.86134712175999</v>
      </c>
      <c r="BV189" s="518">
        <v>597.69302794906582</v>
      </c>
      <c r="BW189" s="518">
        <v>633.55460962600955</v>
      </c>
      <c r="BX189" s="518">
        <v>671.56788620357008</v>
      </c>
      <c r="BY189" s="518">
        <v>711.86195937578441</v>
      </c>
      <c r="BZ189" s="518">
        <v>754.57367693833146</v>
      </c>
      <c r="CA189" s="518">
        <v>799.84809755463141</v>
      </c>
      <c r="CB189" s="518">
        <v>847.83898340790915</v>
      </c>
      <c r="CC189" s="518">
        <v>898.70932241238381</v>
      </c>
      <c r="CD189" s="518">
        <v>952.63188175712685</v>
      </c>
      <c r="CE189" s="518">
        <v>1009.7897946625544</v>
      </c>
      <c r="CF189" s="518">
        <v>1070.3771823423076</v>
      </c>
      <c r="CG189" s="519">
        <v>1134.5998132828461</v>
      </c>
      <c r="CH189" s="520">
        <v>8.0150000000000006</v>
      </c>
      <c r="CI189" s="521">
        <v>8.1753</v>
      </c>
      <c r="CJ189" s="521">
        <v>8.3388059999999999</v>
      </c>
      <c r="CK189" s="521">
        <v>8.5055821199999997</v>
      </c>
      <c r="CL189" s="521">
        <v>2.5</v>
      </c>
      <c r="CM189" s="521">
        <v>2.5499999999999998</v>
      </c>
      <c r="CN189" s="521">
        <v>2.601</v>
      </c>
      <c r="CO189" s="521">
        <v>2.6530200000000002</v>
      </c>
      <c r="CP189" s="521">
        <v>2.7060804000000003</v>
      </c>
      <c r="CQ189" s="521">
        <v>2.7602020080000003</v>
      </c>
      <c r="CR189" s="521">
        <v>2.8154060481600003</v>
      </c>
      <c r="CS189" s="521">
        <v>2.8717141691232002</v>
      </c>
      <c r="CT189" s="521">
        <v>2.5</v>
      </c>
      <c r="CU189" s="521">
        <v>2.5499999999999998</v>
      </c>
      <c r="CV189" s="521">
        <v>2.601</v>
      </c>
      <c r="CW189" s="521">
        <v>2.6530200000000002</v>
      </c>
      <c r="CX189" s="521">
        <v>2.7060804000000003</v>
      </c>
      <c r="CY189" s="521">
        <v>2.7602020080000003</v>
      </c>
      <c r="CZ189" s="521">
        <v>2.8154060481600003</v>
      </c>
      <c r="DA189" s="522">
        <v>2.8717141691232002</v>
      </c>
      <c r="DB189" s="523">
        <v>0</v>
      </c>
      <c r="DC189" s="524">
        <v>0</v>
      </c>
      <c r="DD189" s="524">
        <v>0</v>
      </c>
      <c r="DE189" s="524">
        <v>0</v>
      </c>
      <c r="DF189" s="524">
        <v>-2.1165284864869113E-2</v>
      </c>
      <c r="DG189" s="524">
        <v>8.552107590600537E-3</v>
      </c>
      <c r="DH189" s="524">
        <v>9.4458007507930708E-3</v>
      </c>
      <c r="DI189" s="524">
        <v>1.0431961902161398E-2</v>
      </c>
      <c r="DJ189" s="524">
        <v>1.152010118165199E-2</v>
      </c>
      <c r="DK189" s="524">
        <v>0.43314146470949505</v>
      </c>
      <c r="DL189" s="524">
        <v>1.0921972893504495E-4</v>
      </c>
      <c r="DM189" s="524">
        <v>7.8672603174206879E-5</v>
      </c>
      <c r="DN189" s="524">
        <v>-2.8506613440212145E-2</v>
      </c>
      <c r="DO189" s="524">
        <v>3.9861123799912745E-4</v>
      </c>
      <c r="DP189" s="524">
        <v>3.9351684532439035E-4</v>
      </c>
      <c r="DQ189" s="524">
        <v>3.8521510939054648E-4</v>
      </c>
      <c r="DR189" s="524">
        <v>3.7322437784792495E-4</v>
      </c>
      <c r="DS189" s="524">
        <v>5.8436802325312773E-2</v>
      </c>
      <c r="DT189" s="524">
        <v>6.3410241761041597E-4</v>
      </c>
      <c r="DU189" s="525">
        <v>6.4488774619321509E-4</v>
      </c>
      <c r="DV189" s="526">
        <v>3.5</v>
      </c>
      <c r="DW189" s="507">
        <v>1</v>
      </c>
      <c r="DX189" s="509">
        <v>8.0150000000000006</v>
      </c>
      <c r="DY189" s="507">
        <v>2</v>
      </c>
      <c r="DZ189" s="507">
        <v>15</v>
      </c>
      <c r="EA189" s="507">
        <v>0</v>
      </c>
      <c r="EB189" s="507">
        <v>0</v>
      </c>
      <c r="EC189" s="507">
        <v>111.62500000000001</v>
      </c>
      <c r="ED189" s="507">
        <v>102.18750000000001</v>
      </c>
      <c r="EE189" s="507">
        <v>0</v>
      </c>
      <c r="EF189" s="507">
        <v>25.062499999999996</v>
      </c>
      <c r="EG189" s="507">
        <v>29.3125</v>
      </c>
      <c r="EH189" s="507">
        <v>12.8125</v>
      </c>
      <c r="EI189" s="507">
        <v>16.6875</v>
      </c>
      <c r="EJ189" s="507">
        <v>56.4375</v>
      </c>
      <c r="EK189" s="507">
        <v>10.4375</v>
      </c>
      <c r="EL189" s="507">
        <v>10.4375</v>
      </c>
      <c r="EM189" s="508">
        <v>375</v>
      </c>
    </row>
    <row r="190" spans="2:143" x14ac:dyDescent="0.25">
      <c r="B190" s="506" t="str">
        <f>[1]RONET_Input!J161</f>
        <v>214tt00030</v>
      </c>
      <c r="C190" s="359">
        <f>[1]RONET_Input!B161</f>
        <v>159</v>
      </c>
      <c r="D190" s="397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442">
        <f>[1]RONET_Input!K161</f>
        <v>2.4275677736899999</v>
      </c>
      <c r="Q190" s="398">
        <f>[1]RONET_Input!Y161</f>
        <v>1</v>
      </c>
      <c r="R190" s="398">
        <f>[1]RONET_Input!X161</f>
        <v>3.4</v>
      </c>
      <c r="S190" s="398"/>
      <c r="T190" s="398"/>
      <c r="U190" s="398">
        <f>[1]RONET_Input!AA161</f>
        <v>8</v>
      </c>
      <c r="V190" s="398">
        <f>[1]RONET_Input!AC161</f>
        <v>1</v>
      </c>
      <c r="W190" s="398">
        <f>[1]RONET_Input!AD161</f>
        <v>1</v>
      </c>
      <c r="X190" s="398">
        <f>[1]RONET_Input!AE161</f>
        <v>4</v>
      </c>
      <c r="Y190" s="398">
        <f>[1]RONET_Input!AB161</f>
        <v>1</v>
      </c>
      <c r="Z190" s="438">
        <f>[1]RONET_Input!Z161</f>
        <v>1</v>
      </c>
      <c r="AA190" s="442"/>
      <c r="AB190" s="398"/>
      <c r="AC190" s="438"/>
      <c r="AD190" s="442">
        <f>[1]RONET_Input!AH161</f>
        <v>4</v>
      </c>
      <c r="AE190" s="398">
        <f>[1]RONET_Input!D161</f>
        <v>9.48</v>
      </c>
      <c r="AF190" s="398"/>
      <c r="AG190" s="398"/>
      <c r="AH190" s="398"/>
      <c r="AI190" s="438"/>
      <c r="AJ190" s="442">
        <v>1</v>
      </c>
      <c r="AK190" s="442">
        <f>[1]RONET_Input!AF161</f>
        <v>4</v>
      </c>
      <c r="AL190" s="507"/>
      <c r="AM190" s="507"/>
      <c r="AN190" s="507"/>
      <c r="AO190" s="507"/>
      <c r="AP190" s="507"/>
      <c r="AQ190" s="507"/>
      <c r="AR190" s="507"/>
      <c r="AS190" s="507"/>
      <c r="AT190" s="507"/>
      <c r="AU190" s="507"/>
      <c r="AV190" s="507"/>
      <c r="AW190" s="507"/>
      <c r="AX190" s="508"/>
      <c r="AY190" s="509">
        <f>[1]RONET_Input!AG161</f>
        <v>3</v>
      </c>
      <c r="AZ190" s="359" t="s">
        <v>321</v>
      </c>
      <c r="BA190" s="360" t="s">
        <v>502</v>
      </c>
      <c r="BB190" s="360" t="s">
        <v>443</v>
      </c>
      <c r="BC190" s="510">
        <v>0.11802834515680778</v>
      </c>
      <c r="BD190" s="510">
        <v>4.8619999999999997E-2</v>
      </c>
      <c r="BE190" s="438">
        <v>5</v>
      </c>
      <c r="BF190" s="511">
        <v>1.1603035444810974</v>
      </c>
      <c r="BG190" s="512">
        <v>0.47796957805111645</v>
      </c>
      <c r="BH190" s="512">
        <v>9.8307194169295862</v>
      </c>
      <c r="BI190" s="513">
        <v>0</v>
      </c>
      <c r="BJ190" s="514">
        <v>375</v>
      </c>
      <c r="BK190" s="515">
        <v>0.22366666666666665</v>
      </c>
      <c r="BL190" s="512">
        <v>0.33227333902381878</v>
      </c>
      <c r="BM190" s="516">
        <v>6.4108143749999999E-2</v>
      </c>
      <c r="BN190" s="517">
        <v>375</v>
      </c>
      <c r="BO190" s="518">
        <v>397.50000000000011</v>
      </c>
      <c r="BP190" s="518">
        <v>421.34999999999991</v>
      </c>
      <c r="BQ190" s="518">
        <v>446.63099999999997</v>
      </c>
      <c r="BR190" s="518">
        <v>473.42885999999999</v>
      </c>
      <c r="BS190" s="518">
        <v>501.83459160000012</v>
      </c>
      <c r="BT190" s="518">
        <v>531.9446670960001</v>
      </c>
      <c r="BU190" s="518">
        <v>563.86134712175999</v>
      </c>
      <c r="BV190" s="518">
        <v>597.69302794906582</v>
      </c>
      <c r="BW190" s="518">
        <v>633.55460962600955</v>
      </c>
      <c r="BX190" s="518">
        <v>671.56788620357008</v>
      </c>
      <c r="BY190" s="518">
        <v>711.86195937578441</v>
      </c>
      <c r="BZ190" s="518">
        <v>754.57367693833146</v>
      </c>
      <c r="CA190" s="518">
        <v>799.84809755463141</v>
      </c>
      <c r="CB190" s="518">
        <v>847.83898340790915</v>
      </c>
      <c r="CC190" s="518">
        <v>898.70932241238381</v>
      </c>
      <c r="CD190" s="518">
        <v>952.63188175712685</v>
      </c>
      <c r="CE190" s="518">
        <v>1009.7897946625544</v>
      </c>
      <c r="CF190" s="518">
        <v>1070.3771823423076</v>
      </c>
      <c r="CG190" s="519">
        <v>1134.5998132828461</v>
      </c>
      <c r="CH190" s="520">
        <v>9.48</v>
      </c>
      <c r="CI190" s="521">
        <v>9.6696000000000009</v>
      </c>
      <c r="CJ190" s="521">
        <v>9.8629920000000002</v>
      </c>
      <c r="CK190" s="521">
        <v>10.060251839999999</v>
      </c>
      <c r="CL190" s="521">
        <v>2.5</v>
      </c>
      <c r="CM190" s="521">
        <v>2.5499999999999998</v>
      </c>
      <c r="CN190" s="521">
        <v>2.601</v>
      </c>
      <c r="CO190" s="521">
        <v>2.6530200000000002</v>
      </c>
      <c r="CP190" s="521">
        <v>2.7060804000000003</v>
      </c>
      <c r="CQ190" s="521">
        <v>2.7602020080000003</v>
      </c>
      <c r="CR190" s="521">
        <v>2.8154060481600003</v>
      </c>
      <c r="CS190" s="521">
        <v>2.8717141691232002</v>
      </c>
      <c r="CT190" s="521">
        <v>2.5</v>
      </c>
      <c r="CU190" s="521">
        <v>2.5499999999999998</v>
      </c>
      <c r="CV190" s="521">
        <v>2.601</v>
      </c>
      <c r="CW190" s="521">
        <v>2.6530200000000002</v>
      </c>
      <c r="CX190" s="521">
        <v>2.7060804000000003</v>
      </c>
      <c r="CY190" s="521">
        <v>2.7602020080000003</v>
      </c>
      <c r="CZ190" s="521">
        <v>2.8154060481600003</v>
      </c>
      <c r="DA190" s="522">
        <v>2.8717141691232002</v>
      </c>
      <c r="DB190" s="523">
        <v>0</v>
      </c>
      <c r="DC190" s="524">
        <v>0</v>
      </c>
      <c r="DD190" s="524">
        <v>0</v>
      </c>
      <c r="DE190" s="524">
        <v>0</v>
      </c>
      <c r="DF190" s="524">
        <v>-6.2442109304184062E-2</v>
      </c>
      <c r="DG190" s="524">
        <v>4.9530144277682875E-2</v>
      </c>
      <c r="DH190" s="524">
        <v>5.4558360716463278E-2</v>
      </c>
      <c r="DI190" s="524">
        <v>6.0094839215826479E-2</v>
      </c>
      <c r="DJ190" s="524">
        <v>6.6190714615086688E-2</v>
      </c>
      <c r="DK190" s="524">
        <v>1.6634179257923558</v>
      </c>
      <c r="DL190" s="524">
        <v>7.2718206419921105E-3</v>
      </c>
      <c r="DM190" s="524">
        <v>7.2624666308497288E-3</v>
      </c>
      <c r="DN190" s="524">
        <v>-9.8484367827222308E-2</v>
      </c>
      <c r="DO190" s="524">
        <v>9.0512638974282189E-3</v>
      </c>
      <c r="DP190" s="524">
        <v>9.1757405541603165E-3</v>
      </c>
      <c r="DQ190" s="524">
        <v>9.2932984560838428E-3</v>
      </c>
      <c r="DR190" s="524">
        <v>9.4021699368722067E-3</v>
      </c>
      <c r="DS190" s="524">
        <v>0.231642401072642</v>
      </c>
      <c r="DT190" s="524">
        <v>1.0725936299112615E-2</v>
      </c>
      <c r="DU190" s="525">
        <v>1.0938497417861293E-2</v>
      </c>
      <c r="DV190" s="526">
        <v>3.4</v>
      </c>
      <c r="DW190" s="507">
        <v>1</v>
      </c>
      <c r="DX190" s="509">
        <v>9.48</v>
      </c>
      <c r="DY190" s="507">
        <v>2</v>
      </c>
      <c r="DZ190" s="507">
        <v>15</v>
      </c>
      <c r="EA190" s="507">
        <v>0</v>
      </c>
      <c r="EB190" s="507">
        <v>0</v>
      </c>
      <c r="EC190" s="507">
        <v>111.62500000000001</v>
      </c>
      <c r="ED190" s="507">
        <v>102.18750000000001</v>
      </c>
      <c r="EE190" s="507">
        <v>0</v>
      </c>
      <c r="EF190" s="507">
        <v>25.062499999999996</v>
      </c>
      <c r="EG190" s="507">
        <v>29.3125</v>
      </c>
      <c r="EH190" s="507">
        <v>12.8125</v>
      </c>
      <c r="EI190" s="507">
        <v>16.6875</v>
      </c>
      <c r="EJ190" s="507">
        <v>56.4375</v>
      </c>
      <c r="EK190" s="507">
        <v>10.4375</v>
      </c>
      <c r="EL190" s="507">
        <v>10.4375</v>
      </c>
      <c r="EM190" s="508">
        <v>375</v>
      </c>
    </row>
    <row r="191" spans="2:143" x14ac:dyDescent="0.25">
      <c r="B191" s="506" t="str">
        <f>[1]RONET_Input!J162</f>
        <v>212TH00036</v>
      </c>
      <c r="C191" s="359">
        <f>[1]RONET_Input!B162</f>
        <v>160</v>
      </c>
      <c r="D191" s="397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442">
        <f>[1]RONET_Input!K162</f>
        <v>2.1731241696699999</v>
      </c>
      <c r="Q191" s="398">
        <f>[1]RONET_Input!Y162</f>
        <v>3</v>
      </c>
      <c r="R191" s="398">
        <f>[1]RONET_Input!X162</f>
        <v>4.3</v>
      </c>
      <c r="S191" s="398"/>
      <c r="T191" s="398"/>
      <c r="U191" s="398">
        <f>[1]RONET_Input!AA162</f>
        <v>8</v>
      </c>
      <c r="V191" s="398">
        <f>[1]RONET_Input!AC162</f>
        <v>1</v>
      </c>
      <c r="W191" s="398">
        <f>[1]RONET_Input!AD162</f>
        <v>1</v>
      </c>
      <c r="X191" s="398">
        <f>[1]RONET_Input!AE162</f>
        <v>4</v>
      </c>
      <c r="Y191" s="398">
        <f>[1]RONET_Input!AB162</f>
        <v>1</v>
      </c>
      <c r="Z191" s="438">
        <f>[1]RONET_Input!Z162</f>
        <v>3</v>
      </c>
      <c r="AA191" s="442"/>
      <c r="AB191" s="398"/>
      <c r="AC191" s="438"/>
      <c r="AD191" s="442">
        <f>[1]RONET_Input!AH162</f>
        <v>4</v>
      </c>
      <c r="AE191" s="398">
        <f>[1]RONET_Input!D162</f>
        <v>9.2449999999999992</v>
      </c>
      <c r="AF191" s="398"/>
      <c r="AG191" s="398"/>
      <c r="AH191" s="398"/>
      <c r="AI191" s="438"/>
      <c r="AJ191" s="442">
        <v>1</v>
      </c>
      <c r="AK191" s="442">
        <f>[1]RONET_Input!AF162</f>
        <v>8</v>
      </c>
      <c r="AL191" s="507"/>
      <c r="AM191" s="507"/>
      <c r="AN191" s="507"/>
      <c r="AO191" s="507"/>
      <c r="AP191" s="507"/>
      <c r="AQ191" s="507"/>
      <c r="AR191" s="507"/>
      <c r="AS191" s="507"/>
      <c r="AT191" s="507"/>
      <c r="AU191" s="507"/>
      <c r="AV191" s="507"/>
      <c r="AW191" s="507"/>
      <c r="AX191" s="508"/>
      <c r="AY191" s="509">
        <f>[1]RONET_Input!AG162</f>
        <v>3</v>
      </c>
      <c r="AZ191" s="359" t="s">
        <v>321</v>
      </c>
      <c r="BA191" s="360" t="s">
        <v>506</v>
      </c>
      <c r="BB191" s="360" t="s">
        <v>447</v>
      </c>
      <c r="BC191" s="510">
        <v>0.13362540519300831</v>
      </c>
      <c r="BD191" s="510">
        <v>6.1490000000000003E-2</v>
      </c>
      <c r="BE191" s="438">
        <v>1</v>
      </c>
      <c r="BF191" s="511">
        <v>4.2817393003116395</v>
      </c>
      <c r="BG191" s="512">
        <v>1.9703150699215883</v>
      </c>
      <c r="BH191" s="512">
        <v>32.042853633462158</v>
      </c>
      <c r="BI191" s="513">
        <v>0</v>
      </c>
      <c r="BJ191" s="514">
        <v>6000</v>
      </c>
      <c r="BK191" s="515">
        <v>0.22366666666666665</v>
      </c>
      <c r="BL191" s="512">
        <v>4.7591419315773003</v>
      </c>
      <c r="BM191" s="516">
        <v>0.51286514999999999</v>
      </c>
      <c r="BN191" s="517">
        <v>6000</v>
      </c>
      <c r="BO191" s="518">
        <v>6360.0000000000018</v>
      </c>
      <c r="BP191" s="518">
        <v>6741.5999999999985</v>
      </c>
      <c r="BQ191" s="518">
        <v>7146.0959999999995</v>
      </c>
      <c r="BR191" s="518">
        <v>7574.8617599999998</v>
      </c>
      <c r="BS191" s="518">
        <v>8029.353465600002</v>
      </c>
      <c r="BT191" s="518">
        <v>8511.1146735360016</v>
      </c>
      <c r="BU191" s="518">
        <v>9021.7815539481599</v>
      </c>
      <c r="BV191" s="518">
        <v>9563.0884471850532</v>
      </c>
      <c r="BW191" s="518">
        <v>10136.873754016153</v>
      </c>
      <c r="BX191" s="518">
        <v>10745.086179257121</v>
      </c>
      <c r="BY191" s="518">
        <v>11389.791350012551</v>
      </c>
      <c r="BZ191" s="518">
        <v>12073.178831013303</v>
      </c>
      <c r="CA191" s="518">
        <v>12797.569560874103</v>
      </c>
      <c r="CB191" s="518">
        <v>13565.423734526546</v>
      </c>
      <c r="CC191" s="518">
        <v>14379.349158598141</v>
      </c>
      <c r="CD191" s="518">
        <v>15242.11010811403</v>
      </c>
      <c r="CE191" s="518">
        <v>16156.636714600871</v>
      </c>
      <c r="CF191" s="518">
        <v>17126.034917476922</v>
      </c>
      <c r="CG191" s="519">
        <v>18153.597012525537</v>
      </c>
      <c r="CH191" s="520">
        <v>2</v>
      </c>
      <c r="CI191" s="521">
        <v>2.0499999999999998</v>
      </c>
      <c r="CJ191" s="521">
        <v>2.1012499999999998</v>
      </c>
      <c r="CK191" s="521">
        <v>2.1537812499999998</v>
      </c>
      <c r="CL191" s="521">
        <v>2.20762578125</v>
      </c>
      <c r="CM191" s="521">
        <v>2.2628164257812502</v>
      </c>
      <c r="CN191" s="521">
        <v>2.3193868364257813</v>
      </c>
      <c r="CO191" s="521">
        <v>2.3773715073364259</v>
      </c>
      <c r="CP191" s="521">
        <v>2.5</v>
      </c>
      <c r="CQ191" s="521">
        <v>2.5625</v>
      </c>
      <c r="CR191" s="521">
        <v>2.6265624999999999</v>
      </c>
      <c r="CS191" s="521">
        <v>2.6922265624999997</v>
      </c>
      <c r="CT191" s="521">
        <v>2.7595322265624995</v>
      </c>
      <c r="CU191" s="521">
        <v>2.8285205322265621</v>
      </c>
      <c r="CV191" s="521">
        <v>2.8992335455322262</v>
      </c>
      <c r="CW191" s="521">
        <v>2.9717143841705318</v>
      </c>
      <c r="CX191" s="521">
        <v>2.5</v>
      </c>
      <c r="CY191" s="521">
        <v>2.5625</v>
      </c>
      <c r="CZ191" s="521">
        <v>2.6265624999999999</v>
      </c>
      <c r="DA191" s="522">
        <v>2.6922265624999997</v>
      </c>
      <c r="DB191" s="523">
        <v>0.25105339219298139</v>
      </c>
      <c r="DC191" s="524">
        <v>0.41682492515094349</v>
      </c>
      <c r="DD191" s="524">
        <v>0.46613499865560293</v>
      </c>
      <c r="DE191" s="524">
        <v>0.5211732780100804</v>
      </c>
      <c r="DF191" s="524">
        <v>0.58259744970633687</v>
      </c>
      <c r="DG191" s="524">
        <v>0.65113971839117646</v>
      </c>
      <c r="DH191" s="524">
        <v>0.72761486838911482</v>
      </c>
      <c r="DI191" s="524">
        <v>0.81292901025981035</v>
      </c>
      <c r="DJ191" s="524">
        <v>0.82571351677936988</v>
      </c>
      <c r="DK191" s="524">
        <v>0.39699419260094615</v>
      </c>
      <c r="DL191" s="524">
        <v>1.2388937281233581E-3</v>
      </c>
      <c r="DM191" s="524">
        <v>1.4065589874467932E-3</v>
      </c>
      <c r="DN191" s="524">
        <v>1.5953659229781536E-3</v>
      </c>
      <c r="DO191" s="524">
        <v>1.8078683615376789E-3</v>
      </c>
      <c r="DP191" s="524">
        <v>2.0469199046821984E-3</v>
      </c>
      <c r="DQ191" s="524">
        <v>2.3157084162388486E-3</v>
      </c>
      <c r="DR191" s="524">
        <v>-5.1057172630161851E-2</v>
      </c>
      <c r="DS191" s="524">
        <v>0.12871449866684603</v>
      </c>
      <c r="DT191" s="524">
        <v>-3.1760289656226348E-3</v>
      </c>
      <c r="DU191" s="525">
        <v>-3.6087947457508207E-3</v>
      </c>
      <c r="DV191" s="526">
        <v>4.3</v>
      </c>
      <c r="DW191" s="507">
        <v>3</v>
      </c>
      <c r="DX191" s="509">
        <v>9.2449999999999992</v>
      </c>
      <c r="DY191" s="507">
        <v>6</v>
      </c>
      <c r="DZ191" s="507">
        <v>15</v>
      </c>
      <c r="EA191" s="507">
        <v>0</v>
      </c>
      <c r="EB191" s="507">
        <v>0</v>
      </c>
      <c r="EC191" s="507">
        <v>1786.0000000000002</v>
      </c>
      <c r="ED191" s="507">
        <v>1635.0000000000002</v>
      </c>
      <c r="EE191" s="507">
        <v>0</v>
      </c>
      <c r="EF191" s="507">
        <v>400.99999999999994</v>
      </c>
      <c r="EG191" s="507">
        <v>469</v>
      </c>
      <c r="EH191" s="507">
        <v>205</v>
      </c>
      <c r="EI191" s="507">
        <v>267</v>
      </c>
      <c r="EJ191" s="507">
        <v>903</v>
      </c>
      <c r="EK191" s="507">
        <v>167</v>
      </c>
      <c r="EL191" s="507">
        <v>167</v>
      </c>
      <c r="EM191" s="508">
        <v>6000</v>
      </c>
    </row>
    <row r="192" spans="2:143" x14ac:dyDescent="0.25">
      <c r="B192" s="506" t="str">
        <f>[1]RONET_Input!J163</f>
        <v xml:space="preserve">Input VPROMMS: 214tt00097 (42.86 pct); QL45_2 (28.57 pct); ql45_1 (28.57 pct); </v>
      </c>
      <c r="C192" s="359">
        <f>[1]RONET_Input!B163</f>
        <v>161</v>
      </c>
      <c r="D192" s="397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442">
        <f>[1]RONET_Input!K163</f>
        <v>0.113264525363</v>
      </c>
      <c r="Q192" s="398">
        <f>[1]RONET_Input!Y163</f>
        <v>2</v>
      </c>
      <c r="R192" s="398">
        <f>[1]RONET_Input!X163</f>
        <v>3.5</v>
      </c>
      <c r="S192" s="398"/>
      <c r="T192" s="398"/>
      <c r="U192" s="398">
        <f>[1]RONET_Input!AA163</f>
        <v>8</v>
      </c>
      <c r="V192" s="398">
        <f>[1]RONET_Input!AC163</f>
        <v>1</v>
      </c>
      <c r="W192" s="398">
        <f>[1]RONET_Input!AD163</f>
        <v>1</v>
      </c>
      <c r="X192" s="398">
        <f>[1]RONET_Input!AE163</f>
        <v>4</v>
      </c>
      <c r="Y192" s="398">
        <f>[1]RONET_Input!AB163</f>
        <v>1</v>
      </c>
      <c r="Z192" s="438">
        <f>[1]RONET_Input!Z163</f>
        <v>1</v>
      </c>
      <c r="AA192" s="442"/>
      <c r="AB192" s="398"/>
      <c r="AC192" s="438"/>
      <c r="AD192" s="442">
        <f>[1]RONET_Input!AH163</f>
        <v>3</v>
      </c>
      <c r="AE192" s="398">
        <f>[1]RONET_Input!D163</f>
        <v>0</v>
      </c>
      <c r="AF192" s="398"/>
      <c r="AG192" s="398"/>
      <c r="AH192" s="398"/>
      <c r="AI192" s="438"/>
      <c r="AJ192" s="442">
        <v>1</v>
      </c>
      <c r="AK192" s="442">
        <f>[1]RONET_Input!AF163</f>
        <v>4</v>
      </c>
      <c r="AL192" s="507"/>
      <c r="AM192" s="507"/>
      <c r="AN192" s="507"/>
      <c r="AO192" s="507"/>
      <c r="AP192" s="507"/>
      <c r="AQ192" s="507"/>
      <c r="AR192" s="507"/>
      <c r="AS192" s="507"/>
      <c r="AT192" s="507"/>
      <c r="AU192" s="507"/>
      <c r="AV192" s="507"/>
      <c r="AW192" s="507"/>
      <c r="AX192" s="508"/>
      <c r="AY192" s="509">
        <f>[1]RONET_Input!AG163</f>
        <v>3</v>
      </c>
      <c r="AZ192" s="359" t="s">
        <v>321</v>
      </c>
      <c r="BA192" s="360" t="s">
        <v>502</v>
      </c>
      <c r="BB192" s="360" t="s">
        <v>443</v>
      </c>
      <c r="BC192" s="510">
        <v>5.6688894944181504E-3</v>
      </c>
      <c r="BD192" s="510">
        <v>5.0050000000000004E-2</v>
      </c>
      <c r="BE192" s="438">
        <v>6</v>
      </c>
      <c r="BF192" s="511">
        <v>4.4801071469991766E-2</v>
      </c>
      <c r="BG192" s="512">
        <v>0.39554371791529075</v>
      </c>
      <c r="BH192" s="512">
        <v>7.9029713869188951</v>
      </c>
      <c r="BI192" s="513">
        <v>0</v>
      </c>
      <c r="BJ192" s="514">
        <v>375</v>
      </c>
      <c r="BK192" s="515">
        <v>0.22366666666666665</v>
      </c>
      <c r="BL192" s="512">
        <v>1.5503081909060624E-2</v>
      </c>
      <c r="BM192" s="516">
        <v>3.2054071874999999E-2</v>
      </c>
      <c r="BN192" s="517">
        <v>375</v>
      </c>
      <c r="BO192" s="518">
        <v>397.50000000000011</v>
      </c>
      <c r="BP192" s="518">
        <v>421.34999999999991</v>
      </c>
      <c r="BQ192" s="518">
        <v>446.63099999999997</v>
      </c>
      <c r="BR192" s="518">
        <v>473.42885999999999</v>
      </c>
      <c r="BS192" s="518">
        <v>501.83459160000012</v>
      </c>
      <c r="BT192" s="518">
        <v>531.9446670960001</v>
      </c>
      <c r="BU192" s="518">
        <v>563.86134712175999</v>
      </c>
      <c r="BV192" s="518">
        <v>597.69302794906582</v>
      </c>
      <c r="BW192" s="518">
        <v>633.55460962600955</v>
      </c>
      <c r="BX192" s="518">
        <v>671.56788620357008</v>
      </c>
      <c r="BY192" s="518">
        <v>711.86195937578441</v>
      </c>
      <c r="BZ192" s="518">
        <v>754.57367693833146</v>
      </c>
      <c r="CA192" s="518">
        <v>799.84809755463141</v>
      </c>
      <c r="CB192" s="518">
        <v>847.83898340790915</v>
      </c>
      <c r="CC192" s="518">
        <v>898.70932241238381</v>
      </c>
      <c r="CD192" s="518">
        <v>952.63188175712685</v>
      </c>
      <c r="CE192" s="518">
        <v>1009.7897946625544</v>
      </c>
      <c r="CF192" s="518">
        <v>1070.3771823423076</v>
      </c>
      <c r="CG192" s="519">
        <v>1134.5998132828461</v>
      </c>
      <c r="CH192" s="520">
        <v>4.5</v>
      </c>
      <c r="CI192" s="521">
        <v>4.59</v>
      </c>
      <c r="CJ192" s="521">
        <v>4.6818</v>
      </c>
      <c r="CK192" s="521">
        <v>4.775436</v>
      </c>
      <c r="CL192" s="521">
        <v>4.8709447199999998</v>
      </c>
      <c r="CM192" s="521">
        <v>2.5</v>
      </c>
      <c r="CN192" s="521">
        <v>2.5499999999999998</v>
      </c>
      <c r="CO192" s="521">
        <v>2.601</v>
      </c>
      <c r="CP192" s="521">
        <v>2.6530200000000002</v>
      </c>
      <c r="CQ192" s="521">
        <v>2.7060804000000003</v>
      </c>
      <c r="CR192" s="521">
        <v>2.7602020080000003</v>
      </c>
      <c r="CS192" s="521">
        <v>2.8154060481600003</v>
      </c>
      <c r="CT192" s="521">
        <v>2.8717141691232002</v>
      </c>
      <c r="CU192" s="521">
        <v>2.5</v>
      </c>
      <c r="CV192" s="521">
        <v>2.5499999999999998</v>
      </c>
      <c r="CW192" s="521">
        <v>2.601</v>
      </c>
      <c r="CX192" s="521">
        <v>2.6530200000000002</v>
      </c>
      <c r="CY192" s="521">
        <v>2.7060804000000003</v>
      </c>
      <c r="CZ192" s="521">
        <v>2.7602020080000003</v>
      </c>
      <c r="DA192" s="522">
        <v>2.8154060481600003</v>
      </c>
      <c r="DB192" s="523">
        <v>0</v>
      </c>
      <c r="DC192" s="524">
        <v>0</v>
      </c>
      <c r="DD192" s="524">
        <v>0</v>
      </c>
      <c r="DE192" s="524">
        <v>0</v>
      </c>
      <c r="DF192" s="524">
        <v>0</v>
      </c>
      <c r="DG192" s="524">
        <v>-4.7873805747138762E-3</v>
      </c>
      <c r="DH192" s="524">
        <v>4.1128821075801965E-4</v>
      </c>
      <c r="DI192" s="524">
        <v>4.5548686765223105E-4</v>
      </c>
      <c r="DJ192" s="524">
        <v>5.0434366172145105E-4</v>
      </c>
      <c r="DK192" s="524">
        <v>7.7303012821305597E-2</v>
      </c>
      <c r="DL192" s="524">
        <v>2.709766760714688E-5</v>
      </c>
      <c r="DM192" s="524">
        <v>2.2495703787751148E-5</v>
      </c>
      <c r="DN192" s="524">
        <v>1.6982990069185078E-5</v>
      </c>
      <c r="DO192" s="524">
        <v>-5.0804490336243124E-3</v>
      </c>
      <c r="DP192" s="524">
        <v>7.8138205109705428E-5</v>
      </c>
      <c r="DQ192" s="524">
        <v>7.7552021453750064E-5</v>
      </c>
      <c r="DR192" s="524">
        <v>7.6405344260743052E-5</v>
      </c>
      <c r="DS192" s="524">
        <v>1.0439230738569741E-2</v>
      </c>
      <c r="DT192" s="524">
        <v>1.2528283407130247E-4</v>
      </c>
      <c r="DU192" s="525">
        <v>1.2856121044295746E-4</v>
      </c>
      <c r="DV192" s="526">
        <v>3.5</v>
      </c>
      <c r="DW192" s="507">
        <v>1</v>
      </c>
      <c r="DX192" s="509">
        <v>4.5</v>
      </c>
      <c r="DY192" s="507">
        <v>2</v>
      </c>
      <c r="DZ192" s="507">
        <v>10</v>
      </c>
      <c r="EA192" s="507">
        <v>0</v>
      </c>
      <c r="EB192" s="507">
        <v>0</v>
      </c>
      <c r="EC192" s="507">
        <v>111.62500000000001</v>
      </c>
      <c r="ED192" s="507">
        <v>102.18750000000001</v>
      </c>
      <c r="EE192" s="507">
        <v>0</v>
      </c>
      <c r="EF192" s="507">
        <v>25.062499999999996</v>
      </c>
      <c r="EG192" s="507">
        <v>29.3125</v>
      </c>
      <c r="EH192" s="507">
        <v>12.8125</v>
      </c>
      <c r="EI192" s="507">
        <v>16.6875</v>
      </c>
      <c r="EJ192" s="507">
        <v>56.4375</v>
      </c>
      <c r="EK192" s="507">
        <v>10.4375</v>
      </c>
      <c r="EL192" s="507">
        <v>10.4375</v>
      </c>
      <c r="EM192" s="508">
        <v>375</v>
      </c>
    </row>
    <row r="193" spans="2:143" x14ac:dyDescent="0.25">
      <c r="B193" s="506" t="str">
        <f>[1]RONET_Input!J164</f>
        <v xml:space="preserve">Input VPROMMS: QL45_2 (50.0 pct); ql45_1 (50.0 pct); </v>
      </c>
      <c r="C193" s="359">
        <f>[1]RONET_Input!B164</f>
        <v>162</v>
      </c>
      <c r="D193" s="397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442">
        <f>[1]RONET_Input!K164</f>
        <v>0.56337027391299999</v>
      </c>
      <c r="Q193" s="398">
        <f>[1]RONET_Input!Y164</f>
        <v>2</v>
      </c>
      <c r="R193" s="398">
        <f>[1]RONET_Input!X164</f>
        <v>3.5</v>
      </c>
      <c r="S193" s="398"/>
      <c r="T193" s="398"/>
      <c r="U193" s="398">
        <f>[1]RONET_Input!AA164</f>
        <v>8</v>
      </c>
      <c r="V193" s="398">
        <f>[1]RONET_Input!AC164</f>
        <v>1</v>
      </c>
      <c r="W193" s="398">
        <f>[1]RONET_Input!AD164</f>
        <v>1</v>
      </c>
      <c r="X193" s="398">
        <f>[1]RONET_Input!AE164</f>
        <v>4</v>
      </c>
      <c r="Y193" s="398">
        <f>[1]RONET_Input!AB164</f>
        <v>1</v>
      </c>
      <c r="Z193" s="438">
        <f>[1]RONET_Input!Z164</f>
        <v>1</v>
      </c>
      <c r="AA193" s="442"/>
      <c r="AB193" s="398"/>
      <c r="AC193" s="438"/>
      <c r="AD193" s="442">
        <f>[1]RONET_Input!AH164</f>
        <v>3</v>
      </c>
      <c r="AE193" s="398">
        <f>[1]RONET_Input!D164</f>
        <v>0</v>
      </c>
      <c r="AF193" s="398"/>
      <c r="AG193" s="398"/>
      <c r="AH193" s="398"/>
      <c r="AI193" s="438"/>
      <c r="AJ193" s="442">
        <v>1</v>
      </c>
      <c r="AK193" s="442">
        <f>[1]RONET_Input!AF164</f>
        <v>4</v>
      </c>
      <c r="AL193" s="507"/>
      <c r="AM193" s="507"/>
      <c r="AN193" s="507"/>
      <c r="AO193" s="507"/>
      <c r="AP193" s="507"/>
      <c r="AQ193" s="507"/>
      <c r="AR193" s="507"/>
      <c r="AS193" s="507"/>
      <c r="AT193" s="507"/>
      <c r="AU193" s="507"/>
      <c r="AV193" s="507"/>
      <c r="AW193" s="507"/>
      <c r="AX193" s="508"/>
      <c r="AY193" s="509">
        <f>[1]RONET_Input!AG164</f>
        <v>3</v>
      </c>
      <c r="AZ193" s="359" t="s">
        <v>321</v>
      </c>
      <c r="BA193" s="360" t="s">
        <v>502</v>
      </c>
      <c r="BB193" s="360" t="s">
        <v>443</v>
      </c>
      <c r="BC193" s="510">
        <v>2.8196682209345653E-2</v>
      </c>
      <c r="BD193" s="510">
        <v>5.0050000000000004E-2</v>
      </c>
      <c r="BE193" s="438">
        <v>6</v>
      </c>
      <c r="BF193" s="511">
        <v>0.22283757270650381</v>
      </c>
      <c r="BG193" s="512">
        <v>0.39554371791529086</v>
      </c>
      <c r="BH193" s="512">
        <v>7.9029713869188978</v>
      </c>
      <c r="BI193" s="513">
        <v>0</v>
      </c>
      <c r="BJ193" s="514">
        <v>375</v>
      </c>
      <c r="BK193" s="515">
        <v>0.22366666666666665</v>
      </c>
      <c r="BL193" s="512">
        <v>7.711130624184187E-2</v>
      </c>
      <c r="BM193" s="516">
        <v>3.2054071874999999E-2</v>
      </c>
      <c r="BN193" s="517">
        <v>375</v>
      </c>
      <c r="BO193" s="518">
        <v>397.50000000000011</v>
      </c>
      <c r="BP193" s="518">
        <v>421.34999999999991</v>
      </c>
      <c r="BQ193" s="518">
        <v>446.63099999999997</v>
      </c>
      <c r="BR193" s="518">
        <v>473.42885999999999</v>
      </c>
      <c r="BS193" s="518">
        <v>501.83459160000012</v>
      </c>
      <c r="BT193" s="518">
        <v>531.9446670960001</v>
      </c>
      <c r="BU193" s="518">
        <v>563.86134712175999</v>
      </c>
      <c r="BV193" s="518">
        <v>597.69302794906582</v>
      </c>
      <c r="BW193" s="518">
        <v>633.55460962600955</v>
      </c>
      <c r="BX193" s="518">
        <v>671.56788620357008</v>
      </c>
      <c r="BY193" s="518">
        <v>711.86195937578441</v>
      </c>
      <c r="BZ193" s="518">
        <v>754.57367693833146</v>
      </c>
      <c r="CA193" s="518">
        <v>799.84809755463141</v>
      </c>
      <c r="CB193" s="518">
        <v>847.83898340790915</v>
      </c>
      <c r="CC193" s="518">
        <v>898.70932241238381</v>
      </c>
      <c r="CD193" s="518">
        <v>952.63188175712685</v>
      </c>
      <c r="CE193" s="518">
        <v>1009.7897946625544</v>
      </c>
      <c r="CF193" s="518">
        <v>1070.3771823423076</v>
      </c>
      <c r="CG193" s="519">
        <v>1134.5998132828461</v>
      </c>
      <c r="CH193" s="520">
        <v>4.5</v>
      </c>
      <c r="CI193" s="521">
        <v>4.59</v>
      </c>
      <c r="CJ193" s="521">
        <v>4.6818</v>
      </c>
      <c r="CK193" s="521">
        <v>4.775436</v>
      </c>
      <c r="CL193" s="521">
        <v>4.8709447199999998</v>
      </c>
      <c r="CM193" s="521">
        <v>2.5</v>
      </c>
      <c r="CN193" s="521">
        <v>2.5499999999999998</v>
      </c>
      <c r="CO193" s="521">
        <v>2.601</v>
      </c>
      <c r="CP193" s="521">
        <v>2.6530200000000002</v>
      </c>
      <c r="CQ193" s="521">
        <v>2.7060804000000003</v>
      </c>
      <c r="CR193" s="521">
        <v>2.7602020080000003</v>
      </c>
      <c r="CS193" s="521">
        <v>2.8154060481600003</v>
      </c>
      <c r="CT193" s="521">
        <v>2.8717141691232002</v>
      </c>
      <c r="CU193" s="521">
        <v>2.5</v>
      </c>
      <c r="CV193" s="521">
        <v>2.5499999999999998</v>
      </c>
      <c r="CW193" s="521">
        <v>2.601</v>
      </c>
      <c r="CX193" s="521">
        <v>2.6530200000000002</v>
      </c>
      <c r="CY193" s="521">
        <v>2.7060804000000003</v>
      </c>
      <c r="CZ193" s="521">
        <v>2.7602020080000003</v>
      </c>
      <c r="DA193" s="522">
        <v>2.8154060481600003</v>
      </c>
      <c r="DB193" s="523">
        <v>0</v>
      </c>
      <c r="DC193" s="524">
        <v>0</v>
      </c>
      <c r="DD193" s="524">
        <v>0</v>
      </c>
      <c r="DE193" s="524">
        <v>0</v>
      </c>
      <c r="DF193" s="524">
        <v>0</v>
      </c>
      <c r="DG193" s="524">
        <v>-2.3812115020643336E-2</v>
      </c>
      <c r="DH193" s="524">
        <v>2.0457204160732323E-3</v>
      </c>
      <c r="DI193" s="524">
        <v>2.2655616184380015E-3</v>
      </c>
      <c r="DJ193" s="524">
        <v>2.5085720876831391E-3</v>
      </c>
      <c r="DK193" s="524">
        <v>0.38450008392182433</v>
      </c>
      <c r="DL193" s="524">
        <v>1.347820102835795E-4</v>
      </c>
      <c r="DM193" s="524">
        <v>1.1189214596674102E-4</v>
      </c>
      <c r="DN193" s="524">
        <v>8.4472271759172823E-5</v>
      </c>
      <c r="DO193" s="524">
        <v>-2.5269818193304747E-2</v>
      </c>
      <c r="DP193" s="524">
        <v>3.8865427524320539E-4</v>
      </c>
      <c r="DQ193" s="524">
        <v>3.857386364255061E-4</v>
      </c>
      <c r="DR193" s="524">
        <v>3.8003513974600722E-4</v>
      </c>
      <c r="DS193" s="524">
        <v>5.1924044724335483E-2</v>
      </c>
      <c r="DT193" s="524">
        <v>6.2314854824263577E-4</v>
      </c>
      <c r="DU193" s="525">
        <v>6.3945497594868062E-4</v>
      </c>
      <c r="DV193" s="526">
        <v>3.5</v>
      </c>
      <c r="DW193" s="507">
        <v>1</v>
      </c>
      <c r="DX193" s="509">
        <v>4.5</v>
      </c>
      <c r="DY193" s="507">
        <v>2</v>
      </c>
      <c r="DZ193" s="507">
        <v>10</v>
      </c>
      <c r="EA193" s="507">
        <v>0</v>
      </c>
      <c r="EB193" s="507">
        <v>0</v>
      </c>
      <c r="EC193" s="507">
        <v>111.62500000000001</v>
      </c>
      <c r="ED193" s="507">
        <v>102.18750000000001</v>
      </c>
      <c r="EE193" s="507">
        <v>0</v>
      </c>
      <c r="EF193" s="507">
        <v>25.062499999999996</v>
      </c>
      <c r="EG193" s="507">
        <v>29.3125</v>
      </c>
      <c r="EH193" s="507">
        <v>12.8125</v>
      </c>
      <c r="EI193" s="507">
        <v>16.6875</v>
      </c>
      <c r="EJ193" s="507">
        <v>56.4375</v>
      </c>
      <c r="EK193" s="507">
        <v>10.4375</v>
      </c>
      <c r="EL193" s="507">
        <v>10.4375</v>
      </c>
      <c r="EM193" s="508">
        <v>375</v>
      </c>
    </row>
    <row r="194" spans="2:143" x14ac:dyDescent="0.25">
      <c r="B194" s="506" t="str">
        <f>[1]RONET_Input!J165</f>
        <v xml:space="preserve">Input VPROMMS: 214tt00087 (50.0 pct); 214tt00097 (50.0 pct); </v>
      </c>
      <c r="C194" s="359">
        <f>[1]RONET_Input!B165</f>
        <v>163</v>
      </c>
      <c r="D194" s="397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442">
        <f>[1]RONET_Input!K165</f>
        <v>0.12166109435</v>
      </c>
      <c r="Q194" s="398">
        <f>[1]RONET_Input!Y165</f>
        <v>2</v>
      </c>
      <c r="R194" s="398">
        <f>[1]RONET_Input!X165</f>
        <v>3.5</v>
      </c>
      <c r="S194" s="398"/>
      <c r="T194" s="398"/>
      <c r="U194" s="398">
        <f>[1]RONET_Input!AA165</f>
        <v>8</v>
      </c>
      <c r="V194" s="398">
        <f>[1]RONET_Input!AC165</f>
        <v>1</v>
      </c>
      <c r="W194" s="398">
        <f>[1]RONET_Input!AD165</f>
        <v>1</v>
      </c>
      <c r="X194" s="398">
        <f>[1]RONET_Input!AE165</f>
        <v>4</v>
      </c>
      <c r="Y194" s="398">
        <f>[1]RONET_Input!AB165</f>
        <v>1</v>
      </c>
      <c r="Z194" s="438">
        <f>[1]RONET_Input!Z165</f>
        <v>1</v>
      </c>
      <c r="AA194" s="442"/>
      <c r="AB194" s="398"/>
      <c r="AC194" s="438"/>
      <c r="AD194" s="442">
        <f>[1]RONET_Input!AH165</f>
        <v>2</v>
      </c>
      <c r="AE194" s="398">
        <f>[1]RONET_Input!D165</f>
        <v>4.5199999999999996</v>
      </c>
      <c r="AF194" s="398"/>
      <c r="AG194" s="398"/>
      <c r="AH194" s="398"/>
      <c r="AI194" s="438"/>
      <c r="AJ194" s="442">
        <v>1</v>
      </c>
      <c r="AK194" s="442">
        <f>[1]RONET_Input!AF165</f>
        <v>4</v>
      </c>
      <c r="AL194" s="507"/>
      <c r="AM194" s="507"/>
      <c r="AN194" s="507"/>
      <c r="AO194" s="507"/>
      <c r="AP194" s="507"/>
      <c r="AQ194" s="507"/>
      <c r="AR194" s="507"/>
      <c r="AS194" s="507"/>
      <c r="AT194" s="507"/>
      <c r="AU194" s="507"/>
      <c r="AV194" s="507"/>
      <c r="AW194" s="507"/>
      <c r="AX194" s="508"/>
      <c r="AY194" s="509">
        <f>[1]RONET_Input!AG165</f>
        <v>3</v>
      </c>
      <c r="AZ194" s="359" t="s">
        <v>321</v>
      </c>
      <c r="BA194" s="360" t="s">
        <v>502</v>
      </c>
      <c r="BB194" s="360" t="s">
        <v>443</v>
      </c>
      <c r="BC194" s="510">
        <v>6.0891377722175006E-3</v>
      </c>
      <c r="BD194" s="510">
        <v>5.0050000000000004E-2</v>
      </c>
      <c r="BE194" s="438">
        <v>6</v>
      </c>
      <c r="BF194" s="511">
        <v>4.8138229867766363E-2</v>
      </c>
      <c r="BG194" s="512">
        <v>0.39567480569655394</v>
      </c>
      <c r="BH194" s="512">
        <v>7.9055905234076702</v>
      </c>
      <c r="BI194" s="513">
        <v>0</v>
      </c>
      <c r="BJ194" s="514">
        <v>375</v>
      </c>
      <c r="BK194" s="515">
        <v>0.22366666666666665</v>
      </c>
      <c r="BL194" s="512">
        <v>1.6652362289156248E-2</v>
      </c>
      <c r="BM194" s="516">
        <v>3.2054071874999999E-2</v>
      </c>
      <c r="BN194" s="517">
        <v>375</v>
      </c>
      <c r="BO194" s="518">
        <v>397.50000000000011</v>
      </c>
      <c r="BP194" s="518">
        <v>421.34999999999991</v>
      </c>
      <c r="BQ194" s="518">
        <v>446.63099999999997</v>
      </c>
      <c r="BR194" s="518">
        <v>473.42885999999999</v>
      </c>
      <c r="BS194" s="518">
        <v>501.83459160000012</v>
      </c>
      <c r="BT194" s="518">
        <v>531.9446670960001</v>
      </c>
      <c r="BU194" s="518">
        <v>563.86134712175999</v>
      </c>
      <c r="BV194" s="518">
        <v>597.69302794906582</v>
      </c>
      <c r="BW194" s="518">
        <v>633.55460962600955</v>
      </c>
      <c r="BX194" s="518">
        <v>671.56788620357008</v>
      </c>
      <c r="BY194" s="518">
        <v>711.86195937578441</v>
      </c>
      <c r="BZ194" s="518">
        <v>754.57367693833146</v>
      </c>
      <c r="CA194" s="518">
        <v>799.84809755463141</v>
      </c>
      <c r="CB194" s="518">
        <v>847.83898340790915</v>
      </c>
      <c r="CC194" s="518">
        <v>898.70932241238381</v>
      </c>
      <c r="CD194" s="518">
        <v>952.63188175712685</v>
      </c>
      <c r="CE194" s="518">
        <v>1009.7897946625544</v>
      </c>
      <c r="CF194" s="518">
        <v>1070.3771823423076</v>
      </c>
      <c r="CG194" s="519">
        <v>1134.5998132828461</v>
      </c>
      <c r="CH194" s="520">
        <v>4.5199999999999996</v>
      </c>
      <c r="CI194" s="521">
        <v>4.6103999999999994</v>
      </c>
      <c r="CJ194" s="521">
        <v>4.7026079999999997</v>
      </c>
      <c r="CK194" s="521">
        <v>4.7966601600000001</v>
      </c>
      <c r="CL194" s="521">
        <v>4.8925933632000005</v>
      </c>
      <c r="CM194" s="521">
        <v>2.5</v>
      </c>
      <c r="CN194" s="521">
        <v>2.5499999999999998</v>
      </c>
      <c r="CO194" s="521">
        <v>2.601</v>
      </c>
      <c r="CP194" s="521">
        <v>2.6530200000000002</v>
      </c>
      <c r="CQ194" s="521">
        <v>2.7060804000000003</v>
      </c>
      <c r="CR194" s="521">
        <v>2.7602020080000003</v>
      </c>
      <c r="CS194" s="521">
        <v>2.8154060481600003</v>
      </c>
      <c r="CT194" s="521">
        <v>2.8717141691232002</v>
      </c>
      <c r="CU194" s="521">
        <v>2.5</v>
      </c>
      <c r="CV194" s="521">
        <v>2.5499999999999998</v>
      </c>
      <c r="CW194" s="521">
        <v>2.601</v>
      </c>
      <c r="CX194" s="521">
        <v>2.6530200000000002</v>
      </c>
      <c r="CY194" s="521">
        <v>2.7060804000000003</v>
      </c>
      <c r="CZ194" s="521">
        <v>2.7602020080000003</v>
      </c>
      <c r="DA194" s="522">
        <v>2.8154060481600003</v>
      </c>
      <c r="DB194" s="523">
        <v>0</v>
      </c>
      <c r="DC194" s="524">
        <v>0</v>
      </c>
      <c r="DD194" s="524">
        <v>0</v>
      </c>
      <c r="DE194" s="524">
        <v>0</v>
      </c>
      <c r="DF194" s="524">
        <v>0</v>
      </c>
      <c r="DG194" s="524">
        <v>-5.1372733760430833E-3</v>
      </c>
      <c r="DH194" s="524">
        <v>4.4731164959942171E-4</v>
      </c>
      <c r="DI194" s="524">
        <v>4.9536802456897656E-4</v>
      </c>
      <c r="DJ194" s="524">
        <v>5.4848809123106586E-4</v>
      </c>
      <c r="DK194" s="524">
        <v>8.303366924684405E-2</v>
      </c>
      <c r="DL194" s="524">
        <v>2.9106482235743622E-5</v>
      </c>
      <c r="DM194" s="524">
        <v>2.4163363879555616E-5</v>
      </c>
      <c r="DN194" s="524">
        <v>1.824197956535982E-5</v>
      </c>
      <c r="DO194" s="524">
        <v>-5.4570748187856288E-3</v>
      </c>
      <c r="DP194" s="524">
        <v>8.3930776328459272E-5</v>
      </c>
      <c r="DQ194" s="524">
        <v>8.330113748218973E-5</v>
      </c>
      <c r="DR194" s="524">
        <v>8.2069454378230072E-5</v>
      </c>
      <c r="DS194" s="524">
        <v>1.1213115772623357E-2</v>
      </c>
      <c r="DT194" s="524">
        <v>1.3457034890258096E-4</v>
      </c>
      <c r="DU194" s="525">
        <v>1.3809175912160576E-4</v>
      </c>
      <c r="DV194" s="526">
        <v>3.5</v>
      </c>
      <c r="DW194" s="507">
        <v>1</v>
      </c>
      <c r="DX194" s="509">
        <v>4.5199999999999996</v>
      </c>
      <c r="DY194" s="507">
        <v>2</v>
      </c>
      <c r="DZ194" s="507">
        <v>5</v>
      </c>
      <c r="EA194" s="507">
        <v>0</v>
      </c>
      <c r="EB194" s="507">
        <v>0</v>
      </c>
      <c r="EC194" s="507">
        <v>111.62500000000001</v>
      </c>
      <c r="ED194" s="507">
        <v>102.18750000000001</v>
      </c>
      <c r="EE194" s="507">
        <v>0</v>
      </c>
      <c r="EF194" s="507">
        <v>25.062499999999996</v>
      </c>
      <c r="EG194" s="507">
        <v>29.3125</v>
      </c>
      <c r="EH194" s="507">
        <v>12.8125</v>
      </c>
      <c r="EI194" s="507">
        <v>16.6875</v>
      </c>
      <c r="EJ194" s="507">
        <v>56.4375</v>
      </c>
      <c r="EK194" s="507">
        <v>10.4375</v>
      </c>
      <c r="EL194" s="507">
        <v>10.4375</v>
      </c>
      <c r="EM194" s="508">
        <v>375</v>
      </c>
    </row>
    <row r="195" spans="2:143" x14ac:dyDescent="0.25">
      <c r="B195" s="506" t="str">
        <f>[1]RONET_Input!J166</f>
        <v>214tt00097</v>
      </c>
      <c r="C195" s="359">
        <f>[1]RONET_Input!B166</f>
        <v>164</v>
      </c>
      <c r="D195" s="397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442">
        <f>[1]RONET_Input!K166</f>
        <v>0.44619854391800001</v>
      </c>
      <c r="Q195" s="398">
        <f>[1]RONET_Input!Y166</f>
        <v>1</v>
      </c>
      <c r="R195" s="398">
        <f>[1]RONET_Input!X166</f>
        <v>3.4</v>
      </c>
      <c r="S195" s="398"/>
      <c r="T195" s="398"/>
      <c r="U195" s="398">
        <f>[1]RONET_Input!AA166</f>
        <v>8</v>
      </c>
      <c r="V195" s="398">
        <f>[1]RONET_Input!AC166</f>
        <v>1</v>
      </c>
      <c r="W195" s="398">
        <f>[1]RONET_Input!AD166</f>
        <v>1</v>
      </c>
      <c r="X195" s="398">
        <f>[1]RONET_Input!AE166</f>
        <v>4</v>
      </c>
      <c r="Y195" s="398">
        <f>[1]RONET_Input!AB166</f>
        <v>1</v>
      </c>
      <c r="Z195" s="438">
        <f>[1]RONET_Input!Z166</f>
        <v>1</v>
      </c>
      <c r="AA195" s="442"/>
      <c r="AB195" s="398"/>
      <c r="AC195" s="438"/>
      <c r="AD195" s="442">
        <f>[1]RONET_Input!AH166</f>
        <v>2</v>
      </c>
      <c r="AE195" s="398">
        <f>[1]RONET_Input!D166</f>
        <v>4.83</v>
      </c>
      <c r="AF195" s="398"/>
      <c r="AG195" s="398"/>
      <c r="AH195" s="398"/>
      <c r="AI195" s="438"/>
      <c r="AJ195" s="442">
        <v>1</v>
      </c>
      <c r="AK195" s="442">
        <f>[1]RONET_Input!AF166</f>
        <v>4</v>
      </c>
      <c r="AL195" s="507"/>
      <c r="AM195" s="507"/>
      <c r="AN195" s="507"/>
      <c r="AO195" s="507"/>
      <c r="AP195" s="507"/>
      <c r="AQ195" s="507"/>
      <c r="AR195" s="507"/>
      <c r="AS195" s="507"/>
      <c r="AT195" s="507"/>
      <c r="AU195" s="507"/>
      <c r="AV195" s="507"/>
      <c r="AW195" s="507"/>
      <c r="AX195" s="508"/>
      <c r="AY195" s="509">
        <f>[1]RONET_Input!AG166</f>
        <v>3</v>
      </c>
      <c r="AZ195" s="359" t="s">
        <v>321</v>
      </c>
      <c r="BA195" s="360" t="s">
        <v>502</v>
      </c>
      <c r="BB195" s="360" t="s">
        <v>443</v>
      </c>
      <c r="BC195" s="510">
        <v>2.1694173205293162E-2</v>
      </c>
      <c r="BD195" s="510">
        <v>4.8620000000000003E-2</v>
      </c>
      <c r="BE195" s="438">
        <v>6</v>
      </c>
      <c r="BF195" s="511">
        <v>0.18573887182678483</v>
      </c>
      <c r="BG195" s="512">
        <v>0.41626956062169251</v>
      </c>
      <c r="BH195" s="512">
        <v>8.5616939658924824</v>
      </c>
      <c r="BI195" s="513">
        <v>0</v>
      </c>
      <c r="BJ195" s="514">
        <v>375</v>
      </c>
      <c r="BK195" s="515">
        <v>0.22366666666666665</v>
      </c>
      <c r="BL195" s="512">
        <v>6.1073425698776253E-2</v>
      </c>
      <c r="BM195" s="516">
        <v>6.4108143749999999E-2</v>
      </c>
      <c r="BN195" s="517">
        <v>375</v>
      </c>
      <c r="BO195" s="518">
        <v>397.50000000000011</v>
      </c>
      <c r="BP195" s="518">
        <v>421.34999999999991</v>
      </c>
      <c r="BQ195" s="518">
        <v>446.63099999999997</v>
      </c>
      <c r="BR195" s="518">
        <v>473.42885999999999</v>
      </c>
      <c r="BS195" s="518">
        <v>501.83459160000012</v>
      </c>
      <c r="BT195" s="518">
        <v>531.9446670960001</v>
      </c>
      <c r="BU195" s="518">
        <v>563.86134712175999</v>
      </c>
      <c r="BV195" s="518">
        <v>597.69302794906582</v>
      </c>
      <c r="BW195" s="518">
        <v>633.55460962600955</v>
      </c>
      <c r="BX195" s="518">
        <v>671.56788620357008</v>
      </c>
      <c r="BY195" s="518">
        <v>711.86195937578441</v>
      </c>
      <c r="BZ195" s="518">
        <v>754.57367693833146</v>
      </c>
      <c r="CA195" s="518">
        <v>799.84809755463141</v>
      </c>
      <c r="CB195" s="518">
        <v>847.83898340790915</v>
      </c>
      <c r="CC195" s="518">
        <v>898.70932241238381</v>
      </c>
      <c r="CD195" s="518">
        <v>952.63188175712685</v>
      </c>
      <c r="CE195" s="518">
        <v>1009.7897946625544</v>
      </c>
      <c r="CF195" s="518">
        <v>1070.3771823423076</v>
      </c>
      <c r="CG195" s="519">
        <v>1134.5998132828461</v>
      </c>
      <c r="CH195" s="520">
        <v>4.83</v>
      </c>
      <c r="CI195" s="521">
        <v>4.9265999999999996</v>
      </c>
      <c r="CJ195" s="521">
        <v>5.0251319999999993</v>
      </c>
      <c r="CK195" s="521">
        <v>5.1256346399999995</v>
      </c>
      <c r="CL195" s="521">
        <v>5.2281473327999999</v>
      </c>
      <c r="CM195" s="521">
        <v>2.5</v>
      </c>
      <c r="CN195" s="521">
        <v>2.5499999999999998</v>
      </c>
      <c r="CO195" s="521">
        <v>2.601</v>
      </c>
      <c r="CP195" s="521">
        <v>2.6530200000000002</v>
      </c>
      <c r="CQ195" s="521">
        <v>2.7060804000000003</v>
      </c>
      <c r="CR195" s="521">
        <v>2.7602020080000003</v>
      </c>
      <c r="CS195" s="521">
        <v>2.8154060481600003</v>
      </c>
      <c r="CT195" s="521">
        <v>2.8717141691232002</v>
      </c>
      <c r="CU195" s="521">
        <v>2.5</v>
      </c>
      <c r="CV195" s="521">
        <v>2.5499999999999998</v>
      </c>
      <c r="CW195" s="521">
        <v>2.601</v>
      </c>
      <c r="CX195" s="521">
        <v>2.6530200000000002</v>
      </c>
      <c r="CY195" s="521">
        <v>2.7060804000000003</v>
      </c>
      <c r="CZ195" s="521">
        <v>2.7602020080000003</v>
      </c>
      <c r="DA195" s="522">
        <v>2.8154060481600003</v>
      </c>
      <c r="DB195" s="523">
        <v>0</v>
      </c>
      <c r="DC195" s="524">
        <v>0</v>
      </c>
      <c r="DD195" s="524">
        <v>0</v>
      </c>
      <c r="DE195" s="524">
        <v>0</v>
      </c>
      <c r="DF195" s="524">
        <v>0</v>
      </c>
      <c r="DG195" s="524">
        <v>-1.7737662386802952E-2</v>
      </c>
      <c r="DH195" s="524">
        <v>2.2108273640310677E-3</v>
      </c>
      <c r="DI195" s="524">
        <v>2.4387383258517858E-3</v>
      </c>
      <c r="DJ195" s="524">
        <v>2.6899078754546238E-3</v>
      </c>
      <c r="DK195" s="524">
        <v>0.30577723488384512</v>
      </c>
      <c r="DL195" s="524">
        <v>1.3731647802527544E-3</v>
      </c>
      <c r="DM195" s="524">
        <v>1.3752969113108582E-3</v>
      </c>
      <c r="DN195" s="524">
        <v>1.3745209297687869E-3</v>
      </c>
      <c r="DO195" s="524">
        <v>-1.8042778968281305E-2</v>
      </c>
      <c r="DP195" s="524">
        <v>1.7255391432968864E-3</v>
      </c>
      <c r="DQ195" s="524">
        <v>1.7512783791120423E-3</v>
      </c>
      <c r="DR195" s="524">
        <v>1.775851670723444E-3</v>
      </c>
      <c r="DS195" s="524">
        <v>4.2629704112184461E-2</v>
      </c>
      <c r="DT195" s="524">
        <v>2.0297644146637372E-3</v>
      </c>
      <c r="DU195" s="525">
        <v>2.074972777809575E-3</v>
      </c>
      <c r="DV195" s="526">
        <v>3.4</v>
      </c>
      <c r="DW195" s="507">
        <v>1</v>
      </c>
      <c r="DX195" s="509">
        <v>4.83</v>
      </c>
      <c r="DY195" s="507">
        <v>2</v>
      </c>
      <c r="DZ195" s="507">
        <v>5</v>
      </c>
      <c r="EA195" s="507">
        <v>0</v>
      </c>
      <c r="EB195" s="507">
        <v>0</v>
      </c>
      <c r="EC195" s="507">
        <v>111.62500000000001</v>
      </c>
      <c r="ED195" s="507">
        <v>102.18750000000001</v>
      </c>
      <c r="EE195" s="507">
        <v>0</v>
      </c>
      <c r="EF195" s="507">
        <v>25.062499999999996</v>
      </c>
      <c r="EG195" s="507">
        <v>29.3125</v>
      </c>
      <c r="EH195" s="507">
        <v>12.8125</v>
      </c>
      <c r="EI195" s="507">
        <v>16.6875</v>
      </c>
      <c r="EJ195" s="507">
        <v>56.4375</v>
      </c>
      <c r="EK195" s="507">
        <v>10.4375</v>
      </c>
      <c r="EL195" s="507">
        <v>10.4375</v>
      </c>
      <c r="EM195" s="508">
        <v>375</v>
      </c>
    </row>
    <row r="196" spans="2:143" x14ac:dyDescent="0.25">
      <c r="B196" s="506" t="str">
        <f>[1]RONET_Input!J167</f>
        <v>214tt00087</v>
      </c>
      <c r="C196" s="359">
        <f>[1]RONET_Input!B167</f>
        <v>165</v>
      </c>
      <c r="D196" s="397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442">
        <f>[1]RONET_Input!K167</f>
        <v>0.35329402732999998</v>
      </c>
      <c r="Q196" s="398">
        <f>[1]RONET_Input!Y167</f>
        <v>1</v>
      </c>
      <c r="R196" s="398">
        <f>[1]RONET_Input!X167</f>
        <v>3.4</v>
      </c>
      <c r="S196" s="398"/>
      <c r="T196" s="398"/>
      <c r="U196" s="398">
        <f>[1]RONET_Input!AA167</f>
        <v>8</v>
      </c>
      <c r="V196" s="398">
        <f>[1]RONET_Input!AC167</f>
        <v>1</v>
      </c>
      <c r="W196" s="398">
        <f>[1]RONET_Input!AD167</f>
        <v>1</v>
      </c>
      <c r="X196" s="398">
        <f>[1]RONET_Input!AE167</f>
        <v>4</v>
      </c>
      <c r="Y196" s="398">
        <f>[1]RONET_Input!AB167</f>
        <v>1</v>
      </c>
      <c r="Z196" s="438">
        <f>[1]RONET_Input!Z167</f>
        <v>1</v>
      </c>
      <c r="AA196" s="442"/>
      <c r="AB196" s="398"/>
      <c r="AC196" s="438"/>
      <c r="AD196" s="442">
        <f>[1]RONET_Input!AH167</f>
        <v>3</v>
      </c>
      <c r="AE196" s="398">
        <f>[1]RONET_Input!D167</f>
        <v>6.01</v>
      </c>
      <c r="AF196" s="398"/>
      <c r="AG196" s="398"/>
      <c r="AH196" s="398"/>
      <c r="AI196" s="438"/>
      <c r="AJ196" s="442">
        <v>1</v>
      </c>
      <c r="AK196" s="442">
        <f>[1]RONET_Input!AF167</f>
        <v>4</v>
      </c>
      <c r="AL196" s="507"/>
      <c r="AM196" s="507"/>
      <c r="AN196" s="507"/>
      <c r="AO196" s="507"/>
      <c r="AP196" s="507"/>
      <c r="AQ196" s="507"/>
      <c r="AR196" s="507"/>
      <c r="AS196" s="507"/>
      <c r="AT196" s="507"/>
      <c r="AU196" s="507"/>
      <c r="AV196" s="507"/>
      <c r="AW196" s="507"/>
      <c r="AX196" s="508"/>
      <c r="AY196" s="509">
        <f>[1]RONET_Input!AG167</f>
        <v>3</v>
      </c>
      <c r="AZ196" s="359" t="s">
        <v>321</v>
      </c>
      <c r="BA196" s="360" t="s">
        <v>502</v>
      </c>
      <c r="BB196" s="360" t="s">
        <v>443</v>
      </c>
      <c r="BC196" s="510">
        <v>1.7177155608784599E-2</v>
      </c>
      <c r="BD196" s="510">
        <v>4.8619999999999997E-2</v>
      </c>
      <c r="BE196" s="438">
        <v>5</v>
      </c>
      <c r="BF196" s="511">
        <v>0.15125745630654741</v>
      </c>
      <c r="BG196" s="512">
        <v>0.42813476765986463</v>
      </c>
      <c r="BH196" s="512">
        <v>8.8057336005731113</v>
      </c>
      <c r="BI196" s="513">
        <v>0</v>
      </c>
      <c r="BJ196" s="514">
        <v>375</v>
      </c>
      <c r="BK196" s="515">
        <v>0.22366666666666665</v>
      </c>
      <c r="BL196" s="512">
        <v>4.8357119990793757E-2</v>
      </c>
      <c r="BM196" s="516">
        <v>6.4108143749999999E-2</v>
      </c>
      <c r="BN196" s="517">
        <v>375</v>
      </c>
      <c r="BO196" s="518">
        <v>397.50000000000011</v>
      </c>
      <c r="BP196" s="518">
        <v>421.34999999999991</v>
      </c>
      <c r="BQ196" s="518">
        <v>446.63099999999997</v>
      </c>
      <c r="BR196" s="518">
        <v>473.42885999999999</v>
      </c>
      <c r="BS196" s="518">
        <v>501.83459160000012</v>
      </c>
      <c r="BT196" s="518">
        <v>531.9446670960001</v>
      </c>
      <c r="BU196" s="518">
        <v>563.86134712175999</v>
      </c>
      <c r="BV196" s="518">
        <v>597.69302794906582</v>
      </c>
      <c r="BW196" s="518">
        <v>633.55460962600955</v>
      </c>
      <c r="BX196" s="518">
        <v>671.56788620357008</v>
      </c>
      <c r="BY196" s="518">
        <v>711.86195937578441</v>
      </c>
      <c r="BZ196" s="518">
        <v>754.57367693833146</v>
      </c>
      <c r="CA196" s="518">
        <v>799.84809755463141</v>
      </c>
      <c r="CB196" s="518">
        <v>847.83898340790915</v>
      </c>
      <c r="CC196" s="518">
        <v>898.70932241238381</v>
      </c>
      <c r="CD196" s="518">
        <v>952.63188175712685</v>
      </c>
      <c r="CE196" s="518">
        <v>1009.7897946625544</v>
      </c>
      <c r="CF196" s="518">
        <v>1070.3771823423076</v>
      </c>
      <c r="CG196" s="519">
        <v>1134.5998132828461</v>
      </c>
      <c r="CH196" s="520">
        <v>6.01</v>
      </c>
      <c r="CI196" s="521">
        <v>6.1301999999999994</v>
      </c>
      <c r="CJ196" s="521">
        <v>6.2528039999999994</v>
      </c>
      <c r="CK196" s="521">
        <v>6.3778600799999996</v>
      </c>
      <c r="CL196" s="521">
        <v>2.5</v>
      </c>
      <c r="CM196" s="521">
        <v>2.5499999999999998</v>
      </c>
      <c r="CN196" s="521">
        <v>2.601</v>
      </c>
      <c r="CO196" s="521">
        <v>2.6530200000000002</v>
      </c>
      <c r="CP196" s="521">
        <v>2.7060804000000003</v>
      </c>
      <c r="CQ196" s="521">
        <v>2.7602020080000003</v>
      </c>
      <c r="CR196" s="521">
        <v>2.8154060481600003</v>
      </c>
      <c r="CS196" s="521">
        <v>2.8717141691232002</v>
      </c>
      <c r="CT196" s="521">
        <v>2.5</v>
      </c>
      <c r="CU196" s="521">
        <v>2.5499999999999998</v>
      </c>
      <c r="CV196" s="521">
        <v>2.601</v>
      </c>
      <c r="CW196" s="521">
        <v>2.6530200000000002</v>
      </c>
      <c r="CX196" s="521">
        <v>2.7060804000000003</v>
      </c>
      <c r="CY196" s="521">
        <v>2.7602020080000003</v>
      </c>
      <c r="CZ196" s="521">
        <v>2.8154060481600003</v>
      </c>
      <c r="DA196" s="522">
        <v>2.8717141691232002</v>
      </c>
      <c r="DB196" s="523">
        <v>0</v>
      </c>
      <c r="DC196" s="524">
        <v>0</v>
      </c>
      <c r="DD196" s="524">
        <v>0</v>
      </c>
      <c r="DE196" s="524">
        <v>0</v>
      </c>
      <c r="DF196" s="524">
        <v>-1.320247266784132E-2</v>
      </c>
      <c r="DG196" s="524">
        <v>2.6778096062922765E-3</v>
      </c>
      <c r="DH196" s="524">
        <v>2.9522045101995249E-3</v>
      </c>
      <c r="DI196" s="524">
        <v>3.2544829175040826E-3</v>
      </c>
      <c r="DJ196" s="524">
        <v>3.587461882713458E-3</v>
      </c>
      <c r="DK196" s="524">
        <v>0.24208412407897728</v>
      </c>
      <c r="DL196" s="524">
        <v>1.0582982804742472E-3</v>
      </c>
      <c r="DM196" s="524">
        <v>1.0569369523564451E-3</v>
      </c>
      <c r="DN196" s="524">
        <v>-1.4332839361201555E-2</v>
      </c>
      <c r="DO196" s="524">
        <v>1.3172680529896508E-3</v>
      </c>
      <c r="DP196" s="524">
        <v>1.3353836581818518E-3</v>
      </c>
      <c r="DQ196" s="524">
        <v>1.3524923482316764E-3</v>
      </c>
      <c r="DR196" s="524">
        <v>1.3683368673120325E-3</v>
      </c>
      <c r="DS196" s="524">
        <v>3.3711881358083756E-2</v>
      </c>
      <c r="DT196" s="524">
        <v>1.5609900877199823E-3</v>
      </c>
      <c r="DU196" s="525">
        <v>1.5919249907576649E-3</v>
      </c>
      <c r="DV196" s="526">
        <v>3.4</v>
      </c>
      <c r="DW196" s="507">
        <v>1</v>
      </c>
      <c r="DX196" s="509">
        <v>6.01</v>
      </c>
      <c r="DY196" s="507">
        <v>2</v>
      </c>
      <c r="DZ196" s="507">
        <v>10</v>
      </c>
      <c r="EA196" s="507">
        <v>0</v>
      </c>
      <c r="EB196" s="507">
        <v>0</v>
      </c>
      <c r="EC196" s="507">
        <v>111.62500000000001</v>
      </c>
      <c r="ED196" s="507">
        <v>102.18750000000001</v>
      </c>
      <c r="EE196" s="507">
        <v>0</v>
      </c>
      <c r="EF196" s="507">
        <v>25.062499999999996</v>
      </c>
      <c r="EG196" s="507">
        <v>29.3125</v>
      </c>
      <c r="EH196" s="507">
        <v>12.8125</v>
      </c>
      <c r="EI196" s="507">
        <v>16.6875</v>
      </c>
      <c r="EJ196" s="507">
        <v>56.4375</v>
      </c>
      <c r="EK196" s="507">
        <v>10.4375</v>
      </c>
      <c r="EL196" s="507">
        <v>10.4375</v>
      </c>
      <c r="EM196" s="508">
        <v>375</v>
      </c>
    </row>
    <row r="197" spans="2:143" x14ac:dyDescent="0.25">
      <c r="B197" s="506" t="str">
        <f>[1]RONET_Input!J168</f>
        <v>214tt00039</v>
      </c>
      <c r="C197" s="359">
        <f>[1]RONET_Input!B168</f>
        <v>166</v>
      </c>
      <c r="D197" s="397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442">
        <f>[1]RONET_Input!K168</f>
        <v>3.8984263209699999E-2</v>
      </c>
      <c r="Q197" s="398">
        <f>[1]RONET_Input!Y168</f>
        <v>1</v>
      </c>
      <c r="R197" s="398">
        <f>[1]RONET_Input!X168</f>
        <v>3.4</v>
      </c>
      <c r="S197" s="398"/>
      <c r="T197" s="398"/>
      <c r="U197" s="398">
        <f>[1]RONET_Input!AA168</f>
        <v>8</v>
      </c>
      <c r="V197" s="398">
        <f>[1]RONET_Input!AC168</f>
        <v>1</v>
      </c>
      <c r="W197" s="398">
        <f>[1]RONET_Input!AD168</f>
        <v>1</v>
      </c>
      <c r="X197" s="398">
        <f>[1]RONET_Input!AE168</f>
        <v>4</v>
      </c>
      <c r="Y197" s="398">
        <f>[1]RONET_Input!AB168</f>
        <v>1</v>
      </c>
      <c r="Z197" s="438">
        <f>[1]RONET_Input!Z168</f>
        <v>1</v>
      </c>
      <c r="AA197" s="442"/>
      <c r="AB197" s="398"/>
      <c r="AC197" s="438"/>
      <c r="AD197" s="442">
        <f>[1]RONET_Input!AH168</f>
        <v>3</v>
      </c>
      <c r="AE197" s="398">
        <f>[1]RONET_Input!D168</f>
        <v>0</v>
      </c>
      <c r="AF197" s="398"/>
      <c r="AG197" s="398"/>
      <c r="AH197" s="398"/>
      <c r="AI197" s="438"/>
      <c r="AJ197" s="442">
        <v>1</v>
      </c>
      <c r="AK197" s="442">
        <f>[1]RONET_Input!AF168</f>
        <v>4</v>
      </c>
      <c r="AL197" s="507"/>
      <c r="AM197" s="507"/>
      <c r="AN197" s="507"/>
      <c r="AO197" s="507"/>
      <c r="AP197" s="507"/>
      <c r="AQ197" s="507"/>
      <c r="AR197" s="507"/>
      <c r="AS197" s="507"/>
      <c r="AT197" s="507"/>
      <c r="AU197" s="507"/>
      <c r="AV197" s="507"/>
      <c r="AW197" s="507"/>
      <c r="AX197" s="508"/>
      <c r="AY197" s="509">
        <f>[1]RONET_Input!AG168</f>
        <v>3</v>
      </c>
      <c r="AZ197" s="359" t="s">
        <v>321</v>
      </c>
      <c r="BA197" s="360" t="s">
        <v>502</v>
      </c>
      <c r="BB197" s="360" t="s">
        <v>443</v>
      </c>
      <c r="BC197" s="510">
        <v>1.8954148772556139E-3</v>
      </c>
      <c r="BD197" s="510">
        <v>4.8619999999999997E-2</v>
      </c>
      <c r="BE197" s="438">
        <v>6</v>
      </c>
      <c r="BF197" s="511">
        <v>1.6133873365615684E-2</v>
      </c>
      <c r="BG197" s="512">
        <v>0.41385605465544056</v>
      </c>
      <c r="BH197" s="512">
        <v>8.5120537773640592</v>
      </c>
      <c r="BI197" s="513">
        <v>0</v>
      </c>
      <c r="BJ197" s="514">
        <v>375</v>
      </c>
      <c r="BK197" s="515">
        <v>0.22366666666666665</v>
      </c>
      <c r="BL197" s="512">
        <v>5.3359710268276869E-3</v>
      </c>
      <c r="BM197" s="516">
        <v>6.4108143749999999E-2</v>
      </c>
      <c r="BN197" s="517">
        <v>375</v>
      </c>
      <c r="BO197" s="518">
        <v>397.50000000000011</v>
      </c>
      <c r="BP197" s="518">
        <v>421.34999999999991</v>
      </c>
      <c r="BQ197" s="518">
        <v>446.63099999999997</v>
      </c>
      <c r="BR197" s="518">
        <v>473.42885999999999</v>
      </c>
      <c r="BS197" s="518">
        <v>501.83459160000012</v>
      </c>
      <c r="BT197" s="518">
        <v>531.9446670960001</v>
      </c>
      <c r="BU197" s="518">
        <v>563.86134712175999</v>
      </c>
      <c r="BV197" s="518">
        <v>597.69302794906582</v>
      </c>
      <c r="BW197" s="518">
        <v>633.55460962600955</v>
      </c>
      <c r="BX197" s="518">
        <v>671.56788620357008</v>
      </c>
      <c r="BY197" s="518">
        <v>711.86195937578441</v>
      </c>
      <c r="BZ197" s="518">
        <v>754.57367693833146</v>
      </c>
      <c r="CA197" s="518">
        <v>799.84809755463141</v>
      </c>
      <c r="CB197" s="518">
        <v>847.83898340790915</v>
      </c>
      <c r="CC197" s="518">
        <v>898.70932241238381</v>
      </c>
      <c r="CD197" s="518">
        <v>952.63188175712685</v>
      </c>
      <c r="CE197" s="518">
        <v>1009.7897946625544</v>
      </c>
      <c r="CF197" s="518">
        <v>1070.3771823423076</v>
      </c>
      <c r="CG197" s="519">
        <v>1134.5998132828461</v>
      </c>
      <c r="CH197" s="520">
        <v>4.5</v>
      </c>
      <c r="CI197" s="521">
        <v>4.59</v>
      </c>
      <c r="CJ197" s="521">
        <v>4.6818</v>
      </c>
      <c r="CK197" s="521">
        <v>4.775436</v>
      </c>
      <c r="CL197" s="521">
        <v>4.8709447199999998</v>
      </c>
      <c r="CM197" s="521">
        <v>2.5</v>
      </c>
      <c r="CN197" s="521">
        <v>2.5499999999999998</v>
      </c>
      <c r="CO197" s="521">
        <v>2.601</v>
      </c>
      <c r="CP197" s="521">
        <v>2.6530200000000002</v>
      </c>
      <c r="CQ197" s="521">
        <v>2.7060804000000003</v>
      </c>
      <c r="CR197" s="521">
        <v>2.7602020080000003</v>
      </c>
      <c r="CS197" s="521">
        <v>2.8154060481600003</v>
      </c>
      <c r="CT197" s="521">
        <v>2.8717141691232002</v>
      </c>
      <c r="CU197" s="521">
        <v>2.5</v>
      </c>
      <c r="CV197" s="521">
        <v>2.5499999999999998</v>
      </c>
      <c r="CW197" s="521">
        <v>2.601</v>
      </c>
      <c r="CX197" s="521">
        <v>2.6530200000000002</v>
      </c>
      <c r="CY197" s="521">
        <v>2.7060804000000003</v>
      </c>
      <c r="CZ197" s="521">
        <v>2.7602020080000003</v>
      </c>
      <c r="DA197" s="522">
        <v>2.8154060481600003</v>
      </c>
      <c r="DB197" s="523">
        <v>0</v>
      </c>
      <c r="DC197" s="524">
        <v>0</v>
      </c>
      <c r="DD197" s="524">
        <v>0</v>
      </c>
      <c r="DE197" s="524">
        <v>0</v>
      </c>
      <c r="DF197" s="524">
        <v>0</v>
      </c>
      <c r="DG197" s="524">
        <v>-1.5794062122100314E-3</v>
      </c>
      <c r="DH197" s="524">
        <v>1.6046306807734672E-4</v>
      </c>
      <c r="DI197" s="524">
        <v>1.7704373722883743E-4</v>
      </c>
      <c r="DJ197" s="524">
        <v>1.9531945001655939E-4</v>
      </c>
      <c r="DK197" s="524">
        <v>2.6715686034234937E-2</v>
      </c>
      <c r="DL197" s="524">
        <v>1.1997308810918379E-4</v>
      </c>
      <c r="DM197" s="524">
        <v>1.2015937190481499E-4</v>
      </c>
      <c r="DN197" s="524">
        <v>1.200915745776061E-4</v>
      </c>
      <c r="DO197" s="524">
        <v>-1.5763934103361433E-3</v>
      </c>
      <c r="DP197" s="524">
        <v>1.5075995441457199E-4</v>
      </c>
      <c r="DQ197" s="524">
        <v>1.5300878547310458E-4</v>
      </c>
      <c r="DR197" s="524">
        <v>1.5515574825719636E-4</v>
      </c>
      <c r="DS197" s="524">
        <v>3.724547352997285E-3</v>
      </c>
      <c r="DT197" s="524">
        <v>1.7734004575657193E-4</v>
      </c>
      <c r="DU197" s="525">
        <v>1.8128988995077654E-4</v>
      </c>
      <c r="DV197" s="526">
        <v>3.4</v>
      </c>
      <c r="DW197" s="507">
        <v>1</v>
      </c>
      <c r="DX197" s="509">
        <v>4.5</v>
      </c>
      <c r="DY197" s="507">
        <v>2</v>
      </c>
      <c r="DZ197" s="507">
        <v>10</v>
      </c>
      <c r="EA197" s="507">
        <v>0</v>
      </c>
      <c r="EB197" s="507">
        <v>0</v>
      </c>
      <c r="EC197" s="507">
        <v>111.62500000000001</v>
      </c>
      <c r="ED197" s="507">
        <v>102.18750000000001</v>
      </c>
      <c r="EE197" s="507">
        <v>0</v>
      </c>
      <c r="EF197" s="507">
        <v>25.062499999999996</v>
      </c>
      <c r="EG197" s="507">
        <v>29.3125</v>
      </c>
      <c r="EH197" s="507">
        <v>12.8125</v>
      </c>
      <c r="EI197" s="507">
        <v>16.6875</v>
      </c>
      <c r="EJ197" s="507">
        <v>56.4375</v>
      </c>
      <c r="EK197" s="507">
        <v>10.4375</v>
      </c>
      <c r="EL197" s="507">
        <v>10.4375</v>
      </c>
      <c r="EM197" s="508">
        <v>375</v>
      </c>
    </row>
    <row r="198" spans="2:143" x14ac:dyDescent="0.25">
      <c r="B198" s="506" t="str">
        <f>[1]RONET_Input!J169</f>
        <v>214tt00086</v>
      </c>
      <c r="C198" s="359">
        <f>[1]RONET_Input!B169</f>
        <v>167</v>
      </c>
      <c r="D198" s="397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442">
        <f>[1]RONET_Input!K169</f>
        <v>2.1384069705200002</v>
      </c>
      <c r="Q198" s="398">
        <f>[1]RONET_Input!Y169</f>
        <v>1</v>
      </c>
      <c r="R198" s="398">
        <f>[1]RONET_Input!X169</f>
        <v>3.4</v>
      </c>
      <c r="S198" s="398"/>
      <c r="T198" s="398"/>
      <c r="U198" s="398">
        <f>[1]RONET_Input!AA169</f>
        <v>8</v>
      </c>
      <c r="V198" s="398">
        <f>[1]RONET_Input!AC169</f>
        <v>1</v>
      </c>
      <c r="W198" s="398">
        <f>[1]RONET_Input!AD169</f>
        <v>1</v>
      </c>
      <c r="X198" s="398">
        <f>[1]RONET_Input!AE169</f>
        <v>4</v>
      </c>
      <c r="Y198" s="398">
        <f>[1]RONET_Input!AB169</f>
        <v>1</v>
      </c>
      <c r="Z198" s="438">
        <f>[1]RONET_Input!Z169</f>
        <v>1</v>
      </c>
      <c r="AA198" s="442"/>
      <c r="AB198" s="398"/>
      <c r="AC198" s="438"/>
      <c r="AD198" s="442">
        <f>[1]RONET_Input!AH169</f>
        <v>2</v>
      </c>
      <c r="AE198" s="398">
        <f>[1]RONET_Input!D169</f>
        <v>5.2450000000000001</v>
      </c>
      <c r="AF198" s="398"/>
      <c r="AG198" s="398"/>
      <c r="AH198" s="398"/>
      <c r="AI198" s="438"/>
      <c r="AJ198" s="442">
        <v>1</v>
      </c>
      <c r="AK198" s="442">
        <f>[1]RONET_Input!AF169</f>
        <v>4</v>
      </c>
      <c r="AL198" s="507"/>
      <c r="AM198" s="507"/>
      <c r="AN198" s="507"/>
      <c r="AO198" s="507"/>
      <c r="AP198" s="507"/>
      <c r="AQ198" s="507"/>
      <c r="AR198" s="507"/>
      <c r="AS198" s="507"/>
      <c r="AT198" s="507"/>
      <c r="AU198" s="507"/>
      <c r="AV198" s="507"/>
      <c r="AW198" s="507"/>
      <c r="AX198" s="508"/>
      <c r="AY198" s="509">
        <f>[1]RONET_Input!AG169</f>
        <v>3</v>
      </c>
      <c r="AZ198" s="359" t="s">
        <v>321</v>
      </c>
      <c r="BA198" s="360" t="s">
        <v>502</v>
      </c>
      <c r="BB198" s="360" t="s">
        <v>443</v>
      </c>
      <c r="BC198" s="510">
        <v>0.10396934690668241</v>
      </c>
      <c r="BD198" s="510">
        <v>4.8620000000000003E-2</v>
      </c>
      <c r="BE198" s="438">
        <v>5</v>
      </c>
      <c r="BF198" s="511">
        <v>0.89800417087001305</v>
      </c>
      <c r="BG198" s="512">
        <v>0.41994072374897085</v>
      </c>
      <c r="BH198" s="512">
        <v>8.6372012288969735</v>
      </c>
      <c r="BI198" s="513">
        <v>0</v>
      </c>
      <c r="BJ198" s="514">
        <v>375</v>
      </c>
      <c r="BK198" s="515">
        <v>0.22366666666666665</v>
      </c>
      <c r="BL198" s="512">
        <v>0.29269445408992506</v>
      </c>
      <c r="BM198" s="516">
        <v>6.4108143749999999E-2</v>
      </c>
      <c r="BN198" s="517">
        <v>375</v>
      </c>
      <c r="BO198" s="518">
        <v>397.50000000000011</v>
      </c>
      <c r="BP198" s="518">
        <v>421.34999999999991</v>
      </c>
      <c r="BQ198" s="518">
        <v>446.63099999999997</v>
      </c>
      <c r="BR198" s="518">
        <v>473.42885999999999</v>
      </c>
      <c r="BS198" s="518">
        <v>501.83459160000012</v>
      </c>
      <c r="BT198" s="518">
        <v>531.9446670960001</v>
      </c>
      <c r="BU198" s="518">
        <v>563.86134712175999</v>
      </c>
      <c r="BV198" s="518">
        <v>597.69302794906582</v>
      </c>
      <c r="BW198" s="518">
        <v>633.55460962600955</v>
      </c>
      <c r="BX198" s="518">
        <v>671.56788620357008</v>
      </c>
      <c r="BY198" s="518">
        <v>711.86195937578441</v>
      </c>
      <c r="BZ198" s="518">
        <v>754.57367693833146</v>
      </c>
      <c r="CA198" s="518">
        <v>799.84809755463141</v>
      </c>
      <c r="CB198" s="518">
        <v>847.83898340790915</v>
      </c>
      <c r="CC198" s="518">
        <v>898.70932241238381</v>
      </c>
      <c r="CD198" s="518">
        <v>952.63188175712685</v>
      </c>
      <c r="CE198" s="518">
        <v>1009.7897946625544</v>
      </c>
      <c r="CF198" s="518">
        <v>1070.3771823423076</v>
      </c>
      <c r="CG198" s="519">
        <v>1134.5998132828461</v>
      </c>
      <c r="CH198" s="520">
        <v>5.2450000000000001</v>
      </c>
      <c r="CI198" s="521">
        <v>5.3498999999999999</v>
      </c>
      <c r="CJ198" s="521">
        <v>5.4568979999999998</v>
      </c>
      <c r="CK198" s="521">
        <v>5.5660359599999998</v>
      </c>
      <c r="CL198" s="521">
        <v>2.5</v>
      </c>
      <c r="CM198" s="521">
        <v>2.5499999999999998</v>
      </c>
      <c r="CN198" s="521">
        <v>2.601</v>
      </c>
      <c r="CO198" s="521">
        <v>2.6530200000000002</v>
      </c>
      <c r="CP198" s="521">
        <v>2.7060804000000003</v>
      </c>
      <c r="CQ198" s="521">
        <v>2.7602020080000003</v>
      </c>
      <c r="CR198" s="521">
        <v>2.8154060481600003</v>
      </c>
      <c r="CS198" s="521">
        <v>2.8717141691232002</v>
      </c>
      <c r="CT198" s="521">
        <v>2.5</v>
      </c>
      <c r="CU198" s="521">
        <v>2.5499999999999998</v>
      </c>
      <c r="CV198" s="521">
        <v>2.601</v>
      </c>
      <c r="CW198" s="521">
        <v>2.6530200000000002</v>
      </c>
      <c r="CX198" s="521">
        <v>2.7060804000000003</v>
      </c>
      <c r="CY198" s="521">
        <v>2.7602020080000003</v>
      </c>
      <c r="CZ198" s="521">
        <v>2.8154060481600003</v>
      </c>
      <c r="DA198" s="522">
        <v>2.8717141691232002</v>
      </c>
      <c r="DB198" s="523">
        <v>0</v>
      </c>
      <c r="DC198" s="524">
        <v>0</v>
      </c>
      <c r="DD198" s="524">
        <v>0</v>
      </c>
      <c r="DE198" s="524">
        <v>0</v>
      </c>
      <c r="DF198" s="524">
        <v>-8.4003449043621004E-2</v>
      </c>
      <c r="DG198" s="524">
        <v>1.1701106815337814E-2</v>
      </c>
      <c r="DH198" s="524">
        <v>1.2904956323419009E-2</v>
      </c>
      <c r="DI198" s="524">
        <v>1.4231481246995303E-2</v>
      </c>
      <c r="DJ198" s="524">
        <v>1.5693093471027347E-2</v>
      </c>
      <c r="DK198" s="524">
        <v>1.4652791678789732</v>
      </c>
      <c r="DL198" s="524">
        <v>6.4056345275873838E-3</v>
      </c>
      <c r="DM198" s="524">
        <v>6.3973947235967388E-3</v>
      </c>
      <c r="DN198" s="524">
        <v>-8.6753359033460875E-2</v>
      </c>
      <c r="DO198" s="524">
        <v>7.9731186169338941E-3</v>
      </c>
      <c r="DP198" s="524">
        <v>8.0827681819461983E-3</v>
      </c>
      <c r="DQ198" s="524">
        <v>8.1863231226722566E-3</v>
      </c>
      <c r="DR198" s="524">
        <v>8.2822263291374432E-3</v>
      </c>
      <c r="DS198" s="524">
        <v>0.20405021457702976</v>
      </c>
      <c r="DT198" s="524">
        <v>9.4483116788585675E-3</v>
      </c>
      <c r="DU198" s="525">
        <v>9.6355534864489556E-3</v>
      </c>
      <c r="DV198" s="526">
        <v>3.4</v>
      </c>
      <c r="DW198" s="507">
        <v>1</v>
      </c>
      <c r="DX198" s="509">
        <v>5.2450000000000001</v>
      </c>
      <c r="DY198" s="507">
        <v>2</v>
      </c>
      <c r="DZ198" s="507">
        <v>5</v>
      </c>
      <c r="EA198" s="507">
        <v>0</v>
      </c>
      <c r="EB198" s="507">
        <v>0</v>
      </c>
      <c r="EC198" s="507">
        <v>111.62500000000001</v>
      </c>
      <c r="ED198" s="507">
        <v>102.18750000000001</v>
      </c>
      <c r="EE198" s="507">
        <v>0</v>
      </c>
      <c r="EF198" s="507">
        <v>25.062499999999996</v>
      </c>
      <c r="EG198" s="507">
        <v>29.3125</v>
      </c>
      <c r="EH198" s="507">
        <v>12.8125</v>
      </c>
      <c r="EI198" s="507">
        <v>16.6875</v>
      </c>
      <c r="EJ198" s="507">
        <v>56.4375</v>
      </c>
      <c r="EK198" s="507">
        <v>10.4375</v>
      </c>
      <c r="EL198" s="507">
        <v>10.4375</v>
      </c>
      <c r="EM198" s="508">
        <v>375</v>
      </c>
    </row>
    <row r="199" spans="2:143" x14ac:dyDescent="0.25">
      <c r="B199" s="506" t="str">
        <f>[1]RONET_Input!J170</f>
        <v xml:space="preserve">Input VPROMMS: 212th00024 (42.86 pct); 212TH00024 (42.86 pct); 214tt00086 (14.29 pct); </v>
      </c>
      <c r="C199" s="359">
        <f>[1]RONET_Input!B170</f>
        <v>168</v>
      </c>
      <c r="D199" s="397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442">
        <f>[1]RONET_Input!K170</f>
        <v>0.24654432866199999</v>
      </c>
      <c r="Q199" s="398">
        <f>[1]RONET_Input!Y170</f>
        <v>2</v>
      </c>
      <c r="R199" s="398">
        <f>[1]RONET_Input!X170</f>
        <v>3.5</v>
      </c>
      <c r="S199" s="398"/>
      <c r="T199" s="398"/>
      <c r="U199" s="398">
        <f>[1]RONET_Input!AA170</f>
        <v>8</v>
      </c>
      <c r="V199" s="398">
        <f>[1]RONET_Input!AC170</f>
        <v>1</v>
      </c>
      <c r="W199" s="398">
        <f>[1]RONET_Input!AD170</f>
        <v>1</v>
      </c>
      <c r="X199" s="398">
        <f>[1]RONET_Input!AE170</f>
        <v>4</v>
      </c>
      <c r="Y199" s="398">
        <f>[1]RONET_Input!AB170</f>
        <v>1</v>
      </c>
      <c r="Z199" s="438">
        <f>[1]RONET_Input!Z170</f>
        <v>1</v>
      </c>
      <c r="AA199" s="442"/>
      <c r="AB199" s="398"/>
      <c r="AC199" s="438"/>
      <c r="AD199" s="442">
        <f>[1]RONET_Input!AH170</f>
        <v>3</v>
      </c>
      <c r="AE199" s="398">
        <f>[1]RONET_Input!D170</f>
        <v>7.9550000000000001</v>
      </c>
      <c r="AF199" s="398"/>
      <c r="AG199" s="398"/>
      <c r="AH199" s="398"/>
      <c r="AI199" s="438"/>
      <c r="AJ199" s="442">
        <v>1</v>
      </c>
      <c r="AK199" s="442">
        <f>[1]RONET_Input!AF170</f>
        <v>4</v>
      </c>
      <c r="AL199" s="507"/>
      <c r="AM199" s="507"/>
      <c r="AN199" s="507"/>
      <c r="AO199" s="507"/>
      <c r="AP199" s="507"/>
      <c r="AQ199" s="507"/>
      <c r="AR199" s="507"/>
      <c r="AS199" s="507"/>
      <c r="AT199" s="507"/>
      <c r="AU199" s="507"/>
      <c r="AV199" s="507"/>
      <c r="AW199" s="507"/>
      <c r="AX199" s="508"/>
      <c r="AY199" s="509">
        <f>[1]RONET_Input!AG170</f>
        <v>3</v>
      </c>
      <c r="AZ199" s="359" t="s">
        <v>321</v>
      </c>
      <c r="BA199" s="360" t="s">
        <v>502</v>
      </c>
      <c r="BB199" s="360" t="s">
        <v>443</v>
      </c>
      <c r="BC199" s="510">
        <v>1.2339543649533101E-2</v>
      </c>
      <c r="BD199" s="510">
        <v>5.0050000000000004E-2</v>
      </c>
      <c r="BE199" s="438">
        <v>5</v>
      </c>
      <c r="BF199" s="511">
        <v>0.10682741242711923</v>
      </c>
      <c r="BG199" s="512">
        <v>0.43329900552518608</v>
      </c>
      <c r="BH199" s="512">
        <v>8.6573227877160051</v>
      </c>
      <c r="BI199" s="513">
        <v>0</v>
      </c>
      <c r="BJ199" s="514">
        <v>375</v>
      </c>
      <c r="BK199" s="515">
        <v>0.22366666666666665</v>
      </c>
      <c r="BL199" s="512">
        <v>3.3745754985611248E-2</v>
      </c>
      <c r="BM199" s="516">
        <v>3.2054071874999999E-2</v>
      </c>
      <c r="BN199" s="517">
        <v>375</v>
      </c>
      <c r="BO199" s="518">
        <v>397.50000000000011</v>
      </c>
      <c r="BP199" s="518">
        <v>421.34999999999991</v>
      </c>
      <c r="BQ199" s="518">
        <v>446.63099999999997</v>
      </c>
      <c r="BR199" s="518">
        <v>473.42885999999999</v>
      </c>
      <c r="BS199" s="518">
        <v>501.83459160000012</v>
      </c>
      <c r="BT199" s="518">
        <v>531.9446670960001</v>
      </c>
      <c r="BU199" s="518">
        <v>563.86134712175999</v>
      </c>
      <c r="BV199" s="518">
        <v>597.69302794906582</v>
      </c>
      <c r="BW199" s="518">
        <v>633.55460962600955</v>
      </c>
      <c r="BX199" s="518">
        <v>671.56788620357008</v>
      </c>
      <c r="BY199" s="518">
        <v>711.86195937578441</v>
      </c>
      <c r="BZ199" s="518">
        <v>754.57367693833146</v>
      </c>
      <c r="CA199" s="518">
        <v>799.84809755463141</v>
      </c>
      <c r="CB199" s="518">
        <v>847.83898340790915</v>
      </c>
      <c r="CC199" s="518">
        <v>898.70932241238381</v>
      </c>
      <c r="CD199" s="518">
        <v>952.63188175712685</v>
      </c>
      <c r="CE199" s="518">
        <v>1009.7897946625544</v>
      </c>
      <c r="CF199" s="518">
        <v>1070.3771823423076</v>
      </c>
      <c r="CG199" s="519">
        <v>1134.5998132828461</v>
      </c>
      <c r="CH199" s="520">
        <v>7.9550000000000001</v>
      </c>
      <c r="CI199" s="521">
        <v>8.1141000000000005</v>
      </c>
      <c r="CJ199" s="521">
        <v>8.2763819999999999</v>
      </c>
      <c r="CK199" s="521">
        <v>8.4419096400000004</v>
      </c>
      <c r="CL199" s="521">
        <v>2.5</v>
      </c>
      <c r="CM199" s="521">
        <v>2.5499999999999998</v>
      </c>
      <c r="CN199" s="521">
        <v>2.601</v>
      </c>
      <c r="CO199" s="521">
        <v>2.6530200000000002</v>
      </c>
      <c r="CP199" s="521">
        <v>2.7060804000000003</v>
      </c>
      <c r="CQ199" s="521">
        <v>2.7602020080000003</v>
      </c>
      <c r="CR199" s="521">
        <v>2.8154060481600003</v>
      </c>
      <c r="CS199" s="521">
        <v>2.8717141691232002</v>
      </c>
      <c r="CT199" s="521">
        <v>2.5</v>
      </c>
      <c r="CU199" s="521">
        <v>2.5499999999999998</v>
      </c>
      <c r="CV199" s="521">
        <v>2.601</v>
      </c>
      <c r="CW199" s="521">
        <v>2.6530200000000002</v>
      </c>
      <c r="CX199" s="521">
        <v>2.7060804000000003</v>
      </c>
      <c r="CY199" s="521">
        <v>2.7602020080000003</v>
      </c>
      <c r="CZ199" s="521">
        <v>2.8154060481600003</v>
      </c>
      <c r="DA199" s="522">
        <v>2.8717141691232002</v>
      </c>
      <c r="DB199" s="523">
        <v>0</v>
      </c>
      <c r="DC199" s="524">
        <v>0</v>
      </c>
      <c r="DD199" s="524">
        <v>0</v>
      </c>
      <c r="DE199" s="524">
        <v>0</v>
      </c>
      <c r="DF199" s="524">
        <v>-8.2716442943409074E-3</v>
      </c>
      <c r="DG199" s="524">
        <v>3.2667687613456009E-3</v>
      </c>
      <c r="DH199" s="524">
        <v>3.6082365469432623E-3</v>
      </c>
      <c r="DI199" s="524">
        <v>3.9850402897045022E-3</v>
      </c>
      <c r="DJ199" s="524">
        <v>4.4008144967479755E-3</v>
      </c>
      <c r="DK199" s="524">
        <v>0.16825155803132485</v>
      </c>
      <c r="DL199" s="524">
        <v>4.2425837880482459E-5</v>
      </c>
      <c r="DM199" s="524">
        <v>3.0559965131297245E-5</v>
      </c>
      <c r="DN199" s="524">
        <v>-1.1073246309330445E-2</v>
      </c>
      <c r="DO199" s="524">
        <v>1.5483847035316356E-4</v>
      </c>
      <c r="DP199" s="524">
        <v>1.5285957991070104E-4</v>
      </c>
      <c r="DQ199" s="524">
        <v>1.4963481359521469E-4</v>
      </c>
      <c r="DR199" s="524">
        <v>1.4497707604674975E-4</v>
      </c>
      <c r="DS199" s="524">
        <v>2.2699473125244944E-2</v>
      </c>
      <c r="DT199" s="524">
        <v>2.4631379908626044E-4</v>
      </c>
      <c r="DU199" s="525">
        <v>2.5050330409971677E-4</v>
      </c>
      <c r="DV199" s="526">
        <v>3.5</v>
      </c>
      <c r="DW199" s="507">
        <v>1</v>
      </c>
      <c r="DX199" s="509">
        <v>7.9550000000000001</v>
      </c>
      <c r="DY199" s="507">
        <v>2</v>
      </c>
      <c r="DZ199" s="507">
        <v>10</v>
      </c>
      <c r="EA199" s="507">
        <v>0</v>
      </c>
      <c r="EB199" s="507">
        <v>0</v>
      </c>
      <c r="EC199" s="507">
        <v>111.62500000000001</v>
      </c>
      <c r="ED199" s="507">
        <v>102.18750000000001</v>
      </c>
      <c r="EE199" s="507">
        <v>0</v>
      </c>
      <c r="EF199" s="507">
        <v>25.062499999999996</v>
      </c>
      <c r="EG199" s="507">
        <v>29.3125</v>
      </c>
      <c r="EH199" s="507">
        <v>12.8125</v>
      </c>
      <c r="EI199" s="507">
        <v>16.6875</v>
      </c>
      <c r="EJ199" s="507">
        <v>56.4375</v>
      </c>
      <c r="EK199" s="507">
        <v>10.4375</v>
      </c>
      <c r="EL199" s="507">
        <v>10.4375</v>
      </c>
      <c r="EM199" s="508">
        <v>375</v>
      </c>
    </row>
    <row r="200" spans="2:143" x14ac:dyDescent="0.25">
      <c r="B200" s="506" t="str">
        <f>[1]RONET_Input!J171</f>
        <v>214tt00081</v>
      </c>
      <c r="C200" s="359">
        <f>[1]RONET_Input!B171</f>
        <v>169</v>
      </c>
      <c r="D200" s="397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442">
        <f>[1]RONET_Input!K171</f>
        <v>2.0196441996700001</v>
      </c>
      <c r="Q200" s="398">
        <f>[1]RONET_Input!Y171</f>
        <v>1</v>
      </c>
      <c r="R200" s="398">
        <f>[1]RONET_Input!X171</f>
        <v>3.4</v>
      </c>
      <c r="S200" s="398"/>
      <c r="T200" s="398"/>
      <c r="U200" s="398">
        <f>[1]RONET_Input!AA171</f>
        <v>8</v>
      </c>
      <c r="V200" s="398">
        <f>[1]RONET_Input!AC171</f>
        <v>1</v>
      </c>
      <c r="W200" s="398">
        <f>[1]RONET_Input!AD171</f>
        <v>1</v>
      </c>
      <c r="X200" s="398">
        <f>[1]RONET_Input!AE171</f>
        <v>4</v>
      </c>
      <c r="Y200" s="398">
        <f>[1]RONET_Input!AB171</f>
        <v>1</v>
      </c>
      <c r="Z200" s="438">
        <f>[1]RONET_Input!Z171</f>
        <v>1</v>
      </c>
      <c r="AA200" s="442"/>
      <c r="AB200" s="398"/>
      <c r="AC200" s="438"/>
      <c r="AD200" s="442">
        <f>[1]RONET_Input!AH171</f>
        <v>4</v>
      </c>
      <c r="AE200" s="398">
        <f>[1]RONET_Input!D171</f>
        <v>8.8350000000000009</v>
      </c>
      <c r="AF200" s="398"/>
      <c r="AG200" s="398"/>
      <c r="AH200" s="398"/>
      <c r="AI200" s="438"/>
      <c r="AJ200" s="442">
        <v>1</v>
      </c>
      <c r="AK200" s="442">
        <f>[1]RONET_Input!AF171</f>
        <v>4</v>
      </c>
      <c r="AL200" s="507"/>
      <c r="AM200" s="507"/>
      <c r="AN200" s="507"/>
      <c r="AO200" s="507"/>
      <c r="AP200" s="507"/>
      <c r="AQ200" s="507"/>
      <c r="AR200" s="507"/>
      <c r="AS200" s="507"/>
      <c r="AT200" s="507"/>
      <c r="AU200" s="507"/>
      <c r="AV200" s="507"/>
      <c r="AW200" s="507"/>
      <c r="AX200" s="508"/>
      <c r="AY200" s="509">
        <f>[1]RONET_Input!AG171</f>
        <v>3</v>
      </c>
      <c r="AZ200" s="359" t="s">
        <v>321</v>
      </c>
      <c r="BA200" s="360" t="s">
        <v>502</v>
      </c>
      <c r="BB200" s="360" t="s">
        <v>443</v>
      </c>
      <c r="BC200" s="510">
        <v>9.8195100987955405E-2</v>
      </c>
      <c r="BD200" s="510">
        <v>4.8620000000000003E-2</v>
      </c>
      <c r="BE200" s="438">
        <v>5</v>
      </c>
      <c r="BF200" s="511">
        <v>0.94351448294072993</v>
      </c>
      <c r="BG200" s="512">
        <v>0.4671686642107038</v>
      </c>
      <c r="BH200" s="512">
        <v>9.6085698109976097</v>
      </c>
      <c r="BI200" s="513">
        <v>0</v>
      </c>
      <c r="BJ200" s="514">
        <v>375</v>
      </c>
      <c r="BK200" s="515">
        <v>0.22366666666666665</v>
      </c>
      <c r="BL200" s="512">
        <v>0.27643879982983133</v>
      </c>
      <c r="BM200" s="516">
        <v>6.4108143749999999E-2</v>
      </c>
      <c r="BN200" s="517">
        <v>375</v>
      </c>
      <c r="BO200" s="518">
        <v>397.50000000000011</v>
      </c>
      <c r="BP200" s="518">
        <v>421.34999999999991</v>
      </c>
      <c r="BQ200" s="518">
        <v>446.63099999999997</v>
      </c>
      <c r="BR200" s="518">
        <v>473.42885999999999</v>
      </c>
      <c r="BS200" s="518">
        <v>501.83459160000012</v>
      </c>
      <c r="BT200" s="518">
        <v>531.9446670960001</v>
      </c>
      <c r="BU200" s="518">
        <v>563.86134712175999</v>
      </c>
      <c r="BV200" s="518">
        <v>597.69302794906582</v>
      </c>
      <c r="BW200" s="518">
        <v>633.55460962600955</v>
      </c>
      <c r="BX200" s="518">
        <v>671.56788620357008</v>
      </c>
      <c r="BY200" s="518">
        <v>711.86195937578441</v>
      </c>
      <c r="BZ200" s="518">
        <v>754.57367693833146</v>
      </c>
      <c r="CA200" s="518">
        <v>799.84809755463141</v>
      </c>
      <c r="CB200" s="518">
        <v>847.83898340790915</v>
      </c>
      <c r="CC200" s="518">
        <v>898.70932241238381</v>
      </c>
      <c r="CD200" s="518">
        <v>952.63188175712685</v>
      </c>
      <c r="CE200" s="518">
        <v>1009.7897946625544</v>
      </c>
      <c r="CF200" s="518">
        <v>1070.3771823423076</v>
      </c>
      <c r="CG200" s="519">
        <v>1134.5998132828461</v>
      </c>
      <c r="CH200" s="520">
        <v>8.8350000000000009</v>
      </c>
      <c r="CI200" s="521">
        <v>9.0117000000000012</v>
      </c>
      <c r="CJ200" s="521">
        <v>9.1919340000000016</v>
      </c>
      <c r="CK200" s="521">
        <v>9.3757726800000025</v>
      </c>
      <c r="CL200" s="521">
        <v>2.5</v>
      </c>
      <c r="CM200" s="521">
        <v>2.5499999999999998</v>
      </c>
      <c r="CN200" s="521">
        <v>2.601</v>
      </c>
      <c r="CO200" s="521">
        <v>2.6530200000000002</v>
      </c>
      <c r="CP200" s="521">
        <v>2.7060804000000003</v>
      </c>
      <c r="CQ200" s="521">
        <v>2.7602020080000003</v>
      </c>
      <c r="CR200" s="521">
        <v>2.8154060481600003</v>
      </c>
      <c r="CS200" s="521">
        <v>2.8717141691232002</v>
      </c>
      <c r="CT200" s="521">
        <v>2.5</v>
      </c>
      <c r="CU200" s="521">
        <v>2.5499999999999998</v>
      </c>
      <c r="CV200" s="521">
        <v>2.601</v>
      </c>
      <c r="CW200" s="521">
        <v>2.6530200000000002</v>
      </c>
      <c r="CX200" s="521">
        <v>2.7060804000000003</v>
      </c>
      <c r="CY200" s="521">
        <v>2.7602020080000003</v>
      </c>
      <c r="CZ200" s="521">
        <v>2.8154060481600003</v>
      </c>
      <c r="DA200" s="522">
        <v>2.8717141691232002</v>
      </c>
      <c r="DB200" s="523">
        <v>0</v>
      </c>
      <c r="DC200" s="524">
        <v>0</v>
      </c>
      <c r="DD200" s="524">
        <v>0</v>
      </c>
      <c r="DE200" s="524">
        <v>0</v>
      </c>
      <c r="DF200" s="524">
        <v>-5.70489058995996E-2</v>
      </c>
      <c r="DG200" s="524">
        <v>3.5593349761512016E-2</v>
      </c>
      <c r="DH200" s="524">
        <v>3.9210445724942505E-2</v>
      </c>
      <c r="DI200" s="524">
        <v>4.3193462807809724E-2</v>
      </c>
      <c r="DJ200" s="524">
        <v>4.7579309227125721E-2</v>
      </c>
      <c r="DK200" s="524">
        <v>1.3839005451728505</v>
      </c>
      <c r="DL200" s="524">
        <v>6.0498786232920931E-3</v>
      </c>
      <c r="DM200" s="524">
        <v>6.0420964412446487E-3</v>
      </c>
      <c r="DN200" s="524">
        <v>-8.1935254041569039E-2</v>
      </c>
      <c r="DO200" s="524">
        <v>7.5303078366115161E-3</v>
      </c>
      <c r="DP200" s="524">
        <v>7.6338676879524336E-3</v>
      </c>
      <c r="DQ200" s="524">
        <v>7.7316713980356E-3</v>
      </c>
      <c r="DR200" s="524">
        <v>7.8222483356052419E-3</v>
      </c>
      <c r="DS200" s="524">
        <v>0.19271768096215286</v>
      </c>
      <c r="DT200" s="524">
        <v>8.9235716783324648E-3</v>
      </c>
      <c r="DU200" s="525">
        <v>9.1004144570218104E-3</v>
      </c>
      <c r="DV200" s="526">
        <v>3.4</v>
      </c>
      <c r="DW200" s="507">
        <v>1</v>
      </c>
      <c r="DX200" s="509">
        <v>8.8350000000000009</v>
      </c>
      <c r="DY200" s="507">
        <v>2</v>
      </c>
      <c r="DZ200" s="507">
        <v>15</v>
      </c>
      <c r="EA200" s="507">
        <v>0</v>
      </c>
      <c r="EB200" s="507">
        <v>0</v>
      </c>
      <c r="EC200" s="507">
        <v>111.62500000000001</v>
      </c>
      <c r="ED200" s="507">
        <v>102.18750000000001</v>
      </c>
      <c r="EE200" s="507">
        <v>0</v>
      </c>
      <c r="EF200" s="507">
        <v>25.062499999999996</v>
      </c>
      <c r="EG200" s="507">
        <v>29.3125</v>
      </c>
      <c r="EH200" s="507">
        <v>12.8125</v>
      </c>
      <c r="EI200" s="507">
        <v>16.6875</v>
      </c>
      <c r="EJ200" s="507">
        <v>56.4375</v>
      </c>
      <c r="EK200" s="507">
        <v>10.4375</v>
      </c>
      <c r="EL200" s="507">
        <v>10.4375</v>
      </c>
      <c r="EM200" s="508">
        <v>375</v>
      </c>
    </row>
    <row r="201" spans="2:143" x14ac:dyDescent="0.25">
      <c r="B201" s="506" t="str">
        <f>[1]RONET_Input!J172</f>
        <v xml:space="preserve">Input VPROMMS: 214tt00039 (30.0 pct); 214TT00040 (20.0 pct); 212TH00024 (20.0 pct); 214tt00040 (20.0 pct); 212th00024 (10.0 pct); </v>
      </c>
      <c r="C201" s="359">
        <f>[1]RONET_Input!B172</f>
        <v>170</v>
      </c>
      <c r="D201" s="397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442">
        <f>[1]RONET_Input!K172</f>
        <v>6.3215339884800006E-2</v>
      </c>
      <c r="Q201" s="398">
        <f>[1]RONET_Input!Y172</f>
        <v>2</v>
      </c>
      <c r="R201" s="398">
        <f>[1]RONET_Input!X172</f>
        <v>3.5</v>
      </c>
      <c r="S201" s="398"/>
      <c r="T201" s="398"/>
      <c r="U201" s="398">
        <f>[1]RONET_Input!AA172</f>
        <v>8</v>
      </c>
      <c r="V201" s="398">
        <f>[1]RONET_Input!AC172</f>
        <v>1</v>
      </c>
      <c r="W201" s="398">
        <f>[1]RONET_Input!AD172</f>
        <v>1</v>
      </c>
      <c r="X201" s="398">
        <f>[1]RONET_Input!AE172</f>
        <v>4</v>
      </c>
      <c r="Y201" s="398">
        <f>[1]RONET_Input!AB172</f>
        <v>1</v>
      </c>
      <c r="Z201" s="438">
        <f>[1]RONET_Input!Z172</f>
        <v>1</v>
      </c>
      <c r="AA201" s="442"/>
      <c r="AB201" s="398"/>
      <c r="AC201" s="438"/>
      <c r="AD201" s="442">
        <f>[1]RONET_Input!AH172</f>
        <v>4</v>
      </c>
      <c r="AE201" s="398">
        <f>[1]RONET_Input!D172</f>
        <v>8.15</v>
      </c>
      <c r="AF201" s="398"/>
      <c r="AG201" s="398"/>
      <c r="AH201" s="398"/>
      <c r="AI201" s="438"/>
      <c r="AJ201" s="442">
        <v>1</v>
      </c>
      <c r="AK201" s="442">
        <f>[1]RONET_Input!AF172</f>
        <v>4</v>
      </c>
      <c r="AL201" s="507"/>
      <c r="AM201" s="507"/>
      <c r="AN201" s="507"/>
      <c r="AO201" s="507"/>
      <c r="AP201" s="507"/>
      <c r="AQ201" s="507"/>
      <c r="AR201" s="507"/>
      <c r="AS201" s="507"/>
      <c r="AT201" s="507"/>
      <c r="AU201" s="507"/>
      <c r="AV201" s="507"/>
      <c r="AW201" s="507"/>
      <c r="AX201" s="508"/>
      <c r="AY201" s="509">
        <f>[1]RONET_Input!AG172</f>
        <v>3</v>
      </c>
      <c r="AZ201" s="359" t="s">
        <v>321</v>
      </c>
      <c r="BA201" s="360" t="s">
        <v>502</v>
      </c>
      <c r="BB201" s="360" t="s">
        <v>443</v>
      </c>
      <c r="BC201" s="510">
        <v>3.1639277612342405E-3</v>
      </c>
      <c r="BD201" s="510">
        <v>5.0050000000000004E-2</v>
      </c>
      <c r="BE201" s="438">
        <v>5</v>
      </c>
      <c r="BF201" s="511">
        <v>2.7571921379032287E-2</v>
      </c>
      <c r="BG201" s="512">
        <v>0.4361587144714838</v>
      </c>
      <c r="BH201" s="512">
        <v>8.7144598296000755</v>
      </c>
      <c r="BI201" s="513">
        <v>0</v>
      </c>
      <c r="BJ201" s="514">
        <v>375</v>
      </c>
      <c r="BK201" s="515">
        <v>0.22366666666666665</v>
      </c>
      <c r="BL201" s="512">
        <v>8.652599646732E-3</v>
      </c>
      <c r="BM201" s="516">
        <v>3.2054071874999999E-2</v>
      </c>
      <c r="BN201" s="517">
        <v>375</v>
      </c>
      <c r="BO201" s="518">
        <v>397.50000000000011</v>
      </c>
      <c r="BP201" s="518">
        <v>421.34999999999991</v>
      </c>
      <c r="BQ201" s="518">
        <v>446.63099999999997</v>
      </c>
      <c r="BR201" s="518">
        <v>473.42885999999999</v>
      </c>
      <c r="BS201" s="518">
        <v>501.83459160000012</v>
      </c>
      <c r="BT201" s="518">
        <v>531.9446670960001</v>
      </c>
      <c r="BU201" s="518">
        <v>563.86134712175999</v>
      </c>
      <c r="BV201" s="518">
        <v>597.69302794906582</v>
      </c>
      <c r="BW201" s="518">
        <v>633.55460962600955</v>
      </c>
      <c r="BX201" s="518">
        <v>671.56788620357008</v>
      </c>
      <c r="BY201" s="518">
        <v>711.86195937578441</v>
      </c>
      <c r="BZ201" s="518">
        <v>754.57367693833146</v>
      </c>
      <c r="CA201" s="518">
        <v>799.84809755463141</v>
      </c>
      <c r="CB201" s="518">
        <v>847.83898340790915</v>
      </c>
      <c r="CC201" s="518">
        <v>898.70932241238381</v>
      </c>
      <c r="CD201" s="518">
        <v>952.63188175712685</v>
      </c>
      <c r="CE201" s="518">
        <v>1009.7897946625544</v>
      </c>
      <c r="CF201" s="518">
        <v>1070.3771823423076</v>
      </c>
      <c r="CG201" s="519">
        <v>1134.5998132828461</v>
      </c>
      <c r="CH201" s="520">
        <v>8.15</v>
      </c>
      <c r="CI201" s="521">
        <v>8.3130000000000006</v>
      </c>
      <c r="CJ201" s="521">
        <v>8.47926</v>
      </c>
      <c r="CK201" s="521">
        <v>8.6488452000000002</v>
      </c>
      <c r="CL201" s="521">
        <v>2.5</v>
      </c>
      <c r="CM201" s="521">
        <v>2.5499999999999998</v>
      </c>
      <c r="CN201" s="521">
        <v>2.601</v>
      </c>
      <c r="CO201" s="521">
        <v>2.6530200000000002</v>
      </c>
      <c r="CP201" s="521">
        <v>2.7060804000000003</v>
      </c>
      <c r="CQ201" s="521">
        <v>2.7602020080000003</v>
      </c>
      <c r="CR201" s="521">
        <v>2.8154060481600003</v>
      </c>
      <c r="CS201" s="521">
        <v>2.8717141691232002</v>
      </c>
      <c r="CT201" s="521">
        <v>2.5</v>
      </c>
      <c r="CU201" s="521">
        <v>2.5499999999999998</v>
      </c>
      <c r="CV201" s="521">
        <v>2.601</v>
      </c>
      <c r="CW201" s="521">
        <v>2.6530200000000002</v>
      </c>
      <c r="CX201" s="521">
        <v>2.7060804000000003</v>
      </c>
      <c r="CY201" s="521">
        <v>2.7602020080000003</v>
      </c>
      <c r="CZ201" s="521">
        <v>2.8154060481600003</v>
      </c>
      <c r="DA201" s="522">
        <v>2.8717141691232002</v>
      </c>
      <c r="DB201" s="523">
        <v>0</v>
      </c>
      <c r="DC201" s="524">
        <v>0</v>
      </c>
      <c r="DD201" s="524">
        <v>0</v>
      </c>
      <c r="DE201" s="524">
        <v>0</v>
      </c>
      <c r="DF201" s="524">
        <v>-2.0787933900202268E-3</v>
      </c>
      <c r="DG201" s="524">
        <v>8.8405088566687572E-4</v>
      </c>
      <c r="DH201" s="524">
        <v>9.7638014682635034E-4</v>
      </c>
      <c r="DI201" s="524">
        <v>1.0782593863404837E-3</v>
      </c>
      <c r="DJ201" s="524">
        <v>1.1906706150514633E-3</v>
      </c>
      <c r="DK201" s="524">
        <v>4.3140637161761253E-2</v>
      </c>
      <c r="DL201" s="524">
        <v>1.0878221275935698E-5</v>
      </c>
      <c r="DM201" s="524">
        <v>7.8357453733640323E-6</v>
      </c>
      <c r="DN201" s="524">
        <v>-2.8392420660062929E-3</v>
      </c>
      <c r="DO201" s="524">
        <v>3.9701446728619E-5</v>
      </c>
      <c r="DP201" s="524">
        <v>3.9194048190622707E-5</v>
      </c>
      <c r="DQ201" s="524">
        <v>3.8367200135391855E-5</v>
      </c>
      <c r="DR201" s="524">
        <v>3.7172930269932514E-5</v>
      </c>
      <c r="DS201" s="524">
        <v>5.820271415715653E-3</v>
      </c>
      <c r="DT201" s="524">
        <v>6.315623081681529E-5</v>
      </c>
      <c r="DU201" s="525">
        <v>6.4230443250790428E-5</v>
      </c>
      <c r="DV201" s="526">
        <v>3.5</v>
      </c>
      <c r="DW201" s="507">
        <v>1</v>
      </c>
      <c r="DX201" s="509">
        <v>8.15</v>
      </c>
      <c r="DY201" s="507">
        <v>2</v>
      </c>
      <c r="DZ201" s="507">
        <v>15</v>
      </c>
      <c r="EA201" s="507">
        <v>0</v>
      </c>
      <c r="EB201" s="507">
        <v>0</v>
      </c>
      <c r="EC201" s="507">
        <v>111.62500000000001</v>
      </c>
      <c r="ED201" s="507">
        <v>102.18750000000001</v>
      </c>
      <c r="EE201" s="507">
        <v>0</v>
      </c>
      <c r="EF201" s="507">
        <v>25.062499999999996</v>
      </c>
      <c r="EG201" s="507">
        <v>29.3125</v>
      </c>
      <c r="EH201" s="507">
        <v>12.8125</v>
      </c>
      <c r="EI201" s="507">
        <v>16.6875</v>
      </c>
      <c r="EJ201" s="507">
        <v>56.4375</v>
      </c>
      <c r="EK201" s="507">
        <v>10.4375</v>
      </c>
      <c r="EL201" s="507">
        <v>10.4375</v>
      </c>
      <c r="EM201" s="508">
        <v>375</v>
      </c>
    </row>
    <row r="202" spans="2:143" x14ac:dyDescent="0.25">
      <c r="B202" s="506" t="str">
        <f>[1]RONET_Input!J173</f>
        <v xml:space="preserve">Input VPROMMS: 212th00024 (50.0 pct); 212TH00024 (49.0 pct); 214tt00039 (1.0 pct); </v>
      </c>
      <c r="C202" s="359">
        <f>[1]RONET_Input!B173</f>
        <v>171</v>
      </c>
      <c r="D202" s="397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442">
        <f>[1]RONET_Input!K173</f>
        <v>2.5849496424799998</v>
      </c>
      <c r="Q202" s="398">
        <f>[1]RONET_Input!Y173</f>
        <v>2</v>
      </c>
      <c r="R202" s="398">
        <f>[1]RONET_Input!X173</f>
        <v>3.5</v>
      </c>
      <c r="S202" s="398"/>
      <c r="T202" s="398"/>
      <c r="U202" s="398">
        <f>[1]RONET_Input!AA173</f>
        <v>8</v>
      </c>
      <c r="V202" s="398">
        <f>[1]RONET_Input!AC173</f>
        <v>1</v>
      </c>
      <c r="W202" s="398">
        <f>[1]RONET_Input!AD173</f>
        <v>1</v>
      </c>
      <c r="X202" s="398">
        <f>[1]RONET_Input!AE173</f>
        <v>4</v>
      </c>
      <c r="Y202" s="398">
        <f>[1]RONET_Input!AB173</f>
        <v>1</v>
      </c>
      <c r="Z202" s="438">
        <f>[1]RONET_Input!Z173</f>
        <v>1</v>
      </c>
      <c r="AA202" s="442"/>
      <c r="AB202" s="398"/>
      <c r="AC202" s="438"/>
      <c r="AD202" s="442">
        <f>[1]RONET_Input!AH173</f>
        <v>3</v>
      </c>
      <c r="AE202" s="398">
        <f>[1]RONET_Input!D173</f>
        <v>7.31</v>
      </c>
      <c r="AF202" s="398"/>
      <c r="AG202" s="398"/>
      <c r="AH202" s="398"/>
      <c r="AI202" s="438"/>
      <c r="AJ202" s="442">
        <v>1</v>
      </c>
      <c r="AK202" s="442">
        <f>[1]RONET_Input!AF173</f>
        <v>4</v>
      </c>
      <c r="AL202" s="507"/>
      <c r="AM202" s="507"/>
      <c r="AN202" s="507"/>
      <c r="AO202" s="507"/>
      <c r="AP202" s="507"/>
      <c r="AQ202" s="507"/>
      <c r="AR202" s="507"/>
      <c r="AS202" s="507"/>
      <c r="AT202" s="507"/>
      <c r="AU202" s="507"/>
      <c r="AV202" s="507"/>
      <c r="AW202" s="507"/>
      <c r="AX202" s="508"/>
      <c r="AY202" s="509">
        <f>[1]RONET_Input!AG173</f>
        <v>3</v>
      </c>
      <c r="AZ202" s="359" t="s">
        <v>321</v>
      </c>
      <c r="BA202" s="360" t="s">
        <v>502</v>
      </c>
      <c r="BB202" s="360" t="s">
        <v>443</v>
      </c>
      <c r="BC202" s="510">
        <v>0.12937672960612401</v>
      </c>
      <c r="BD202" s="510">
        <v>5.0050000000000004E-2</v>
      </c>
      <c r="BE202" s="438">
        <v>5</v>
      </c>
      <c r="BF202" s="511">
        <v>1.0968828510763655</v>
      </c>
      <c r="BG202" s="512">
        <v>0.42433432088990969</v>
      </c>
      <c r="BH202" s="512">
        <v>8.4782082095886029</v>
      </c>
      <c r="BI202" s="513">
        <v>0</v>
      </c>
      <c r="BJ202" s="514">
        <v>375</v>
      </c>
      <c r="BK202" s="515">
        <v>0.22366666666666665</v>
      </c>
      <c r="BL202" s="512">
        <v>0.35381498231444997</v>
      </c>
      <c r="BM202" s="516">
        <v>3.2054071874999999E-2</v>
      </c>
      <c r="BN202" s="517">
        <v>375</v>
      </c>
      <c r="BO202" s="518">
        <v>397.50000000000011</v>
      </c>
      <c r="BP202" s="518">
        <v>421.34999999999991</v>
      </c>
      <c r="BQ202" s="518">
        <v>446.63099999999997</v>
      </c>
      <c r="BR202" s="518">
        <v>473.42885999999999</v>
      </c>
      <c r="BS202" s="518">
        <v>501.83459160000012</v>
      </c>
      <c r="BT202" s="518">
        <v>531.9446670960001</v>
      </c>
      <c r="BU202" s="518">
        <v>563.86134712175999</v>
      </c>
      <c r="BV202" s="518">
        <v>597.69302794906582</v>
      </c>
      <c r="BW202" s="518">
        <v>633.55460962600955</v>
      </c>
      <c r="BX202" s="518">
        <v>671.56788620357008</v>
      </c>
      <c r="BY202" s="518">
        <v>711.86195937578441</v>
      </c>
      <c r="BZ202" s="518">
        <v>754.57367693833146</v>
      </c>
      <c r="CA202" s="518">
        <v>799.84809755463141</v>
      </c>
      <c r="CB202" s="518">
        <v>847.83898340790915</v>
      </c>
      <c r="CC202" s="518">
        <v>898.70932241238381</v>
      </c>
      <c r="CD202" s="518">
        <v>952.63188175712685</v>
      </c>
      <c r="CE202" s="518">
        <v>1009.7897946625544</v>
      </c>
      <c r="CF202" s="518">
        <v>1070.3771823423076</v>
      </c>
      <c r="CG202" s="519">
        <v>1134.5998132828461</v>
      </c>
      <c r="CH202" s="520">
        <v>7.31</v>
      </c>
      <c r="CI202" s="521">
        <v>7.4561999999999999</v>
      </c>
      <c r="CJ202" s="521">
        <v>7.6053239999999995</v>
      </c>
      <c r="CK202" s="521">
        <v>7.7574304799999991</v>
      </c>
      <c r="CL202" s="521">
        <v>2.5</v>
      </c>
      <c r="CM202" s="521">
        <v>2.5499999999999998</v>
      </c>
      <c r="CN202" s="521">
        <v>2.601</v>
      </c>
      <c r="CO202" s="521">
        <v>2.6530200000000002</v>
      </c>
      <c r="CP202" s="521">
        <v>2.7060804000000003</v>
      </c>
      <c r="CQ202" s="521">
        <v>2.7602020080000003</v>
      </c>
      <c r="CR202" s="521">
        <v>2.8154060481600003</v>
      </c>
      <c r="CS202" s="521">
        <v>2.8717141691232002</v>
      </c>
      <c r="CT202" s="521">
        <v>2.5</v>
      </c>
      <c r="CU202" s="521">
        <v>2.5499999999999998</v>
      </c>
      <c r="CV202" s="521">
        <v>2.601</v>
      </c>
      <c r="CW202" s="521">
        <v>2.6530200000000002</v>
      </c>
      <c r="CX202" s="521">
        <v>2.7060804000000003</v>
      </c>
      <c r="CY202" s="521">
        <v>2.7602020080000003</v>
      </c>
      <c r="CZ202" s="521">
        <v>2.8154060481600003</v>
      </c>
      <c r="DA202" s="522">
        <v>2.8717141691232002</v>
      </c>
      <c r="DB202" s="523">
        <v>0</v>
      </c>
      <c r="DC202" s="524">
        <v>0</v>
      </c>
      <c r="DD202" s="524">
        <v>0</v>
      </c>
      <c r="DE202" s="524">
        <v>0</v>
      </c>
      <c r="DF202" s="524">
        <v>-9.2122006337645501E-2</v>
      </c>
      <c r="DG202" s="524">
        <v>2.829952460346144E-2</v>
      </c>
      <c r="DH202" s="524">
        <v>3.1267170361178098E-2</v>
      </c>
      <c r="DI202" s="524">
        <v>3.4542476230361663E-2</v>
      </c>
      <c r="DJ202" s="524">
        <v>3.8157110163054342E-2</v>
      </c>
      <c r="DK202" s="524">
        <v>1.764071423342422</v>
      </c>
      <c r="DL202" s="524">
        <v>4.4482326994194077E-4</v>
      </c>
      <c r="DM202" s="524">
        <v>3.2041284976647155E-4</v>
      </c>
      <c r="DN202" s="524">
        <v>-0.11609994942385593</v>
      </c>
      <c r="DO202" s="524">
        <v>1.6234388791407928E-3</v>
      </c>
      <c r="DP202" s="524">
        <v>1.6026907557932235E-3</v>
      </c>
      <c r="DQ202" s="524">
        <v>1.5688799657436747E-3</v>
      </c>
      <c r="DR202" s="524">
        <v>1.5200448654756893E-3</v>
      </c>
      <c r="DS202" s="524">
        <v>0.23799774773983778</v>
      </c>
      <c r="DT202" s="524">
        <v>2.5825326031280182E-3</v>
      </c>
      <c r="DU202" s="525">
        <v>2.6264584137336011E-3</v>
      </c>
      <c r="DV202" s="526">
        <v>3.5</v>
      </c>
      <c r="DW202" s="507">
        <v>1</v>
      </c>
      <c r="DX202" s="509">
        <v>7.31</v>
      </c>
      <c r="DY202" s="507">
        <v>2</v>
      </c>
      <c r="DZ202" s="507">
        <v>10</v>
      </c>
      <c r="EA202" s="507">
        <v>0</v>
      </c>
      <c r="EB202" s="507">
        <v>0</v>
      </c>
      <c r="EC202" s="507">
        <v>111.62500000000001</v>
      </c>
      <c r="ED202" s="507">
        <v>102.18750000000001</v>
      </c>
      <c r="EE202" s="507">
        <v>0</v>
      </c>
      <c r="EF202" s="507">
        <v>25.062499999999996</v>
      </c>
      <c r="EG202" s="507">
        <v>29.3125</v>
      </c>
      <c r="EH202" s="507">
        <v>12.8125</v>
      </c>
      <c r="EI202" s="507">
        <v>16.6875</v>
      </c>
      <c r="EJ202" s="507">
        <v>56.4375</v>
      </c>
      <c r="EK202" s="507">
        <v>10.4375</v>
      </c>
      <c r="EL202" s="507">
        <v>10.4375</v>
      </c>
      <c r="EM202" s="508">
        <v>375</v>
      </c>
    </row>
    <row r="203" spans="2:143" x14ac:dyDescent="0.25">
      <c r="B203" s="506" t="str">
        <f>[1]RONET_Input!J174</f>
        <v xml:space="preserve">Input VPROMMS: 214TT00040 (33.74 pct); 214tt00040 (33.13 pct); 214tt00039 (33.13 pct); </v>
      </c>
      <c r="C203" s="359">
        <f>[1]RONET_Input!B174</f>
        <v>172</v>
      </c>
      <c r="D203" s="397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442">
        <f>[1]RONET_Input!K174</f>
        <v>1.85460780852</v>
      </c>
      <c r="Q203" s="398">
        <f>[1]RONET_Input!Y174</f>
        <v>2</v>
      </c>
      <c r="R203" s="398">
        <f>[1]RONET_Input!X174</f>
        <v>3.5</v>
      </c>
      <c r="S203" s="398"/>
      <c r="T203" s="398"/>
      <c r="U203" s="398">
        <f>[1]RONET_Input!AA174</f>
        <v>8</v>
      </c>
      <c r="V203" s="398">
        <f>[1]RONET_Input!AC174</f>
        <v>1</v>
      </c>
      <c r="W203" s="398">
        <f>[1]RONET_Input!AD174</f>
        <v>1</v>
      </c>
      <c r="X203" s="398">
        <f>[1]RONET_Input!AE174</f>
        <v>4</v>
      </c>
      <c r="Y203" s="398">
        <f>[1]RONET_Input!AB174</f>
        <v>1</v>
      </c>
      <c r="Z203" s="438">
        <f>[1]RONET_Input!Z174</f>
        <v>1</v>
      </c>
      <c r="AA203" s="442"/>
      <c r="AB203" s="398"/>
      <c r="AC203" s="438"/>
      <c r="AD203" s="442">
        <f>[1]RONET_Input!AH174</f>
        <v>4</v>
      </c>
      <c r="AE203" s="398">
        <f>[1]RONET_Input!D174</f>
        <v>11.88</v>
      </c>
      <c r="AF203" s="398"/>
      <c r="AG203" s="398"/>
      <c r="AH203" s="398"/>
      <c r="AI203" s="438"/>
      <c r="AJ203" s="442">
        <v>1</v>
      </c>
      <c r="AK203" s="442">
        <f>[1]RONET_Input!AF174</f>
        <v>4</v>
      </c>
      <c r="AL203" s="507"/>
      <c r="AM203" s="507"/>
      <c r="AN203" s="507"/>
      <c r="AO203" s="507"/>
      <c r="AP203" s="507"/>
      <c r="AQ203" s="507"/>
      <c r="AR203" s="507"/>
      <c r="AS203" s="507"/>
      <c r="AT203" s="507"/>
      <c r="AU203" s="507"/>
      <c r="AV203" s="507"/>
      <c r="AW203" s="507"/>
      <c r="AX203" s="508"/>
      <c r="AY203" s="509">
        <f>[1]RONET_Input!AG174</f>
        <v>3</v>
      </c>
      <c r="AZ203" s="359" t="s">
        <v>321</v>
      </c>
      <c r="BA203" s="360" t="s">
        <v>502</v>
      </c>
      <c r="BB203" s="360" t="s">
        <v>443</v>
      </c>
      <c r="BC203" s="510">
        <v>9.2823120816425991E-2</v>
      </c>
      <c r="BD203" s="510">
        <v>5.0049999999999997E-2</v>
      </c>
      <c r="BE203" s="438">
        <v>1</v>
      </c>
      <c r="BF203" s="511">
        <v>1.023270926389549</v>
      </c>
      <c r="BG203" s="512">
        <v>0.55174518390825278</v>
      </c>
      <c r="BH203" s="512">
        <v>11.023879798366689</v>
      </c>
      <c r="BI203" s="513">
        <v>0</v>
      </c>
      <c r="BJ203" s="514">
        <v>375</v>
      </c>
      <c r="BK203" s="515">
        <v>0.22366666666666665</v>
      </c>
      <c r="BL203" s="512">
        <v>0.25384944379117502</v>
      </c>
      <c r="BM203" s="516">
        <v>3.2054071874999999E-2</v>
      </c>
      <c r="BN203" s="517">
        <v>375</v>
      </c>
      <c r="BO203" s="518">
        <v>397.50000000000011</v>
      </c>
      <c r="BP203" s="518">
        <v>421.34999999999991</v>
      </c>
      <c r="BQ203" s="518">
        <v>446.63099999999997</v>
      </c>
      <c r="BR203" s="518">
        <v>473.42885999999999</v>
      </c>
      <c r="BS203" s="518">
        <v>501.83459160000012</v>
      </c>
      <c r="BT203" s="518">
        <v>531.9446670960001</v>
      </c>
      <c r="BU203" s="518">
        <v>563.86134712175999</v>
      </c>
      <c r="BV203" s="518">
        <v>597.69302794906582</v>
      </c>
      <c r="BW203" s="518">
        <v>633.55460962600955</v>
      </c>
      <c r="BX203" s="518">
        <v>671.56788620357008</v>
      </c>
      <c r="BY203" s="518">
        <v>711.86195937578441</v>
      </c>
      <c r="BZ203" s="518">
        <v>754.57367693833146</v>
      </c>
      <c r="CA203" s="518">
        <v>799.84809755463141</v>
      </c>
      <c r="CB203" s="518">
        <v>847.83898340790915</v>
      </c>
      <c r="CC203" s="518">
        <v>898.70932241238381</v>
      </c>
      <c r="CD203" s="518">
        <v>952.63188175712685</v>
      </c>
      <c r="CE203" s="518">
        <v>1009.7897946625544</v>
      </c>
      <c r="CF203" s="518">
        <v>1070.3771823423076</v>
      </c>
      <c r="CG203" s="519">
        <v>1134.5998132828461</v>
      </c>
      <c r="CH203" s="520">
        <v>2.5</v>
      </c>
      <c r="CI203" s="521">
        <v>2.5499999999999998</v>
      </c>
      <c r="CJ203" s="521">
        <v>2.601</v>
      </c>
      <c r="CK203" s="521">
        <v>2.6530200000000002</v>
      </c>
      <c r="CL203" s="521">
        <v>2.7060804000000003</v>
      </c>
      <c r="CM203" s="521">
        <v>2.7602020080000003</v>
      </c>
      <c r="CN203" s="521">
        <v>2.8154060481600003</v>
      </c>
      <c r="CO203" s="521">
        <v>2.8717141691232002</v>
      </c>
      <c r="CP203" s="521">
        <v>2.5</v>
      </c>
      <c r="CQ203" s="521">
        <v>2.5499999999999998</v>
      </c>
      <c r="CR203" s="521">
        <v>2.601</v>
      </c>
      <c r="CS203" s="521">
        <v>2.6530200000000002</v>
      </c>
      <c r="CT203" s="521">
        <v>2.7060804000000003</v>
      </c>
      <c r="CU203" s="521">
        <v>2.7602020080000003</v>
      </c>
      <c r="CV203" s="521">
        <v>2.8154060481600003</v>
      </c>
      <c r="CW203" s="521">
        <v>2.8717141691232002</v>
      </c>
      <c r="CX203" s="521">
        <v>2.5</v>
      </c>
      <c r="CY203" s="521">
        <v>2.5499999999999998</v>
      </c>
      <c r="CZ203" s="521">
        <v>2.601</v>
      </c>
      <c r="DA203" s="522">
        <v>2.6530200000000002</v>
      </c>
      <c r="DB203" s="523">
        <v>-4.9053398652199903E-2</v>
      </c>
      <c r="DC203" s="524">
        <v>3.9082658548997812E-2</v>
      </c>
      <c r="DD203" s="524">
        <v>4.3125436016885565E-2</v>
      </c>
      <c r="DE203" s="524">
        <v>4.7581633580779964E-2</v>
      </c>
      <c r="DF203" s="524">
        <v>5.2492400090449004E-2</v>
      </c>
      <c r="DG203" s="524">
        <v>5.7902594724048156E-2</v>
      </c>
      <c r="DH203" s="524">
        <v>6.3860985328113712E-2</v>
      </c>
      <c r="DI203" s="524">
        <v>7.0420407511100153E-2</v>
      </c>
      <c r="DJ203" s="524">
        <v>-6.0015995036377667E-3</v>
      </c>
      <c r="DK203" s="524">
        <v>1.2660746472781592</v>
      </c>
      <c r="DL203" s="524">
        <v>7.8335227103942806E-4</v>
      </c>
      <c r="DM203" s="524">
        <v>7.461623181363175E-4</v>
      </c>
      <c r="DN203" s="524">
        <v>6.9820996838859672E-4</v>
      </c>
      <c r="DO203" s="524">
        <v>6.3799008695442083E-4</v>
      </c>
      <c r="DP203" s="524">
        <v>5.6382111517100375E-4</v>
      </c>
      <c r="DQ203" s="524">
        <v>4.7382589568711886E-4</v>
      </c>
      <c r="DR203" s="524">
        <v>-8.2780909196894237E-2</v>
      </c>
      <c r="DS203" s="524">
        <v>0.1714198030434636</v>
      </c>
      <c r="DT203" s="524">
        <v>2.5927501789933527E-3</v>
      </c>
      <c r="DU203" s="525">
        <v>2.7072570603976498E-3</v>
      </c>
      <c r="DV203" s="526">
        <v>3.5</v>
      </c>
      <c r="DW203" s="507">
        <v>1</v>
      </c>
      <c r="DX203" s="509">
        <v>11.88</v>
      </c>
      <c r="DY203" s="507">
        <v>2</v>
      </c>
      <c r="DZ203" s="507">
        <v>15</v>
      </c>
      <c r="EA203" s="507">
        <v>0</v>
      </c>
      <c r="EB203" s="507">
        <v>0</v>
      </c>
      <c r="EC203" s="507">
        <v>111.62500000000001</v>
      </c>
      <c r="ED203" s="507">
        <v>102.18750000000001</v>
      </c>
      <c r="EE203" s="507">
        <v>0</v>
      </c>
      <c r="EF203" s="507">
        <v>25.062499999999996</v>
      </c>
      <c r="EG203" s="507">
        <v>29.3125</v>
      </c>
      <c r="EH203" s="507">
        <v>12.8125</v>
      </c>
      <c r="EI203" s="507">
        <v>16.6875</v>
      </c>
      <c r="EJ203" s="507">
        <v>56.4375</v>
      </c>
      <c r="EK203" s="507">
        <v>10.4375</v>
      </c>
      <c r="EL203" s="507">
        <v>10.4375</v>
      </c>
      <c r="EM203" s="508">
        <v>375</v>
      </c>
    </row>
    <row r="204" spans="2:143" x14ac:dyDescent="0.25">
      <c r="B204" s="506" t="str">
        <f>[1]RONET_Input!J175</f>
        <v xml:space="preserve">Input VPROMMS: 214tt00040 (52.0 pct); 214tt00039 (48.0 pct); </v>
      </c>
      <c r="C204" s="359">
        <f>[1]RONET_Input!B175</f>
        <v>173</v>
      </c>
      <c r="D204" s="397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442">
        <f>[1]RONET_Input!K175</f>
        <v>0.87271679982299999</v>
      </c>
      <c r="Q204" s="398">
        <f>[1]RONET_Input!Y175</f>
        <v>2</v>
      </c>
      <c r="R204" s="398">
        <f>[1]RONET_Input!X175</f>
        <v>3.5</v>
      </c>
      <c r="S204" s="398"/>
      <c r="T204" s="398"/>
      <c r="U204" s="398">
        <f>[1]RONET_Input!AA175</f>
        <v>8</v>
      </c>
      <c r="V204" s="398">
        <f>[1]RONET_Input!AC175</f>
        <v>1</v>
      </c>
      <c r="W204" s="398">
        <f>[1]RONET_Input!AD175</f>
        <v>1</v>
      </c>
      <c r="X204" s="398">
        <f>[1]RONET_Input!AE175</f>
        <v>4</v>
      </c>
      <c r="Y204" s="398">
        <f>[1]RONET_Input!AB175</f>
        <v>1</v>
      </c>
      <c r="Z204" s="438">
        <f>[1]RONET_Input!Z175</f>
        <v>1</v>
      </c>
      <c r="AA204" s="442"/>
      <c r="AB204" s="398"/>
      <c r="AC204" s="438"/>
      <c r="AD204" s="442">
        <f>[1]RONET_Input!AH175</f>
        <v>5</v>
      </c>
      <c r="AE204" s="398">
        <f>[1]RONET_Input!D175</f>
        <v>12.605</v>
      </c>
      <c r="AF204" s="398"/>
      <c r="AG204" s="398"/>
      <c r="AH204" s="398"/>
      <c r="AI204" s="438"/>
      <c r="AJ204" s="442">
        <v>1</v>
      </c>
      <c r="AK204" s="442">
        <f>[1]RONET_Input!AF175</f>
        <v>4</v>
      </c>
      <c r="AL204" s="507"/>
      <c r="AM204" s="507"/>
      <c r="AN204" s="507"/>
      <c r="AO204" s="507"/>
      <c r="AP204" s="507"/>
      <c r="AQ204" s="507"/>
      <c r="AR204" s="507"/>
      <c r="AS204" s="507"/>
      <c r="AT204" s="507"/>
      <c r="AU204" s="507"/>
      <c r="AV204" s="507"/>
      <c r="AW204" s="507"/>
      <c r="AX204" s="508"/>
      <c r="AY204" s="509">
        <f>[1]RONET_Input!AG175</f>
        <v>3</v>
      </c>
      <c r="AZ204" s="359" t="s">
        <v>321</v>
      </c>
      <c r="BA204" s="360" t="s">
        <v>502</v>
      </c>
      <c r="BB204" s="360" t="s">
        <v>443</v>
      </c>
      <c r="BC204" s="510">
        <v>4.3679475831141151E-2</v>
      </c>
      <c r="BD204" s="510">
        <v>5.0050000000000004E-2</v>
      </c>
      <c r="BE204" s="438">
        <v>1</v>
      </c>
      <c r="BF204" s="511">
        <v>0.50462122462845616</v>
      </c>
      <c r="BG204" s="512">
        <v>0.57821875862914618</v>
      </c>
      <c r="BH204" s="512">
        <v>11.552822350232692</v>
      </c>
      <c r="BI204" s="513">
        <v>0</v>
      </c>
      <c r="BJ204" s="514">
        <v>375</v>
      </c>
      <c r="BK204" s="515">
        <v>0.22366666666666665</v>
      </c>
      <c r="BL204" s="512">
        <v>0.11945311197577313</v>
      </c>
      <c r="BM204" s="516">
        <v>3.2054071874999999E-2</v>
      </c>
      <c r="BN204" s="517">
        <v>375</v>
      </c>
      <c r="BO204" s="518">
        <v>397.50000000000011</v>
      </c>
      <c r="BP204" s="518">
        <v>421.34999999999991</v>
      </c>
      <c r="BQ204" s="518">
        <v>446.63099999999997</v>
      </c>
      <c r="BR204" s="518">
        <v>473.42885999999999</v>
      </c>
      <c r="BS204" s="518">
        <v>501.83459160000012</v>
      </c>
      <c r="BT204" s="518">
        <v>531.9446670960001</v>
      </c>
      <c r="BU204" s="518">
        <v>563.86134712175999</v>
      </c>
      <c r="BV204" s="518">
        <v>597.69302794906582</v>
      </c>
      <c r="BW204" s="518">
        <v>633.55460962600955</v>
      </c>
      <c r="BX204" s="518">
        <v>671.56788620357008</v>
      </c>
      <c r="BY204" s="518">
        <v>711.86195937578441</v>
      </c>
      <c r="BZ204" s="518">
        <v>754.57367693833146</v>
      </c>
      <c r="CA204" s="518">
        <v>799.84809755463141</v>
      </c>
      <c r="CB204" s="518">
        <v>847.83898340790915</v>
      </c>
      <c r="CC204" s="518">
        <v>898.70932241238381</v>
      </c>
      <c r="CD204" s="518">
        <v>952.63188175712685</v>
      </c>
      <c r="CE204" s="518">
        <v>1009.7897946625544</v>
      </c>
      <c r="CF204" s="518">
        <v>1070.3771823423076</v>
      </c>
      <c r="CG204" s="519">
        <v>1134.5998132828461</v>
      </c>
      <c r="CH204" s="520">
        <v>2.5</v>
      </c>
      <c r="CI204" s="521">
        <v>2.5499999999999998</v>
      </c>
      <c r="CJ204" s="521">
        <v>2.601</v>
      </c>
      <c r="CK204" s="521">
        <v>2.6530200000000002</v>
      </c>
      <c r="CL204" s="521">
        <v>2.7060804000000003</v>
      </c>
      <c r="CM204" s="521">
        <v>2.7602020080000003</v>
      </c>
      <c r="CN204" s="521">
        <v>2.8154060481600003</v>
      </c>
      <c r="CO204" s="521">
        <v>2.8717141691232002</v>
      </c>
      <c r="CP204" s="521">
        <v>2.5</v>
      </c>
      <c r="CQ204" s="521">
        <v>2.5499999999999998</v>
      </c>
      <c r="CR204" s="521">
        <v>2.601</v>
      </c>
      <c r="CS204" s="521">
        <v>2.6530200000000002</v>
      </c>
      <c r="CT204" s="521">
        <v>2.7060804000000003</v>
      </c>
      <c r="CU204" s="521">
        <v>2.7602020080000003</v>
      </c>
      <c r="CV204" s="521">
        <v>2.8154060481600003</v>
      </c>
      <c r="CW204" s="521">
        <v>2.8717141691232002</v>
      </c>
      <c r="CX204" s="521">
        <v>2.5</v>
      </c>
      <c r="CY204" s="521">
        <v>2.5499999999999998</v>
      </c>
      <c r="CZ204" s="521">
        <v>2.601</v>
      </c>
      <c r="DA204" s="522">
        <v>2.6530200000000002</v>
      </c>
      <c r="DB204" s="523">
        <v>-2.0874736323735349E-2</v>
      </c>
      <c r="DC204" s="524">
        <v>2.0822298929668387E-2</v>
      </c>
      <c r="DD204" s="524">
        <v>2.2969271163394978E-2</v>
      </c>
      <c r="DE204" s="524">
        <v>2.5333873869842344E-2</v>
      </c>
      <c r="DF204" s="524">
        <v>2.793709619488724E-2</v>
      </c>
      <c r="DG204" s="524">
        <v>3.0801586263175057E-2</v>
      </c>
      <c r="DH204" s="524">
        <v>3.3951656840239902E-2</v>
      </c>
      <c r="DI204" s="524">
        <v>3.7413242641991529E-2</v>
      </c>
      <c r="DJ204" s="524">
        <v>1.8558410472011289E-3</v>
      </c>
      <c r="DK204" s="524">
        <v>0.59577265308257943</v>
      </c>
      <c r="DL204" s="524">
        <v>3.6861954531572372E-4</v>
      </c>
      <c r="DM204" s="524">
        <v>3.5111918942694331E-4</v>
      </c>
      <c r="DN204" s="524">
        <v>3.2855440725383656E-4</v>
      </c>
      <c r="DO204" s="524">
        <v>3.0021693236048641E-4</v>
      </c>
      <c r="DP204" s="524">
        <v>2.6531547912403419E-4</v>
      </c>
      <c r="DQ204" s="524">
        <v>2.2296671967930726E-4</v>
      </c>
      <c r="DR204" s="524">
        <v>-3.8953944779518523E-2</v>
      </c>
      <c r="DS204" s="524">
        <v>8.0664462454605929E-2</v>
      </c>
      <c r="DT204" s="524">
        <v>1.220062068409633E-3</v>
      </c>
      <c r="DU204" s="525">
        <v>1.2739452013490471E-3</v>
      </c>
      <c r="DV204" s="526">
        <v>3.5</v>
      </c>
      <c r="DW204" s="507">
        <v>1</v>
      </c>
      <c r="DX204" s="509">
        <v>12.605</v>
      </c>
      <c r="DY204" s="507">
        <v>2</v>
      </c>
      <c r="DZ204" s="507">
        <v>20</v>
      </c>
      <c r="EA204" s="507">
        <v>0</v>
      </c>
      <c r="EB204" s="507">
        <v>0</v>
      </c>
      <c r="EC204" s="507">
        <v>111.62500000000001</v>
      </c>
      <c r="ED204" s="507">
        <v>102.18750000000001</v>
      </c>
      <c r="EE204" s="507">
        <v>0</v>
      </c>
      <c r="EF204" s="507">
        <v>25.062499999999996</v>
      </c>
      <c r="EG204" s="507">
        <v>29.3125</v>
      </c>
      <c r="EH204" s="507">
        <v>12.8125</v>
      </c>
      <c r="EI204" s="507">
        <v>16.6875</v>
      </c>
      <c r="EJ204" s="507">
        <v>56.4375</v>
      </c>
      <c r="EK204" s="507">
        <v>10.4375</v>
      </c>
      <c r="EL204" s="507">
        <v>10.4375</v>
      </c>
      <c r="EM204" s="508">
        <v>375</v>
      </c>
    </row>
    <row r="205" spans="2:143" x14ac:dyDescent="0.25">
      <c r="B205" s="506" t="str">
        <f>[1]RONET_Input!J176</f>
        <v>214tt00032</v>
      </c>
      <c r="C205" s="359">
        <f>[1]RONET_Input!B176</f>
        <v>174</v>
      </c>
      <c r="D205" s="397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442">
        <f>[1]RONET_Input!K176</f>
        <v>2.4315525456299998</v>
      </c>
      <c r="Q205" s="398">
        <f>[1]RONET_Input!Y176</f>
        <v>1</v>
      </c>
      <c r="R205" s="398">
        <f>[1]RONET_Input!X176</f>
        <v>3.4</v>
      </c>
      <c r="S205" s="398"/>
      <c r="T205" s="398"/>
      <c r="U205" s="398">
        <f>[1]RONET_Input!AA176</f>
        <v>8</v>
      </c>
      <c r="V205" s="398">
        <f>[1]RONET_Input!AC176</f>
        <v>1</v>
      </c>
      <c r="W205" s="398">
        <f>[1]RONET_Input!AD176</f>
        <v>1</v>
      </c>
      <c r="X205" s="398">
        <f>[1]RONET_Input!AE176</f>
        <v>4</v>
      </c>
      <c r="Y205" s="398">
        <f>[1]RONET_Input!AB176</f>
        <v>1</v>
      </c>
      <c r="Z205" s="438">
        <f>[1]RONET_Input!Z176</f>
        <v>1</v>
      </c>
      <c r="AA205" s="442"/>
      <c r="AB205" s="398"/>
      <c r="AC205" s="438"/>
      <c r="AD205" s="442">
        <f>[1]RONET_Input!AH176</f>
        <v>3</v>
      </c>
      <c r="AE205" s="398">
        <f>[1]RONET_Input!D176</f>
        <v>7.11</v>
      </c>
      <c r="AF205" s="398"/>
      <c r="AG205" s="398"/>
      <c r="AH205" s="398"/>
      <c r="AI205" s="438"/>
      <c r="AJ205" s="442">
        <v>1</v>
      </c>
      <c r="AK205" s="442">
        <f>[1]RONET_Input!AF176</f>
        <v>4</v>
      </c>
      <c r="AL205" s="507"/>
      <c r="AM205" s="507"/>
      <c r="AN205" s="507"/>
      <c r="AO205" s="507"/>
      <c r="AP205" s="507"/>
      <c r="AQ205" s="507"/>
      <c r="AR205" s="507"/>
      <c r="AS205" s="507"/>
      <c r="AT205" s="507"/>
      <c r="AU205" s="507"/>
      <c r="AV205" s="507"/>
      <c r="AW205" s="507"/>
      <c r="AX205" s="508"/>
      <c r="AY205" s="509">
        <f>[1]RONET_Input!AG176</f>
        <v>3</v>
      </c>
      <c r="AZ205" s="359" t="s">
        <v>321</v>
      </c>
      <c r="BA205" s="360" t="s">
        <v>502</v>
      </c>
      <c r="BB205" s="360" t="s">
        <v>443</v>
      </c>
      <c r="BC205" s="510">
        <v>0.11822208476853059</v>
      </c>
      <c r="BD205" s="510">
        <v>4.8620000000000003E-2</v>
      </c>
      <c r="BE205" s="438">
        <v>5</v>
      </c>
      <c r="BF205" s="511">
        <v>1.0740501796227078</v>
      </c>
      <c r="BG205" s="512">
        <v>0.44171374439470656</v>
      </c>
      <c r="BH205" s="512">
        <v>9.0850214807631957</v>
      </c>
      <c r="BI205" s="513">
        <v>0</v>
      </c>
      <c r="BJ205" s="514">
        <v>375</v>
      </c>
      <c r="BK205" s="515">
        <v>0.22366666666666665</v>
      </c>
      <c r="BL205" s="512">
        <v>0.33281875468310618</v>
      </c>
      <c r="BM205" s="516">
        <v>6.4108143749999999E-2</v>
      </c>
      <c r="BN205" s="517">
        <v>375</v>
      </c>
      <c r="BO205" s="518">
        <v>397.50000000000011</v>
      </c>
      <c r="BP205" s="518">
        <v>421.34999999999991</v>
      </c>
      <c r="BQ205" s="518">
        <v>446.63099999999997</v>
      </c>
      <c r="BR205" s="518">
        <v>473.42885999999999</v>
      </c>
      <c r="BS205" s="518">
        <v>501.83459160000012</v>
      </c>
      <c r="BT205" s="518">
        <v>531.9446670960001</v>
      </c>
      <c r="BU205" s="518">
        <v>563.86134712175999</v>
      </c>
      <c r="BV205" s="518">
        <v>597.69302794906582</v>
      </c>
      <c r="BW205" s="518">
        <v>633.55460962600955</v>
      </c>
      <c r="BX205" s="518">
        <v>671.56788620357008</v>
      </c>
      <c r="BY205" s="518">
        <v>711.86195937578441</v>
      </c>
      <c r="BZ205" s="518">
        <v>754.57367693833146</v>
      </c>
      <c r="CA205" s="518">
        <v>799.84809755463141</v>
      </c>
      <c r="CB205" s="518">
        <v>847.83898340790915</v>
      </c>
      <c r="CC205" s="518">
        <v>898.70932241238381</v>
      </c>
      <c r="CD205" s="518">
        <v>952.63188175712685</v>
      </c>
      <c r="CE205" s="518">
        <v>1009.7897946625544</v>
      </c>
      <c r="CF205" s="518">
        <v>1070.3771823423076</v>
      </c>
      <c r="CG205" s="519">
        <v>1134.5998132828461</v>
      </c>
      <c r="CH205" s="520">
        <v>7.11</v>
      </c>
      <c r="CI205" s="521">
        <v>7.2522000000000002</v>
      </c>
      <c r="CJ205" s="521">
        <v>7.3972440000000006</v>
      </c>
      <c r="CK205" s="521">
        <v>7.5451888800000004</v>
      </c>
      <c r="CL205" s="521">
        <v>2.5</v>
      </c>
      <c r="CM205" s="521">
        <v>2.5499999999999998</v>
      </c>
      <c r="CN205" s="521">
        <v>2.601</v>
      </c>
      <c r="CO205" s="521">
        <v>2.6530200000000002</v>
      </c>
      <c r="CP205" s="521">
        <v>2.7060804000000003</v>
      </c>
      <c r="CQ205" s="521">
        <v>2.7602020080000003</v>
      </c>
      <c r="CR205" s="521">
        <v>2.8154060481600003</v>
      </c>
      <c r="CS205" s="521">
        <v>2.8717141691232002</v>
      </c>
      <c r="CT205" s="521">
        <v>2.5</v>
      </c>
      <c r="CU205" s="521">
        <v>2.5499999999999998</v>
      </c>
      <c r="CV205" s="521">
        <v>2.601</v>
      </c>
      <c r="CW205" s="521">
        <v>2.6530200000000002</v>
      </c>
      <c r="CX205" s="521">
        <v>2.7060804000000003</v>
      </c>
      <c r="CY205" s="521">
        <v>2.7602020080000003</v>
      </c>
      <c r="CZ205" s="521">
        <v>2.8154060481600003</v>
      </c>
      <c r="DA205" s="522">
        <v>2.8717141691232002</v>
      </c>
      <c r="DB205" s="523">
        <v>0</v>
      </c>
      <c r="DC205" s="524">
        <v>0</v>
      </c>
      <c r="DD205" s="524">
        <v>0</v>
      </c>
      <c r="DE205" s="524">
        <v>0</v>
      </c>
      <c r="DF205" s="524">
        <v>-8.3151172507281768E-2</v>
      </c>
      <c r="DG205" s="524">
        <v>2.6925320462020119E-2</v>
      </c>
      <c r="DH205" s="524">
        <v>2.9672642138374256E-2</v>
      </c>
      <c r="DI205" s="524">
        <v>3.2698428298899879E-2</v>
      </c>
      <c r="DJ205" s="524">
        <v>3.6030792837119213E-2</v>
      </c>
      <c r="DK205" s="524">
        <v>1.6661483711158718</v>
      </c>
      <c r="DL205" s="524">
        <v>7.2837570942555496E-3</v>
      </c>
      <c r="DM205" s="524">
        <v>7.2743877288143355E-3</v>
      </c>
      <c r="DN205" s="524">
        <v>-9.8646026648739005E-2</v>
      </c>
      <c r="DO205" s="524">
        <v>9.066121246743386E-3</v>
      </c>
      <c r="DP205" s="524">
        <v>9.1908022277767398E-3</v>
      </c>
      <c r="DQ205" s="524">
        <v>9.3085530970949404E-3</v>
      </c>
      <c r="DR205" s="524">
        <v>9.4176032868059645E-3</v>
      </c>
      <c r="DS205" s="524">
        <v>0.23202263438678966</v>
      </c>
      <c r="DT205" s="524">
        <v>1.0743542567600017E-2</v>
      </c>
      <c r="DU205" s="525">
        <v>1.0956452598371191E-2</v>
      </c>
      <c r="DV205" s="526">
        <v>3.4</v>
      </c>
      <c r="DW205" s="507">
        <v>1</v>
      </c>
      <c r="DX205" s="509">
        <v>7.11</v>
      </c>
      <c r="DY205" s="507">
        <v>2</v>
      </c>
      <c r="DZ205" s="507">
        <v>10</v>
      </c>
      <c r="EA205" s="507">
        <v>0</v>
      </c>
      <c r="EB205" s="507">
        <v>0</v>
      </c>
      <c r="EC205" s="507">
        <v>111.62500000000001</v>
      </c>
      <c r="ED205" s="507">
        <v>102.18750000000001</v>
      </c>
      <c r="EE205" s="507">
        <v>0</v>
      </c>
      <c r="EF205" s="507">
        <v>25.062499999999996</v>
      </c>
      <c r="EG205" s="507">
        <v>29.3125</v>
      </c>
      <c r="EH205" s="507">
        <v>12.8125</v>
      </c>
      <c r="EI205" s="507">
        <v>16.6875</v>
      </c>
      <c r="EJ205" s="507">
        <v>56.4375</v>
      </c>
      <c r="EK205" s="507">
        <v>10.4375</v>
      </c>
      <c r="EL205" s="507">
        <v>10.4375</v>
      </c>
      <c r="EM205" s="508">
        <v>375</v>
      </c>
    </row>
    <row r="206" spans="2:143" x14ac:dyDescent="0.25">
      <c r="B206" s="506" t="str">
        <f>[1]RONET_Input!J177</f>
        <v>214tt00032</v>
      </c>
      <c r="C206" s="359">
        <f>[1]RONET_Input!B177</f>
        <v>175</v>
      </c>
      <c r="D206" s="397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442">
        <f>[1]RONET_Input!K177</f>
        <v>0.68052414162699992</v>
      </c>
      <c r="Q206" s="398">
        <f>[1]RONET_Input!Y177</f>
        <v>1</v>
      </c>
      <c r="R206" s="398">
        <f>[1]RONET_Input!X177</f>
        <v>3.4</v>
      </c>
      <c r="S206" s="398"/>
      <c r="T206" s="398"/>
      <c r="U206" s="398">
        <f>[1]RONET_Input!AA177</f>
        <v>8</v>
      </c>
      <c r="V206" s="398">
        <f>[1]RONET_Input!AC177</f>
        <v>1</v>
      </c>
      <c r="W206" s="398">
        <f>[1]RONET_Input!AD177</f>
        <v>1</v>
      </c>
      <c r="X206" s="398">
        <f>[1]RONET_Input!AE177</f>
        <v>4</v>
      </c>
      <c r="Y206" s="398">
        <f>[1]RONET_Input!AB177</f>
        <v>1</v>
      </c>
      <c r="Z206" s="438">
        <f>[1]RONET_Input!Z177</f>
        <v>1</v>
      </c>
      <c r="AA206" s="442"/>
      <c r="AB206" s="398"/>
      <c r="AC206" s="438"/>
      <c r="AD206" s="442">
        <f>[1]RONET_Input!AH177</f>
        <v>2</v>
      </c>
      <c r="AE206" s="398">
        <f>[1]RONET_Input!D177</f>
        <v>5.91</v>
      </c>
      <c r="AF206" s="398"/>
      <c r="AG206" s="398"/>
      <c r="AH206" s="398"/>
      <c r="AI206" s="438"/>
      <c r="AJ206" s="442">
        <v>1</v>
      </c>
      <c r="AK206" s="442">
        <f>[1]RONET_Input!AF177</f>
        <v>4</v>
      </c>
      <c r="AL206" s="507"/>
      <c r="AM206" s="507"/>
      <c r="AN206" s="507"/>
      <c r="AO206" s="507"/>
      <c r="AP206" s="507"/>
      <c r="AQ206" s="507"/>
      <c r="AR206" s="507"/>
      <c r="AS206" s="507"/>
      <c r="AT206" s="507"/>
      <c r="AU206" s="507"/>
      <c r="AV206" s="507"/>
      <c r="AW206" s="507"/>
      <c r="AX206" s="508"/>
      <c r="AY206" s="509">
        <f>[1]RONET_Input!AG177</f>
        <v>3</v>
      </c>
      <c r="AZ206" s="359" t="s">
        <v>321</v>
      </c>
      <c r="BA206" s="360" t="s">
        <v>502</v>
      </c>
      <c r="BB206" s="360" t="s">
        <v>443</v>
      </c>
      <c r="BC206" s="510">
        <v>3.3087083765904739E-2</v>
      </c>
      <c r="BD206" s="510">
        <v>4.8620000000000003E-2</v>
      </c>
      <c r="BE206" s="438">
        <v>5</v>
      </c>
      <c r="BF206" s="511">
        <v>0.29058704173282923</v>
      </c>
      <c r="BG206" s="512">
        <v>0.42700475112917013</v>
      </c>
      <c r="BH206" s="512">
        <v>8.7824917961573448</v>
      </c>
      <c r="BI206" s="513">
        <v>0</v>
      </c>
      <c r="BJ206" s="514">
        <v>375</v>
      </c>
      <c r="BK206" s="515">
        <v>0.22366666666666665</v>
      </c>
      <c r="BL206" s="512">
        <v>9.3146741885195616E-2</v>
      </c>
      <c r="BM206" s="516">
        <v>6.4108143749999999E-2</v>
      </c>
      <c r="BN206" s="517">
        <v>375</v>
      </c>
      <c r="BO206" s="518">
        <v>397.50000000000011</v>
      </c>
      <c r="BP206" s="518">
        <v>421.34999999999991</v>
      </c>
      <c r="BQ206" s="518">
        <v>446.63099999999997</v>
      </c>
      <c r="BR206" s="518">
        <v>473.42885999999999</v>
      </c>
      <c r="BS206" s="518">
        <v>501.83459160000012</v>
      </c>
      <c r="BT206" s="518">
        <v>531.9446670960001</v>
      </c>
      <c r="BU206" s="518">
        <v>563.86134712175999</v>
      </c>
      <c r="BV206" s="518">
        <v>597.69302794906582</v>
      </c>
      <c r="BW206" s="518">
        <v>633.55460962600955</v>
      </c>
      <c r="BX206" s="518">
        <v>671.56788620357008</v>
      </c>
      <c r="BY206" s="518">
        <v>711.86195937578441</v>
      </c>
      <c r="BZ206" s="518">
        <v>754.57367693833146</v>
      </c>
      <c r="CA206" s="518">
        <v>799.84809755463141</v>
      </c>
      <c r="CB206" s="518">
        <v>847.83898340790915</v>
      </c>
      <c r="CC206" s="518">
        <v>898.70932241238381</v>
      </c>
      <c r="CD206" s="518">
        <v>952.63188175712685</v>
      </c>
      <c r="CE206" s="518">
        <v>1009.7897946625544</v>
      </c>
      <c r="CF206" s="518">
        <v>1070.3771823423076</v>
      </c>
      <c r="CG206" s="519">
        <v>1134.5998132828461</v>
      </c>
      <c r="CH206" s="520">
        <v>5.91</v>
      </c>
      <c r="CI206" s="521">
        <v>6.0282</v>
      </c>
      <c r="CJ206" s="521">
        <v>6.1487639999999999</v>
      </c>
      <c r="CK206" s="521">
        <v>6.2717392800000002</v>
      </c>
      <c r="CL206" s="521">
        <v>2.5</v>
      </c>
      <c r="CM206" s="521">
        <v>2.5499999999999998</v>
      </c>
      <c r="CN206" s="521">
        <v>2.601</v>
      </c>
      <c r="CO206" s="521">
        <v>2.6530200000000002</v>
      </c>
      <c r="CP206" s="521">
        <v>2.7060804000000003</v>
      </c>
      <c r="CQ206" s="521">
        <v>2.7602020080000003</v>
      </c>
      <c r="CR206" s="521">
        <v>2.8154060481600003</v>
      </c>
      <c r="CS206" s="521">
        <v>2.8717141691232002</v>
      </c>
      <c r="CT206" s="521">
        <v>2.5</v>
      </c>
      <c r="CU206" s="521">
        <v>2.5499999999999998</v>
      </c>
      <c r="CV206" s="521">
        <v>2.601</v>
      </c>
      <c r="CW206" s="521">
        <v>2.6530200000000002</v>
      </c>
      <c r="CX206" s="521">
        <v>2.7060804000000003</v>
      </c>
      <c r="CY206" s="521">
        <v>2.7602020080000003</v>
      </c>
      <c r="CZ206" s="521">
        <v>2.8154060481600003</v>
      </c>
      <c r="DA206" s="522">
        <v>2.8717141691232002</v>
      </c>
      <c r="DB206" s="523">
        <v>0</v>
      </c>
      <c r="DC206" s="524">
        <v>0</v>
      </c>
      <c r="DD206" s="524">
        <v>0</v>
      </c>
      <c r="DE206" s="524">
        <v>0</v>
      </c>
      <c r="DF206" s="524">
        <v>-2.5610577062924328E-2</v>
      </c>
      <c r="DG206" s="524">
        <v>4.9602384356885049E-3</v>
      </c>
      <c r="DH206" s="524">
        <v>5.4687531658841673E-3</v>
      </c>
      <c r="DI206" s="524">
        <v>6.0289584076615721E-3</v>
      </c>
      <c r="DJ206" s="524">
        <v>6.6460771390499246E-3</v>
      </c>
      <c r="DK206" s="524">
        <v>0.46630873435765235</v>
      </c>
      <c r="DL206" s="524">
        <v>2.0385216652201027E-3</v>
      </c>
      <c r="DM206" s="524">
        <v>2.0358994396029867E-3</v>
      </c>
      <c r="DN206" s="524">
        <v>-2.7608287853246469E-2</v>
      </c>
      <c r="DO206" s="524">
        <v>2.5373559746486446E-3</v>
      </c>
      <c r="DP206" s="524">
        <v>2.57225072440323E-3</v>
      </c>
      <c r="DQ206" s="524">
        <v>2.6052059280292639E-3</v>
      </c>
      <c r="DR206" s="524">
        <v>2.6357260526635173E-3</v>
      </c>
      <c r="DS206" s="524">
        <v>6.4936702432311699E-2</v>
      </c>
      <c r="DT206" s="524">
        <v>3.0068196950911036E-3</v>
      </c>
      <c r="DU206" s="525">
        <v>3.066407309676944E-3</v>
      </c>
      <c r="DV206" s="526">
        <v>3.4</v>
      </c>
      <c r="DW206" s="507">
        <v>1</v>
      </c>
      <c r="DX206" s="509">
        <v>5.91</v>
      </c>
      <c r="DY206" s="507">
        <v>2</v>
      </c>
      <c r="DZ206" s="507">
        <v>5</v>
      </c>
      <c r="EA206" s="507">
        <v>0</v>
      </c>
      <c r="EB206" s="507">
        <v>0</v>
      </c>
      <c r="EC206" s="507">
        <v>111.62500000000001</v>
      </c>
      <c r="ED206" s="507">
        <v>102.18750000000001</v>
      </c>
      <c r="EE206" s="507">
        <v>0</v>
      </c>
      <c r="EF206" s="507">
        <v>25.062499999999996</v>
      </c>
      <c r="EG206" s="507">
        <v>29.3125</v>
      </c>
      <c r="EH206" s="507">
        <v>12.8125</v>
      </c>
      <c r="EI206" s="507">
        <v>16.6875</v>
      </c>
      <c r="EJ206" s="507">
        <v>56.4375</v>
      </c>
      <c r="EK206" s="507">
        <v>10.4375</v>
      </c>
      <c r="EL206" s="507">
        <v>10.4375</v>
      </c>
      <c r="EM206" s="508">
        <v>375</v>
      </c>
    </row>
    <row r="207" spans="2:143" x14ac:dyDescent="0.25">
      <c r="B207" s="506" t="str">
        <f>[1]RONET_Input!J178</f>
        <v>214tt00085</v>
      </c>
      <c r="C207" s="359">
        <f>[1]RONET_Input!B178</f>
        <v>176</v>
      </c>
      <c r="D207" s="397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442">
        <f>[1]RONET_Input!K178</f>
        <v>9.5135364457300003E-2</v>
      </c>
      <c r="Q207" s="398">
        <f>[1]RONET_Input!Y178</f>
        <v>1</v>
      </c>
      <c r="R207" s="398">
        <f>[1]RONET_Input!X178</f>
        <v>3.4</v>
      </c>
      <c r="S207" s="398"/>
      <c r="T207" s="398"/>
      <c r="U207" s="398">
        <f>[1]RONET_Input!AA178</f>
        <v>8</v>
      </c>
      <c r="V207" s="398">
        <f>[1]RONET_Input!AC178</f>
        <v>1</v>
      </c>
      <c r="W207" s="398">
        <f>[1]RONET_Input!AD178</f>
        <v>1</v>
      </c>
      <c r="X207" s="398">
        <f>[1]RONET_Input!AE178</f>
        <v>4</v>
      </c>
      <c r="Y207" s="398">
        <f>[1]RONET_Input!AB178</f>
        <v>1</v>
      </c>
      <c r="Z207" s="438">
        <f>[1]RONET_Input!Z178</f>
        <v>1</v>
      </c>
      <c r="AA207" s="442"/>
      <c r="AB207" s="398"/>
      <c r="AC207" s="438"/>
      <c r="AD207" s="442">
        <f>[1]RONET_Input!AH178</f>
        <v>3</v>
      </c>
      <c r="AE207" s="398">
        <f>[1]RONET_Input!D178</f>
        <v>0</v>
      </c>
      <c r="AF207" s="398"/>
      <c r="AG207" s="398"/>
      <c r="AH207" s="398"/>
      <c r="AI207" s="438"/>
      <c r="AJ207" s="442">
        <v>1</v>
      </c>
      <c r="AK207" s="442">
        <f>[1]RONET_Input!AF178</f>
        <v>4</v>
      </c>
      <c r="AL207" s="507"/>
      <c r="AM207" s="507"/>
      <c r="AN207" s="507"/>
      <c r="AO207" s="507"/>
      <c r="AP207" s="507"/>
      <c r="AQ207" s="507"/>
      <c r="AR207" s="507"/>
      <c r="AS207" s="507"/>
      <c r="AT207" s="507"/>
      <c r="AU207" s="507"/>
      <c r="AV207" s="507"/>
      <c r="AW207" s="507"/>
      <c r="AX207" s="508"/>
      <c r="AY207" s="509">
        <f>[1]RONET_Input!AG178</f>
        <v>3</v>
      </c>
      <c r="AZ207" s="359" t="s">
        <v>321</v>
      </c>
      <c r="BA207" s="360" t="s">
        <v>502</v>
      </c>
      <c r="BB207" s="360" t="s">
        <v>443</v>
      </c>
      <c r="BC207" s="510">
        <v>4.6254814199139264E-3</v>
      </c>
      <c r="BD207" s="510">
        <v>4.8620000000000003E-2</v>
      </c>
      <c r="BE207" s="438">
        <v>6</v>
      </c>
      <c r="BF207" s="511">
        <v>3.9372346592505589E-2</v>
      </c>
      <c r="BG207" s="512">
        <v>0.41385605465544034</v>
      </c>
      <c r="BH207" s="512">
        <v>8.5120537773640539</v>
      </c>
      <c r="BI207" s="513">
        <v>0</v>
      </c>
      <c r="BJ207" s="514">
        <v>375</v>
      </c>
      <c r="BK207" s="515">
        <v>0.22366666666666665</v>
      </c>
      <c r="BL207" s="512">
        <v>1.3021653010092938E-2</v>
      </c>
      <c r="BM207" s="516">
        <v>6.4108143749999999E-2</v>
      </c>
      <c r="BN207" s="517">
        <v>375</v>
      </c>
      <c r="BO207" s="518">
        <v>397.50000000000011</v>
      </c>
      <c r="BP207" s="518">
        <v>421.34999999999991</v>
      </c>
      <c r="BQ207" s="518">
        <v>446.63099999999997</v>
      </c>
      <c r="BR207" s="518">
        <v>473.42885999999999</v>
      </c>
      <c r="BS207" s="518">
        <v>501.83459160000012</v>
      </c>
      <c r="BT207" s="518">
        <v>531.9446670960001</v>
      </c>
      <c r="BU207" s="518">
        <v>563.86134712175999</v>
      </c>
      <c r="BV207" s="518">
        <v>597.69302794906582</v>
      </c>
      <c r="BW207" s="518">
        <v>633.55460962600955</v>
      </c>
      <c r="BX207" s="518">
        <v>671.56788620357008</v>
      </c>
      <c r="BY207" s="518">
        <v>711.86195937578441</v>
      </c>
      <c r="BZ207" s="518">
        <v>754.57367693833146</v>
      </c>
      <c r="CA207" s="518">
        <v>799.84809755463141</v>
      </c>
      <c r="CB207" s="518">
        <v>847.83898340790915</v>
      </c>
      <c r="CC207" s="518">
        <v>898.70932241238381</v>
      </c>
      <c r="CD207" s="518">
        <v>952.63188175712685</v>
      </c>
      <c r="CE207" s="518">
        <v>1009.7897946625544</v>
      </c>
      <c r="CF207" s="518">
        <v>1070.3771823423076</v>
      </c>
      <c r="CG207" s="519">
        <v>1134.5998132828461</v>
      </c>
      <c r="CH207" s="520">
        <v>4.5</v>
      </c>
      <c r="CI207" s="521">
        <v>4.59</v>
      </c>
      <c r="CJ207" s="521">
        <v>4.6818</v>
      </c>
      <c r="CK207" s="521">
        <v>4.775436</v>
      </c>
      <c r="CL207" s="521">
        <v>4.8709447199999998</v>
      </c>
      <c r="CM207" s="521">
        <v>2.5</v>
      </c>
      <c r="CN207" s="521">
        <v>2.5499999999999998</v>
      </c>
      <c r="CO207" s="521">
        <v>2.601</v>
      </c>
      <c r="CP207" s="521">
        <v>2.6530200000000002</v>
      </c>
      <c r="CQ207" s="521">
        <v>2.7060804000000003</v>
      </c>
      <c r="CR207" s="521">
        <v>2.7602020080000003</v>
      </c>
      <c r="CS207" s="521">
        <v>2.8154060481600003</v>
      </c>
      <c r="CT207" s="521">
        <v>2.8717141691232002</v>
      </c>
      <c r="CU207" s="521">
        <v>2.5</v>
      </c>
      <c r="CV207" s="521">
        <v>2.5499999999999998</v>
      </c>
      <c r="CW207" s="521">
        <v>2.601</v>
      </c>
      <c r="CX207" s="521">
        <v>2.6530200000000002</v>
      </c>
      <c r="CY207" s="521">
        <v>2.7060804000000003</v>
      </c>
      <c r="CZ207" s="521">
        <v>2.7602020080000003</v>
      </c>
      <c r="DA207" s="522">
        <v>2.8154060481600003</v>
      </c>
      <c r="DB207" s="523">
        <v>0</v>
      </c>
      <c r="DC207" s="524">
        <v>0</v>
      </c>
      <c r="DD207" s="524">
        <v>0</v>
      </c>
      <c r="DE207" s="524">
        <v>0</v>
      </c>
      <c r="DF207" s="524">
        <v>0</v>
      </c>
      <c r="DG207" s="524">
        <v>-3.8543087198153921E-3</v>
      </c>
      <c r="DH207" s="524">
        <v>3.9158653278527356E-4</v>
      </c>
      <c r="DI207" s="524">
        <v>4.3204921882317344E-4</v>
      </c>
      <c r="DJ207" s="524">
        <v>4.766484097178305E-4</v>
      </c>
      <c r="DK207" s="524">
        <v>6.5195705095725448E-2</v>
      </c>
      <c r="DL207" s="524">
        <v>2.9277668788915343E-4</v>
      </c>
      <c r="DM207" s="524">
        <v>2.9323128611240604E-4</v>
      </c>
      <c r="DN207" s="524">
        <v>2.9306583670019905E-4</v>
      </c>
      <c r="DO207" s="524">
        <v>-3.8469564196637086E-3</v>
      </c>
      <c r="DP207" s="524">
        <v>3.6790751005466235E-4</v>
      </c>
      <c r="DQ207" s="524">
        <v>3.7339545171987884E-4</v>
      </c>
      <c r="DR207" s="524">
        <v>3.7863479883392358E-4</v>
      </c>
      <c r="DS207" s="524">
        <v>9.089210381118689E-3</v>
      </c>
      <c r="DT207" s="524">
        <v>4.3277231623368995E-4</v>
      </c>
      <c r="DU207" s="525">
        <v>4.424113304416534E-4</v>
      </c>
      <c r="DV207" s="526">
        <v>3.4</v>
      </c>
      <c r="DW207" s="507">
        <v>1</v>
      </c>
      <c r="DX207" s="509">
        <v>4.5</v>
      </c>
      <c r="DY207" s="507">
        <v>2</v>
      </c>
      <c r="DZ207" s="507">
        <v>10</v>
      </c>
      <c r="EA207" s="507">
        <v>0</v>
      </c>
      <c r="EB207" s="507">
        <v>0</v>
      </c>
      <c r="EC207" s="507">
        <v>111.62500000000001</v>
      </c>
      <c r="ED207" s="507">
        <v>102.18750000000001</v>
      </c>
      <c r="EE207" s="507">
        <v>0</v>
      </c>
      <c r="EF207" s="507">
        <v>25.062499999999996</v>
      </c>
      <c r="EG207" s="507">
        <v>29.3125</v>
      </c>
      <c r="EH207" s="507">
        <v>12.8125</v>
      </c>
      <c r="EI207" s="507">
        <v>16.6875</v>
      </c>
      <c r="EJ207" s="507">
        <v>56.4375</v>
      </c>
      <c r="EK207" s="507">
        <v>10.4375</v>
      </c>
      <c r="EL207" s="507">
        <v>10.4375</v>
      </c>
      <c r="EM207" s="508">
        <v>375</v>
      </c>
    </row>
    <row r="208" spans="2:143" x14ac:dyDescent="0.25">
      <c r="B208" s="506" t="str">
        <f>[1]RONET_Input!J179</f>
        <v>214tt00086</v>
      </c>
      <c r="C208" s="359">
        <f>[1]RONET_Input!B179</f>
        <v>177</v>
      </c>
      <c r="D208" s="397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442">
        <f>[1]RONET_Input!K179</f>
        <v>0.59494629103999996</v>
      </c>
      <c r="Q208" s="398">
        <f>[1]RONET_Input!Y179</f>
        <v>1</v>
      </c>
      <c r="R208" s="398">
        <f>[1]RONET_Input!X179</f>
        <v>3.4</v>
      </c>
      <c r="S208" s="398"/>
      <c r="T208" s="398"/>
      <c r="U208" s="398">
        <f>[1]RONET_Input!AA179</f>
        <v>8</v>
      </c>
      <c r="V208" s="398">
        <f>[1]RONET_Input!AC179</f>
        <v>1</v>
      </c>
      <c r="W208" s="398">
        <f>[1]RONET_Input!AD179</f>
        <v>1</v>
      </c>
      <c r="X208" s="398">
        <f>[1]RONET_Input!AE179</f>
        <v>4</v>
      </c>
      <c r="Y208" s="398">
        <f>[1]RONET_Input!AB179</f>
        <v>1</v>
      </c>
      <c r="Z208" s="438">
        <f>[1]RONET_Input!Z179</f>
        <v>1</v>
      </c>
      <c r="AA208" s="442"/>
      <c r="AB208" s="398"/>
      <c r="AC208" s="438"/>
      <c r="AD208" s="442">
        <f>[1]RONET_Input!AH179</f>
        <v>2</v>
      </c>
      <c r="AE208" s="398">
        <f>[1]RONET_Input!D179</f>
        <v>5.61</v>
      </c>
      <c r="AF208" s="398"/>
      <c r="AG208" s="398"/>
      <c r="AH208" s="398"/>
      <c r="AI208" s="438"/>
      <c r="AJ208" s="442">
        <v>1</v>
      </c>
      <c r="AK208" s="442">
        <f>[1]RONET_Input!AF179</f>
        <v>4</v>
      </c>
      <c r="AL208" s="507"/>
      <c r="AM208" s="507"/>
      <c r="AN208" s="507"/>
      <c r="AO208" s="507"/>
      <c r="AP208" s="507"/>
      <c r="AQ208" s="507"/>
      <c r="AR208" s="507"/>
      <c r="AS208" s="507"/>
      <c r="AT208" s="507"/>
      <c r="AU208" s="507"/>
      <c r="AV208" s="507"/>
      <c r="AW208" s="507"/>
      <c r="AX208" s="508"/>
      <c r="AY208" s="509">
        <f>[1]RONET_Input!AG179</f>
        <v>3</v>
      </c>
      <c r="AZ208" s="359" t="s">
        <v>321</v>
      </c>
      <c r="BA208" s="360" t="s">
        <v>502</v>
      </c>
      <c r="BB208" s="360" t="s">
        <v>443</v>
      </c>
      <c r="BC208" s="510">
        <v>2.89262886703648E-2</v>
      </c>
      <c r="BD208" s="510">
        <v>4.8620000000000003E-2</v>
      </c>
      <c r="BE208" s="438">
        <v>5</v>
      </c>
      <c r="BF208" s="511">
        <v>0.2520909793055644</v>
      </c>
      <c r="BG208" s="512">
        <v>0.42372056621261567</v>
      </c>
      <c r="BH208" s="512">
        <v>8.7149437723697165</v>
      </c>
      <c r="BI208" s="513">
        <v>0</v>
      </c>
      <c r="BJ208" s="514">
        <v>375</v>
      </c>
      <c r="BK208" s="515">
        <v>0.22366666666666665</v>
      </c>
      <c r="BL208" s="512">
        <v>8.1433273586100002E-2</v>
      </c>
      <c r="BM208" s="516">
        <v>6.4108143749999999E-2</v>
      </c>
      <c r="BN208" s="517">
        <v>375</v>
      </c>
      <c r="BO208" s="518">
        <v>397.50000000000011</v>
      </c>
      <c r="BP208" s="518">
        <v>421.34999999999991</v>
      </c>
      <c r="BQ208" s="518">
        <v>446.63099999999997</v>
      </c>
      <c r="BR208" s="518">
        <v>473.42885999999999</v>
      </c>
      <c r="BS208" s="518">
        <v>501.83459160000012</v>
      </c>
      <c r="BT208" s="518">
        <v>531.9446670960001</v>
      </c>
      <c r="BU208" s="518">
        <v>563.86134712175999</v>
      </c>
      <c r="BV208" s="518">
        <v>597.69302794906582</v>
      </c>
      <c r="BW208" s="518">
        <v>633.55460962600955</v>
      </c>
      <c r="BX208" s="518">
        <v>671.56788620357008</v>
      </c>
      <c r="BY208" s="518">
        <v>711.86195937578441</v>
      </c>
      <c r="BZ208" s="518">
        <v>754.57367693833146</v>
      </c>
      <c r="CA208" s="518">
        <v>799.84809755463141</v>
      </c>
      <c r="CB208" s="518">
        <v>847.83898340790915</v>
      </c>
      <c r="CC208" s="518">
        <v>898.70932241238381</v>
      </c>
      <c r="CD208" s="518">
        <v>952.63188175712685</v>
      </c>
      <c r="CE208" s="518">
        <v>1009.7897946625544</v>
      </c>
      <c r="CF208" s="518">
        <v>1070.3771823423076</v>
      </c>
      <c r="CG208" s="519">
        <v>1134.5998132828461</v>
      </c>
      <c r="CH208" s="520">
        <v>5.61</v>
      </c>
      <c r="CI208" s="521">
        <v>5.7222</v>
      </c>
      <c r="CJ208" s="521">
        <v>5.8366439999999997</v>
      </c>
      <c r="CK208" s="521">
        <v>5.9533768799999995</v>
      </c>
      <c r="CL208" s="521">
        <v>2.5</v>
      </c>
      <c r="CM208" s="521">
        <v>2.5499999999999998</v>
      </c>
      <c r="CN208" s="521">
        <v>2.601</v>
      </c>
      <c r="CO208" s="521">
        <v>2.6530200000000002</v>
      </c>
      <c r="CP208" s="521">
        <v>2.7060804000000003</v>
      </c>
      <c r="CQ208" s="521">
        <v>2.7602020080000003</v>
      </c>
      <c r="CR208" s="521">
        <v>2.8154060481600003</v>
      </c>
      <c r="CS208" s="521">
        <v>2.8717141691232002</v>
      </c>
      <c r="CT208" s="521">
        <v>2.5</v>
      </c>
      <c r="CU208" s="521">
        <v>2.5499999999999998</v>
      </c>
      <c r="CV208" s="521">
        <v>2.601</v>
      </c>
      <c r="CW208" s="521">
        <v>2.6530200000000002</v>
      </c>
      <c r="CX208" s="521">
        <v>2.7060804000000003</v>
      </c>
      <c r="CY208" s="521">
        <v>2.7602020080000003</v>
      </c>
      <c r="CZ208" s="521">
        <v>2.8154060481600003</v>
      </c>
      <c r="DA208" s="522">
        <v>2.8717141691232002</v>
      </c>
      <c r="DB208" s="523">
        <v>0</v>
      </c>
      <c r="DC208" s="524">
        <v>0</v>
      </c>
      <c r="DD208" s="524">
        <v>0</v>
      </c>
      <c r="DE208" s="524">
        <v>0</v>
      </c>
      <c r="DF208" s="524">
        <v>-2.2846320373081069E-2</v>
      </c>
      <c r="DG208" s="524">
        <v>3.833861264062044E-3</v>
      </c>
      <c r="DH208" s="524">
        <v>4.2274956690901005E-3</v>
      </c>
      <c r="DI208" s="524">
        <v>4.6611842780332965E-3</v>
      </c>
      <c r="DJ208" s="524">
        <v>5.1389763379649789E-3</v>
      </c>
      <c r="DK208" s="524">
        <v>0.40766908183795547</v>
      </c>
      <c r="DL208" s="524">
        <v>1.7821717551823879E-3</v>
      </c>
      <c r="DM208" s="524">
        <v>1.7798792819110759E-3</v>
      </c>
      <c r="DN208" s="524">
        <v>-2.4136466960574879E-2</v>
      </c>
      <c r="DO208" s="524">
        <v>2.2182762283146223E-3</v>
      </c>
      <c r="DP208" s="524">
        <v>2.2487828638229901E-3</v>
      </c>
      <c r="DQ208" s="524">
        <v>2.2775938566570036E-3</v>
      </c>
      <c r="DR208" s="524">
        <v>2.3042759886234276E-3</v>
      </c>
      <c r="DS208" s="524">
        <v>5.6770727004784902E-2</v>
      </c>
      <c r="DT208" s="524">
        <v>2.6287035477441933E-3</v>
      </c>
      <c r="DU208" s="525">
        <v>2.6807978499463481E-3</v>
      </c>
      <c r="DV208" s="526">
        <v>3.4</v>
      </c>
      <c r="DW208" s="507">
        <v>1</v>
      </c>
      <c r="DX208" s="509">
        <v>5.61</v>
      </c>
      <c r="DY208" s="507">
        <v>2</v>
      </c>
      <c r="DZ208" s="507">
        <v>5</v>
      </c>
      <c r="EA208" s="507">
        <v>0</v>
      </c>
      <c r="EB208" s="507">
        <v>0</v>
      </c>
      <c r="EC208" s="507">
        <v>111.62500000000001</v>
      </c>
      <c r="ED208" s="507">
        <v>102.18750000000001</v>
      </c>
      <c r="EE208" s="507">
        <v>0</v>
      </c>
      <c r="EF208" s="507">
        <v>25.062499999999996</v>
      </c>
      <c r="EG208" s="507">
        <v>29.3125</v>
      </c>
      <c r="EH208" s="507">
        <v>12.8125</v>
      </c>
      <c r="EI208" s="507">
        <v>16.6875</v>
      </c>
      <c r="EJ208" s="507">
        <v>56.4375</v>
      </c>
      <c r="EK208" s="507">
        <v>10.4375</v>
      </c>
      <c r="EL208" s="507">
        <v>10.4375</v>
      </c>
      <c r="EM208" s="508">
        <v>375</v>
      </c>
    </row>
    <row r="209" spans="2:143" x14ac:dyDescent="0.25">
      <c r="B209" s="506" t="str">
        <f>[1]RONET_Input!J180</f>
        <v xml:space="preserve">Input VPROMMS: 214tt00086 (57.14 pct); 214tt00087 (42.86 pct); </v>
      </c>
      <c r="C209" s="359">
        <f>[1]RONET_Input!B180</f>
        <v>178</v>
      </c>
      <c r="D209" s="397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442">
        <f>[1]RONET_Input!K180</f>
        <v>0.37002271925000002</v>
      </c>
      <c r="Q209" s="398">
        <f>[1]RONET_Input!Y180</f>
        <v>2</v>
      </c>
      <c r="R209" s="398">
        <f>[1]RONET_Input!X180</f>
        <v>3.5</v>
      </c>
      <c r="S209" s="398"/>
      <c r="T209" s="398"/>
      <c r="U209" s="398">
        <f>[1]RONET_Input!AA180</f>
        <v>8</v>
      </c>
      <c r="V209" s="398">
        <f>[1]RONET_Input!AC180</f>
        <v>1</v>
      </c>
      <c r="W209" s="398">
        <f>[1]RONET_Input!AD180</f>
        <v>1</v>
      </c>
      <c r="X209" s="398">
        <f>[1]RONET_Input!AE180</f>
        <v>4</v>
      </c>
      <c r="Y209" s="398">
        <f>[1]RONET_Input!AB180</f>
        <v>1</v>
      </c>
      <c r="Z209" s="438">
        <f>[1]RONET_Input!Z180</f>
        <v>1</v>
      </c>
      <c r="AA209" s="442"/>
      <c r="AB209" s="398"/>
      <c r="AC209" s="438"/>
      <c r="AD209" s="442">
        <f>[1]RONET_Input!AH180</f>
        <v>2</v>
      </c>
      <c r="AE209" s="398">
        <f>[1]RONET_Input!D180</f>
        <v>4.84</v>
      </c>
      <c r="AF209" s="398"/>
      <c r="AG209" s="398"/>
      <c r="AH209" s="398"/>
      <c r="AI209" s="438"/>
      <c r="AJ209" s="442">
        <v>1</v>
      </c>
      <c r="AK209" s="442">
        <f>[1]RONET_Input!AF180</f>
        <v>4</v>
      </c>
      <c r="AL209" s="507"/>
      <c r="AM209" s="507"/>
      <c r="AN209" s="507"/>
      <c r="AO209" s="507"/>
      <c r="AP209" s="507"/>
      <c r="AQ209" s="507"/>
      <c r="AR209" s="507"/>
      <c r="AS209" s="507"/>
      <c r="AT209" s="507"/>
      <c r="AU209" s="507"/>
      <c r="AV209" s="507"/>
      <c r="AW209" s="507"/>
      <c r="AX209" s="508"/>
      <c r="AY209" s="509">
        <f>[1]RONET_Input!AG180</f>
        <v>3</v>
      </c>
      <c r="AZ209" s="359" t="s">
        <v>321</v>
      </c>
      <c r="BA209" s="360" t="s">
        <v>502</v>
      </c>
      <c r="BB209" s="360" t="s">
        <v>443</v>
      </c>
      <c r="BC209" s="510">
        <v>1.8519637098462501E-2</v>
      </c>
      <c r="BD209" s="510">
        <v>5.0049999999999997E-2</v>
      </c>
      <c r="BE209" s="438">
        <v>6</v>
      </c>
      <c r="BF209" s="511">
        <v>0.1472168104400885</v>
      </c>
      <c r="BG209" s="512">
        <v>0.39785884158270773</v>
      </c>
      <c r="BH209" s="512">
        <v>7.9492276040501046</v>
      </c>
      <c r="BI209" s="513">
        <v>0</v>
      </c>
      <c r="BJ209" s="514">
        <v>375</v>
      </c>
      <c r="BK209" s="515">
        <v>0.22366666666666665</v>
      </c>
      <c r="BL209" s="512">
        <v>5.0646859697343755E-2</v>
      </c>
      <c r="BM209" s="516">
        <v>3.2054071874999999E-2</v>
      </c>
      <c r="BN209" s="517">
        <v>375</v>
      </c>
      <c r="BO209" s="518">
        <v>397.50000000000011</v>
      </c>
      <c r="BP209" s="518">
        <v>421.34999999999991</v>
      </c>
      <c r="BQ209" s="518">
        <v>446.63099999999997</v>
      </c>
      <c r="BR209" s="518">
        <v>473.42885999999999</v>
      </c>
      <c r="BS209" s="518">
        <v>501.83459160000012</v>
      </c>
      <c r="BT209" s="518">
        <v>531.9446670960001</v>
      </c>
      <c r="BU209" s="518">
        <v>563.86134712175999</v>
      </c>
      <c r="BV209" s="518">
        <v>597.69302794906582</v>
      </c>
      <c r="BW209" s="518">
        <v>633.55460962600955</v>
      </c>
      <c r="BX209" s="518">
        <v>671.56788620357008</v>
      </c>
      <c r="BY209" s="518">
        <v>711.86195937578441</v>
      </c>
      <c r="BZ209" s="518">
        <v>754.57367693833146</v>
      </c>
      <c r="CA209" s="518">
        <v>799.84809755463141</v>
      </c>
      <c r="CB209" s="518">
        <v>847.83898340790915</v>
      </c>
      <c r="CC209" s="518">
        <v>898.70932241238381</v>
      </c>
      <c r="CD209" s="518">
        <v>952.63188175712685</v>
      </c>
      <c r="CE209" s="518">
        <v>1009.7897946625544</v>
      </c>
      <c r="CF209" s="518">
        <v>1070.3771823423076</v>
      </c>
      <c r="CG209" s="519">
        <v>1134.5998132828461</v>
      </c>
      <c r="CH209" s="520">
        <v>4.84</v>
      </c>
      <c r="CI209" s="521">
        <v>4.9367999999999999</v>
      </c>
      <c r="CJ209" s="521">
        <v>5.0355359999999996</v>
      </c>
      <c r="CK209" s="521">
        <v>5.1362467199999999</v>
      </c>
      <c r="CL209" s="521">
        <v>5.2389716544000002</v>
      </c>
      <c r="CM209" s="521">
        <v>2.5</v>
      </c>
      <c r="CN209" s="521">
        <v>2.5499999999999998</v>
      </c>
      <c r="CO209" s="521">
        <v>2.601</v>
      </c>
      <c r="CP209" s="521">
        <v>2.6530200000000002</v>
      </c>
      <c r="CQ209" s="521">
        <v>2.7060804000000003</v>
      </c>
      <c r="CR209" s="521">
        <v>2.7602020080000003</v>
      </c>
      <c r="CS209" s="521">
        <v>2.8154060481600003</v>
      </c>
      <c r="CT209" s="521">
        <v>2.8717141691232002</v>
      </c>
      <c r="CU209" s="521">
        <v>2.5</v>
      </c>
      <c r="CV209" s="521">
        <v>2.5499999999999998</v>
      </c>
      <c r="CW209" s="521">
        <v>2.601</v>
      </c>
      <c r="CX209" s="521">
        <v>2.6530200000000002</v>
      </c>
      <c r="CY209" s="521">
        <v>2.7060804000000003</v>
      </c>
      <c r="CZ209" s="521">
        <v>2.7602020080000003</v>
      </c>
      <c r="DA209" s="522">
        <v>2.8154060481600003</v>
      </c>
      <c r="DB209" s="523">
        <v>0</v>
      </c>
      <c r="DC209" s="524">
        <v>0</v>
      </c>
      <c r="DD209" s="524">
        <v>0</v>
      </c>
      <c r="DE209" s="524">
        <v>0</v>
      </c>
      <c r="DF209" s="524">
        <v>0</v>
      </c>
      <c r="DG209" s="524">
        <v>-1.5370804711081362E-2</v>
      </c>
      <c r="DH209" s="524">
        <v>1.6409020246442932E-3</v>
      </c>
      <c r="DI209" s="524">
        <v>1.8164469481253068E-3</v>
      </c>
      <c r="DJ209" s="524">
        <v>2.0104335862558345E-3</v>
      </c>
      <c r="DK209" s="524">
        <v>0.252540421801839</v>
      </c>
      <c r="DL209" s="524">
        <v>8.8525093105681907E-5</v>
      </c>
      <c r="DM209" s="524">
        <v>7.3490984580648622E-5</v>
      </c>
      <c r="DN209" s="524">
        <v>5.5481556526688902E-5</v>
      </c>
      <c r="DO209" s="524">
        <v>-1.6597266976645098E-2</v>
      </c>
      <c r="DP209" s="524">
        <v>2.5526890294506194E-4</v>
      </c>
      <c r="DQ209" s="524">
        <v>2.5335390555590587E-4</v>
      </c>
      <c r="DR209" s="524">
        <v>2.4960783756419747E-4</v>
      </c>
      <c r="DS209" s="524">
        <v>3.4103816109978591E-2</v>
      </c>
      <c r="DT209" s="524">
        <v>4.0928520902586141E-4</v>
      </c>
      <c r="DU209" s="525">
        <v>4.1999530325770307E-4</v>
      </c>
      <c r="DV209" s="526">
        <v>3.5</v>
      </c>
      <c r="DW209" s="507">
        <v>1</v>
      </c>
      <c r="DX209" s="509">
        <v>4.84</v>
      </c>
      <c r="DY209" s="507">
        <v>2</v>
      </c>
      <c r="DZ209" s="507">
        <v>5</v>
      </c>
      <c r="EA209" s="507">
        <v>0</v>
      </c>
      <c r="EB209" s="507">
        <v>0</v>
      </c>
      <c r="EC209" s="507">
        <v>111.62500000000001</v>
      </c>
      <c r="ED209" s="507">
        <v>102.18750000000001</v>
      </c>
      <c r="EE209" s="507">
        <v>0</v>
      </c>
      <c r="EF209" s="507">
        <v>25.062499999999996</v>
      </c>
      <c r="EG209" s="507">
        <v>29.3125</v>
      </c>
      <c r="EH209" s="507">
        <v>12.8125</v>
      </c>
      <c r="EI209" s="507">
        <v>16.6875</v>
      </c>
      <c r="EJ209" s="507">
        <v>56.4375</v>
      </c>
      <c r="EK209" s="507">
        <v>10.4375</v>
      </c>
      <c r="EL209" s="507">
        <v>10.4375</v>
      </c>
      <c r="EM209" s="508">
        <v>375</v>
      </c>
    </row>
    <row r="210" spans="2:143" x14ac:dyDescent="0.25">
      <c r="B210" s="506" t="str">
        <f>[1]RONET_Input!J181</f>
        <v xml:space="preserve">Input VPROMMS: 212th00034 (46.67 pct); 214tt00012 (40.0 pct); 214tt00080 (13.33 pct); </v>
      </c>
      <c r="C210" s="359">
        <f>[1]RONET_Input!B181</f>
        <v>179</v>
      </c>
      <c r="D210" s="397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442">
        <f>[1]RONET_Input!K181</f>
        <v>0.67287961263200002</v>
      </c>
      <c r="Q210" s="398">
        <f>[1]RONET_Input!Y181</f>
        <v>2</v>
      </c>
      <c r="R210" s="398">
        <f>[1]RONET_Input!X181</f>
        <v>3.5</v>
      </c>
      <c r="S210" s="398"/>
      <c r="T210" s="398"/>
      <c r="U210" s="398">
        <f>[1]RONET_Input!AA181</f>
        <v>8</v>
      </c>
      <c r="V210" s="398">
        <f>[1]RONET_Input!AC181</f>
        <v>1</v>
      </c>
      <c r="W210" s="398">
        <f>[1]RONET_Input!AD181</f>
        <v>1</v>
      </c>
      <c r="X210" s="398">
        <f>[1]RONET_Input!AE181</f>
        <v>4</v>
      </c>
      <c r="Y210" s="398">
        <f>[1]RONET_Input!AB181</f>
        <v>1</v>
      </c>
      <c r="Z210" s="438">
        <f>[1]RONET_Input!Z181</f>
        <v>1</v>
      </c>
      <c r="AA210" s="442"/>
      <c r="AB210" s="398"/>
      <c r="AC210" s="438"/>
      <c r="AD210" s="442">
        <f>[1]RONET_Input!AH181</f>
        <v>5</v>
      </c>
      <c r="AE210" s="398">
        <f>[1]RONET_Input!D181</f>
        <v>12.18</v>
      </c>
      <c r="AF210" s="398"/>
      <c r="AG210" s="398"/>
      <c r="AH210" s="398"/>
      <c r="AI210" s="438"/>
      <c r="AJ210" s="442">
        <v>1</v>
      </c>
      <c r="AK210" s="442">
        <f>[1]RONET_Input!AF181</f>
        <v>4</v>
      </c>
      <c r="AL210" s="507"/>
      <c r="AM210" s="507"/>
      <c r="AN210" s="507"/>
      <c r="AO210" s="507"/>
      <c r="AP210" s="507"/>
      <c r="AQ210" s="507"/>
      <c r="AR210" s="507"/>
      <c r="AS210" s="507"/>
      <c r="AT210" s="507"/>
      <c r="AU210" s="507"/>
      <c r="AV210" s="507"/>
      <c r="AW210" s="507"/>
      <c r="AX210" s="508"/>
      <c r="AY210" s="509">
        <f>[1]RONET_Input!AG181</f>
        <v>3</v>
      </c>
      <c r="AZ210" s="359" t="s">
        <v>321</v>
      </c>
      <c r="BA210" s="360" t="s">
        <v>502</v>
      </c>
      <c r="BB210" s="360" t="s">
        <v>443</v>
      </c>
      <c r="BC210" s="510">
        <v>3.3677624612231602E-2</v>
      </c>
      <c r="BD210" s="510">
        <v>5.0050000000000004E-2</v>
      </c>
      <c r="BE210" s="438">
        <v>1</v>
      </c>
      <c r="BF210" s="511">
        <v>0.37852818341747985</v>
      </c>
      <c r="BG210" s="512">
        <v>0.56254963935799629</v>
      </c>
      <c r="BH210" s="512">
        <v>11.239753034125799</v>
      </c>
      <c r="BI210" s="513">
        <v>0</v>
      </c>
      <c r="BJ210" s="514">
        <v>375</v>
      </c>
      <c r="BK210" s="515">
        <v>0.22366666666666665</v>
      </c>
      <c r="BL210" s="512">
        <v>9.2100396979005003E-2</v>
      </c>
      <c r="BM210" s="516">
        <v>3.2054071874999999E-2</v>
      </c>
      <c r="BN210" s="517">
        <v>375</v>
      </c>
      <c r="BO210" s="518">
        <v>397.50000000000011</v>
      </c>
      <c r="BP210" s="518">
        <v>421.34999999999991</v>
      </c>
      <c r="BQ210" s="518">
        <v>446.63099999999997</v>
      </c>
      <c r="BR210" s="518">
        <v>473.42885999999999</v>
      </c>
      <c r="BS210" s="518">
        <v>501.83459160000012</v>
      </c>
      <c r="BT210" s="518">
        <v>531.9446670960001</v>
      </c>
      <c r="BU210" s="518">
        <v>563.86134712175999</v>
      </c>
      <c r="BV210" s="518">
        <v>597.69302794906582</v>
      </c>
      <c r="BW210" s="518">
        <v>633.55460962600955</v>
      </c>
      <c r="BX210" s="518">
        <v>671.56788620357008</v>
      </c>
      <c r="BY210" s="518">
        <v>711.86195937578441</v>
      </c>
      <c r="BZ210" s="518">
        <v>754.57367693833146</v>
      </c>
      <c r="CA210" s="518">
        <v>799.84809755463141</v>
      </c>
      <c r="CB210" s="518">
        <v>847.83898340790915</v>
      </c>
      <c r="CC210" s="518">
        <v>898.70932241238381</v>
      </c>
      <c r="CD210" s="518">
        <v>952.63188175712685</v>
      </c>
      <c r="CE210" s="518">
        <v>1009.7897946625544</v>
      </c>
      <c r="CF210" s="518">
        <v>1070.3771823423076</v>
      </c>
      <c r="CG210" s="519">
        <v>1134.5998132828461</v>
      </c>
      <c r="CH210" s="520">
        <v>2.5</v>
      </c>
      <c r="CI210" s="521">
        <v>2.5499999999999998</v>
      </c>
      <c r="CJ210" s="521">
        <v>2.601</v>
      </c>
      <c r="CK210" s="521">
        <v>2.6530200000000002</v>
      </c>
      <c r="CL210" s="521">
        <v>2.7060804000000003</v>
      </c>
      <c r="CM210" s="521">
        <v>2.7602020080000003</v>
      </c>
      <c r="CN210" s="521">
        <v>2.8154060481600003</v>
      </c>
      <c r="CO210" s="521">
        <v>2.8717141691232002</v>
      </c>
      <c r="CP210" s="521">
        <v>2.5</v>
      </c>
      <c r="CQ210" s="521">
        <v>2.5499999999999998</v>
      </c>
      <c r="CR210" s="521">
        <v>2.601</v>
      </c>
      <c r="CS210" s="521">
        <v>2.6530200000000002</v>
      </c>
      <c r="CT210" s="521">
        <v>2.7060804000000003</v>
      </c>
      <c r="CU210" s="521">
        <v>2.7602020080000003</v>
      </c>
      <c r="CV210" s="521">
        <v>2.8154060481600003</v>
      </c>
      <c r="CW210" s="521">
        <v>2.8717141691232002</v>
      </c>
      <c r="CX210" s="521">
        <v>2.5</v>
      </c>
      <c r="CY210" s="521">
        <v>2.5499999999999998</v>
      </c>
      <c r="CZ210" s="521">
        <v>2.601</v>
      </c>
      <c r="DA210" s="522">
        <v>2.6530200000000002</v>
      </c>
      <c r="DB210" s="523">
        <v>-1.7104189585348803E-2</v>
      </c>
      <c r="DC210" s="524">
        <v>1.4943181953109286E-2</v>
      </c>
      <c r="DD210" s="524">
        <v>1.6487091323982621E-2</v>
      </c>
      <c r="DE210" s="524">
        <v>1.8188400841290864E-2</v>
      </c>
      <c r="DF210" s="524">
        <v>2.0062607113217786E-2</v>
      </c>
      <c r="DG210" s="524">
        <v>2.21265438273269E-2</v>
      </c>
      <c r="DH210" s="524">
        <v>2.4398431254467653E-2</v>
      </c>
      <c r="DI210" s="524">
        <v>2.6897903149796204E-2</v>
      </c>
      <c r="DJ210" s="524">
        <v>-6.9965410293273966E-4</v>
      </c>
      <c r="DK210" s="524">
        <v>0.45935092816392459</v>
      </c>
      <c r="DL210" s="524">
        <v>2.8421198825429039E-4</v>
      </c>
      <c r="DM210" s="524">
        <v>2.7071891387581148E-4</v>
      </c>
      <c r="DN210" s="524">
        <v>2.5332108001853426E-4</v>
      </c>
      <c r="DO210" s="524">
        <v>2.314724011194258E-4</v>
      </c>
      <c r="DP210" s="524">
        <v>2.0456278239912307E-4</v>
      </c>
      <c r="DQ210" s="524">
        <v>1.7191116293174824E-4</v>
      </c>
      <c r="DR210" s="524">
        <v>-3.0034159167151103E-2</v>
      </c>
      <c r="DS210" s="524">
        <v>6.2193683289507029E-2</v>
      </c>
      <c r="DT210" s="524">
        <v>9.4068876884800812E-4</v>
      </c>
      <c r="DU210" s="525">
        <v>9.8223358800011984E-4</v>
      </c>
      <c r="DV210" s="526">
        <v>3.5</v>
      </c>
      <c r="DW210" s="507">
        <v>1</v>
      </c>
      <c r="DX210" s="509">
        <v>12.18</v>
      </c>
      <c r="DY210" s="507">
        <v>2</v>
      </c>
      <c r="DZ210" s="507">
        <v>20</v>
      </c>
      <c r="EA210" s="507">
        <v>0</v>
      </c>
      <c r="EB210" s="507">
        <v>0</v>
      </c>
      <c r="EC210" s="507">
        <v>111.62500000000001</v>
      </c>
      <c r="ED210" s="507">
        <v>102.18750000000001</v>
      </c>
      <c r="EE210" s="507">
        <v>0</v>
      </c>
      <c r="EF210" s="507">
        <v>25.062499999999996</v>
      </c>
      <c r="EG210" s="507">
        <v>29.3125</v>
      </c>
      <c r="EH210" s="507">
        <v>12.8125</v>
      </c>
      <c r="EI210" s="507">
        <v>16.6875</v>
      </c>
      <c r="EJ210" s="507">
        <v>56.4375</v>
      </c>
      <c r="EK210" s="507">
        <v>10.4375</v>
      </c>
      <c r="EL210" s="507">
        <v>10.4375</v>
      </c>
      <c r="EM210" s="508">
        <v>375</v>
      </c>
    </row>
    <row r="211" spans="2:143" x14ac:dyDescent="0.25">
      <c r="B211" s="506" t="str">
        <f>[1]RONET_Input!J182</f>
        <v xml:space="preserve">Input VPROMMS: QL45_2 (50.0 pct); ql45_1 (50.0 pct); </v>
      </c>
      <c r="C211" s="359">
        <f>[1]RONET_Input!B182</f>
        <v>180</v>
      </c>
      <c r="D211" s="397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442">
        <f>[1]RONET_Input!K182</f>
        <v>4.46910804237E-2</v>
      </c>
      <c r="Q211" s="398">
        <f>[1]RONET_Input!Y182</f>
        <v>2</v>
      </c>
      <c r="R211" s="398">
        <f>[1]RONET_Input!X182</f>
        <v>3.5</v>
      </c>
      <c r="S211" s="398"/>
      <c r="T211" s="398"/>
      <c r="U211" s="398">
        <f>[1]RONET_Input!AA182</f>
        <v>8</v>
      </c>
      <c r="V211" s="398">
        <f>[1]RONET_Input!AC182</f>
        <v>1</v>
      </c>
      <c r="W211" s="398">
        <f>[1]RONET_Input!AD182</f>
        <v>1</v>
      </c>
      <c r="X211" s="398">
        <f>[1]RONET_Input!AE182</f>
        <v>4</v>
      </c>
      <c r="Y211" s="398">
        <f>[1]RONET_Input!AB182</f>
        <v>1</v>
      </c>
      <c r="Z211" s="438">
        <f>[1]RONET_Input!Z182</f>
        <v>1</v>
      </c>
      <c r="AA211" s="442"/>
      <c r="AB211" s="398"/>
      <c r="AC211" s="438"/>
      <c r="AD211" s="442">
        <f>[1]RONET_Input!AH182</f>
        <v>3</v>
      </c>
      <c r="AE211" s="398">
        <f>[1]RONET_Input!D182</f>
        <v>0</v>
      </c>
      <c r="AF211" s="398"/>
      <c r="AG211" s="398"/>
      <c r="AH211" s="398"/>
      <c r="AI211" s="438"/>
      <c r="AJ211" s="442">
        <v>1</v>
      </c>
      <c r="AK211" s="442">
        <f>[1]RONET_Input!AF182</f>
        <v>4</v>
      </c>
      <c r="AL211" s="507"/>
      <c r="AM211" s="507"/>
      <c r="AN211" s="507"/>
      <c r="AO211" s="507"/>
      <c r="AP211" s="507"/>
      <c r="AQ211" s="507"/>
      <c r="AR211" s="507"/>
      <c r="AS211" s="507"/>
      <c r="AT211" s="507"/>
      <c r="AU211" s="507"/>
      <c r="AV211" s="507"/>
      <c r="AW211" s="507"/>
      <c r="AX211" s="508"/>
      <c r="AY211" s="509">
        <f>[1]RONET_Input!AG182</f>
        <v>3</v>
      </c>
      <c r="AZ211" s="359" t="s">
        <v>321</v>
      </c>
      <c r="BA211" s="360" t="s">
        <v>502</v>
      </c>
      <c r="BB211" s="360" t="s">
        <v>443</v>
      </c>
      <c r="BC211" s="510">
        <v>2.2367885752061852E-3</v>
      </c>
      <c r="BD211" s="510">
        <v>5.0050000000000004E-2</v>
      </c>
      <c r="BE211" s="438">
        <v>6</v>
      </c>
      <c r="BF211" s="511">
        <v>1.7677276108441567E-2</v>
      </c>
      <c r="BG211" s="512">
        <v>0.3955437179152908</v>
      </c>
      <c r="BH211" s="512">
        <v>7.902971386918896</v>
      </c>
      <c r="BI211" s="513">
        <v>0</v>
      </c>
      <c r="BJ211" s="514">
        <v>375</v>
      </c>
      <c r="BK211" s="515">
        <v>0.22366666666666665</v>
      </c>
      <c r="BL211" s="512">
        <v>6.1170916329939375E-3</v>
      </c>
      <c r="BM211" s="516">
        <v>3.2054071874999999E-2</v>
      </c>
      <c r="BN211" s="517">
        <v>375</v>
      </c>
      <c r="BO211" s="518">
        <v>397.50000000000011</v>
      </c>
      <c r="BP211" s="518">
        <v>421.34999999999991</v>
      </c>
      <c r="BQ211" s="518">
        <v>446.63099999999997</v>
      </c>
      <c r="BR211" s="518">
        <v>473.42885999999999</v>
      </c>
      <c r="BS211" s="518">
        <v>501.83459160000012</v>
      </c>
      <c r="BT211" s="518">
        <v>531.9446670960001</v>
      </c>
      <c r="BU211" s="518">
        <v>563.86134712175999</v>
      </c>
      <c r="BV211" s="518">
        <v>597.69302794906582</v>
      </c>
      <c r="BW211" s="518">
        <v>633.55460962600955</v>
      </c>
      <c r="BX211" s="518">
        <v>671.56788620357008</v>
      </c>
      <c r="BY211" s="518">
        <v>711.86195937578441</v>
      </c>
      <c r="BZ211" s="518">
        <v>754.57367693833146</v>
      </c>
      <c r="CA211" s="518">
        <v>799.84809755463141</v>
      </c>
      <c r="CB211" s="518">
        <v>847.83898340790915</v>
      </c>
      <c r="CC211" s="518">
        <v>898.70932241238381</v>
      </c>
      <c r="CD211" s="518">
        <v>952.63188175712685</v>
      </c>
      <c r="CE211" s="518">
        <v>1009.7897946625544</v>
      </c>
      <c r="CF211" s="518">
        <v>1070.3771823423076</v>
      </c>
      <c r="CG211" s="519">
        <v>1134.5998132828461</v>
      </c>
      <c r="CH211" s="520">
        <v>4.5</v>
      </c>
      <c r="CI211" s="521">
        <v>4.59</v>
      </c>
      <c r="CJ211" s="521">
        <v>4.6818</v>
      </c>
      <c r="CK211" s="521">
        <v>4.775436</v>
      </c>
      <c r="CL211" s="521">
        <v>4.8709447199999998</v>
      </c>
      <c r="CM211" s="521">
        <v>2.5</v>
      </c>
      <c r="CN211" s="521">
        <v>2.5499999999999998</v>
      </c>
      <c r="CO211" s="521">
        <v>2.601</v>
      </c>
      <c r="CP211" s="521">
        <v>2.6530200000000002</v>
      </c>
      <c r="CQ211" s="521">
        <v>2.7060804000000003</v>
      </c>
      <c r="CR211" s="521">
        <v>2.7602020080000003</v>
      </c>
      <c r="CS211" s="521">
        <v>2.8154060481600003</v>
      </c>
      <c r="CT211" s="521">
        <v>2.8717141691232002</v>
      </c>
      <c r="CU211" s="521">
        <v>2.5</v>
      </c>
      <c r="CV211" s="521">
        <v>2.5499999999999998</v>
      </c>
      <c r="CW211" s="521">
        <v>2.601</v>
      </c>
      <c r="CX211" s="521">
        <v>2.6530200000000002</v>
      </c>
      <c r="CY211" s="521">
        <v>2.7060804000000003</v>
      </c>
      <c r="CZ211" s="521">
        <v>2.7602020080000003</v>
      </c>
      <c r="DA211" s="522">
        <v>2.8154060481600003</v>
      </c>
      <c r="DB211" s="523">
        <v>0</v>
      </c>
      <c r="DC211" s="524">
        <v>0</v>
      </c>
      <c r="DD211" s="524">
        <v>0</v>
      </c>
      <c r="DE211" s="524">
        <v>0</v>
      </c>
      <c r="DF211" s="524">
        <v>0</v>
      </c>
      <c r="DG211" s="524">
        <v>-1.8889692919976568E-3</v>
      </c>
      <c r="DH211" s="524">
        <v>1.6228306652411699E-4</v>
      </c>
      <c r="DI211" s="524">
        <v>1.7972264633560851E-4</v>
      </c>
      <c r="DJ211" s="524">
        <v>1.9900019953237452E-4</v>
      </c>
      <c r="DK211" s="524">
        <v>3.0501652233293534E-2</v>
      </c>
      <c r="DL211" s="524">
        <v>1.0691997679278774E-5</v>
      </c>
      <c r="DM211" s="524">
        <v>8.8761887620516719E-6</v>
      </c>
      <c r="DN211" s="524">
        <v>6.7010228717630932E-6</v>
      </c>
      <c r="DO211" s="524">
        <v>-2.004606081405816E-3</v>
      </c>
      <c r="DP211" s="524">
        <v>3.0831196241978658E-5</v>
      </c>
      <c r="DQ211" s="524">
        <v>3.0599904221577032E-5</v>
      </c>
      <c r="DR211" s="524">
        <v>3.0147456798267948E-5</v>
      </c>
      <c r="DS211" s="524">
        <v>4.1190346139161555E-3</v>
      </c>
      <c r="DT211" s="524">
        <v>4.9433175967898008E-5</v>
      </c>
      <c r="DU211" s="525">
        <v>5.0726733519260159E-5</v>
      </c>
      <c r="DV211" s="526">
        <v>3.5</v>
      </c>
      <c r="DW211" s="507">
        <v>1</v>
      </c>
      <c r="DX211" s="509">
        <v>4.5</v>
      </c>
      <c r="DY211" s="507">
        <v>2</v>
      </c>
      <c r="DZ211" s="507">
        <v>10</v>
      </c>
      <c r="EA211" s="507">
        <v>0</v>
      </c>
      <c r="EB211" s="507">
        <v>0</v>
      </c>
      <c r="EC211" s="507">
        <v>111.62500000000001</v>
      </c>
      <c r="ED211" s="507">
        <v>102.18750000000001</v>
      </c>
      <c r="EE211" s="507">
        <v>0</v>
      </c>
      <c r="EF211" s="507">
        <v>25.062499999999996</v>
      </c>
      <c r="EG211" s="507">
        <v>29.3125</v>
      </c>
      <c r="EH211" s="507">
        <v>12.8125</v>
      </c>
      <c r="EI211" s="507">
        <v>16.6875</v>
      </c>
      <c r="EJ211" s="507">
        <v>56.4375</v>
      </c>
      <c r="EK211" s="507">
        <v>10.4375</v>
      </c>
      <c r="EL211" s="507">
        <v>10.4375</v>
      </c>
      <c r="EM211" s="508">
        <v>375</v>
      </c>
    </row>
    <row r="212" spans="2:143" x14ac:dyDescent="0.25">
      <c r="B212" s="506" t="str">
        <f>[1]RONET_Input!J183</f>
        <v xml:space="preserve">Input VPROMMS: 214tt00085 (70.0 pct); 214tt00097 (30.0 pct); </v>
      </c>
      <c r="C212" s="359">
        <f>[1]RONET_Input!B183</f>
        <v>181</v>
      </c>
      <c r="D212" s="397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442">
        <f>[1]RONET_Input!K183</f>
        <v>0.28683599034000001</v>
      </c>
      <c r="Q212" s="398">
        <f>[1]RONET_Input!Y183</f>
        <v>2</v>
      </c>
      <c r="R212" s="398">
        <f>[1]RONET_Input!X183</f>
        <v>3.5</v>
      </c>
      <c r="S212" s="398"/>
      <c r="T212" s="398"/>
      <c r="U212" s="398">
        <f>[1]RONET_Input!AA183</f>
        <v>8</v>
      </c>
      <c r="V212" s="398">
        <f>[1]RONET_Input!AC183</f>
        <v>1</v>
      </c>
      <c r="W212" s="398">
        <f>[1]RONET_Input!AD183</f>
        <v>1</v>
      </c>
      <c r="X212" s="398">
        <f>[1]RONET_Input!AE183</f>
        <v>4</v>
      </c>
      <c r="Y212" s="398">
        <f>[1]RONET_Input!AB183</f>
        <v>1</v>
      </c>
      <c r="Z212" s="438">
        <f>[1]RONET_Input!Z183</f>
        <v>1</v>
      </c>
      <c r="AA212" s="442"/>
      <c r="AB212" s="398"/>
      <c r="AC212" s="438"/>
      <c r="AD212" s="442">
        <f>[1]RONET_Input!AH183</f>
        <v>2</v>
      </c>
      <c r="AE212" s="398">
        <f>[1]RONET_Input!D183</f>
        <v>5.49</v>
      </c>
      <c r="AF212" s="398"/>
      <c r="AG212" s="398"/>
      <c r="AH212" s="398"/>
      <c r="AI212" s="438"/>
      <c r="AJ212" s="442">
        <v>1</v>
      </c>
      <c r="AK212" s="442">
        <f>[1]RONET_Input!AF183</f>
        <v>4</v>
      </c>
      <c r="AL212" s="507"/>
      <c r="AM212" s="507"/>
      <c r="AN212" s="507"/>
      <c r="AO212" s="507"/>
      <c r="AP212" s="507"/>
      <c r="AQ212" s="507"/>
      <c r="AR212" s="507"/>
      <c r="AS212" s="507"/>
      <c r="AT212" s="507"/>
      <c r="AU212" s="507"/>
      <c r="AV212" s="507"/>
      <c r="AW212" s="507"/>
      <c r="AX212" s="508"/>
      <c r="AY212" s="509">
        <f>[1]RONET_Input!AG183</f>
        <v>3</v>
      </c>
      <c r="AZ212" s="359" t="s">
        <v>321</v>
      </c>
      <c r="BA212" s="360" t="s">
        <v>502</v>
      </c>
      <c r="BB212" s="360" t="s">
        <v>443</v>
      </c>
      <c r="BC212" s="510">
        <v>1.4356141316517001E-2</v>
      </c>
      <c r="BD212" s="510">
        <v>5.0050000000000004E-2</v>
      </c>
      <c r="BE212" s="438">
        <v>5</v>
      </c>
      <c r="BF212" s="511">
        <v>0.11564583819428877</v>
      </c>
      <c r="BG212" s="512">
        <v>0.40317757216313194</v>
      </c>
      <c r="BH212" s="512">
        <v>8.0554959473153236</v>
      </c>
      <c r="BI212" s="513">
        <v>0</v>
      </c>
      <c r="BJ212" s="514">
        <v>375</v>
      </c>
      <c r="BK212" s="515">
        <v>0.22366666666666665</v>
      </c>
      <c r="BL212" s="512">
        <v>3.9260676177787508E-2</v>
      </c>
      <c r="BM212" s="516">
        <v>3.2054071874999999E-2</v>
      </c>
      <c r="BN212" s="517">
        <v>375</v>
      </c>
      <c r="BO212" s="518">
        <v>397.50000000000011</v>
      </c>
      <c r="BP212" s="518">
        <v>421.34999999999991</v>
      </c>
      <c r="BQ212" s="518">
        <v>446.63099999999997</v>
      </c>
      <c r="BR212" s="518">
        <v>473.42885999999999</v>
      </c>
      <c r="BS212" s="518">
        <v>501.83459160000012</v>
      </c>
      <c r="BT212" s="518">
        <v>531.9446670960001</v>
      </c>
      <c r="BU212" s="518">
        <v>563.86134712175999</v>
      </c>
      <c r="BV212" s="518">
        <v>597.69302794906582</v>
      </c>
      <c r="BW212" s="518">
        <v>633.55460962600955</v>
      </c>
      <c r="BX212" s="518">
        <v>671.56788620357008</v>
      </c>
      <c r="BY212" s="518">
        <v>711.86195937578441</v>
      </c>
      <c r="BZ212" s="518">
        <v>754.57367693833146</v>
      </c>
      <c r="CA212" s="518">
        <v>799.84809755463141</v>
      </c>
      <c r="CB212" s="518">
        <v>847.83898340790915</v>
      </c>
      <c r="CC212" s="518">
        <v>898.70932241238381</v>
      </c>
      <c r="CD212" s="518">
        <v>952.63188175712685</v>
      </c>
      <c r="CE212" s="518">
        <v>1009.7897946625544</v>
      </c>
      <c r="CF212" s="518">
        <v>1070.3771823423076</v>
      </c>
      <c r="CG212" s="519">
        <v>1134.5998132828461</v>
      </c>
      <c r="CH212" s="520">
        <v>5.49</v>
      </c>
      <c r="CI212" s="521">
        <v>5.5998000000000001</v>
      </c>
      <c r="CJ212" s="521">
        <v>5.7117960000000005</v>
      </c>
      <c r="CK212" s="521">
        <v>5.8260319200000001</v>
      </c>
      <c r="CL212" s="521">
        <v>2.5</v>
      </c>
      <c r="CM212" s="521">
        <v>2.5499999999999998</v>
      </c>
      <c r="CN212" s="521">
        <v>2.601</v>
      </c>
      <c r="CO212" s="521">
        <v>2.6530200000000002</v>
      </c>
      <c r="CP212" s="521">
        <v>2.7060804000000003</v>
      </c>
      <c r="CQ212" s="521">
        <v>2.7602020080000003</v>
      </c>
      <c r="CR212" s="521">
        <v>2.8154060481600003</v>
      </c>
      <c r="CS212" s="521">
        <v>2.8717141691232002</v>
      </c>
      <c r="CT212" s="521">
        <v>2.5</v>
      </c>
      <c r="CU212" s="521">
        <v>2.5499999999999998</v>
      </c>
      <c r="CV212" s="521">
        <v>2.601</v>
      </c>
      <c r="CW212" s="521">
        <v>2.6530200000000002</v>
      </c>
      <c r="CX212" s="521">
        <v>2.7060804000000003</v>
      </c>
      <c r="CY212" s="521">
        <v>2.7602020080000003</v>
      </c>
      <c r="CZ212" s="521">
        <v>2.8154060481600003</v>
      </c>
      <c r="DA212" s="522">
        <v>2.8717141691232002</v>
      </c>
      <c r="DB212" s="523">
        <v>0</v>
      </c>
      <c r="DC212" s="524">
        <v>0</v>
      </c>
      <c r="DD212" s="524">
        <v>0</v>
      </c>
      <c r="DE212" s="524">
        <v>0</v>
      </c>
      <c r="DF212" s="524">
        <v>-1.1634087058837589E-2</v>
      </c>
      <c r="DG212" s="524">
        <v>1.5822905453922419E-3</v>
      </c>
      <c r="DH212" s="524">
        <v>1.7505275105134388E-3</v>
      </c>
      <c r="DI212" s="524">
        <v>1.9363625436495946E-3</v>
      </c>
      <c r="DJ212" s="524">
        <v>2.1416151319091394E-3</v>
      </c>
      <c r="DK212" s="524">
        <v>0.19574817452128837</v>
      </c>
      <c r="DL212" s="524">
        <v>4.9359307068619351E-5</v>
      </c>
      <c r="DM212" s="524">
        <v>3.555424661667167E-5</v>
      </c>
      <c r="DN212" s="524">
        <v>-1.2882898538582779E-2</v>
      </c>
      <c r="DO212" s="524">
        <v>1.8014304456935581E-4</v>
      </c>
      <c r="DP212" s="524">
        <v>1.7784075271410488E-4</v>
      </c>
      <c r="DQ212" s="524">
        <v>1.7408897693918512E-4</v>
      </c>
      <c r="DR212" s="524">
        <v>1.6867004570798871E-4</v>
      </c>
      <c r="DS212" s="524">
        <v>2.6409148770167604E-2</v>
      </c>
      <c r="DT212" s="524">
        <v>2.8656778632363267E-4</v>
      </c>
      <c r="DU212" s="525">
        <v>2.9144196382384358E-4</v>
      </c>
      <c r="DV212" s="526">
        <v>3.5</v>
      </c>
      <c r="DW212" s="507">
        <v>1</v>
      </c>
      <c r="DX212" s="509">
        <v>5.49</v>
      </c>
      <c r="DY212" s="507">
        <v>2</v>
      </c>
      <c r="DZ212" s="507">
        <v>5</v>
      </c>
      <c r="EA212" s="507">
        <v>0</v>
      </c>
      <c r="EB212" s="507">
        <v>0</v>
      </c>
      <c r="EC212" s="507">
        <v>111.62500000000001</v>
      </c>
      <c r="ED212" s="507">
        <v>102.18750000000001</v>
      </c>
      <c r="EE212" s="507">
        <v>0</v>
      </c>
      <c r="EF212" s="507">
        <v>25.062499999999996</v>
      </c>
      <c r="EG212" s="507">
        <v>29.3125</v>
      </c>
      <c r="EH212" s="507">
        <v>12.8125</v>
      </c>
      <c r="EI212" s="507">
        <v>16.6875</v>
      </c>
      <c r="EJ212" s="507">
        <v>56.4375</v>
      </c>
      <c r="EK212" s="507">
        <v>10.4375</v>
      </c>
      <c r="EL212" s="507">
        <v>10.4375</v>
      </c>
      <c r="EM212" s="508">
        <v>375</v>
      </c>
    </row>
    <row r="213" spans="2:143" x14ac:dyDescent="0.25">
      <c r="B213" s="506" t="str">
        <f>[1]RONET_Input!J184</f>
        <v xml:space="preserve">Input VPROMMS: QL45_2 (40.0 pct); ql45_1 (40.0 pct); 212TH00036 (20.0 pct); </v>
      </c>
      <c r="C213" s="359">
        <f>[1]RONET_Input!B184</f>
        <v>182</v>
      </c>
      <c r="D213" s="397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442">
        <f>[1]RONET_Input!K184</f>
        <v>0.36344588617700002</v>
      </c>
      <c r="Q213" s="398">
        <f>[1]RONET_Input!Y184</f>
        <v>2</v>
      </c>
      <c r="R213" s="398">
        <f>[1]RONET_Input!X184</f>
        <v>3.5</v>
      </c>
      <c r="S213" s="398"/>
      <c r="T213" s="398"/>
      <c r="U213" s="398">
        <f>[1]RONET_Input!AA184</f>
        <v>8</v>
      </c>
      <c r="V213" s="398">
        <f>[1]RONET_Input!AC184</f>
        <v>1</v>
      </c>
      <c r="W213" s="398">
        <f>[1]RONET_Input!AD184</f>
        <v>1</v>
      </c>
      <c r="X213" s="398">
        <f>[1]RONET_Input!AE184</f>
        <v>4</v>
      </c>
      <c r="Y213" s="398">
        <f>[1]RONET_Input!AB184</f>
        <v>1</v>
      </c>
      <c r="Z213" s="438">
        <f>[1]RONET_Input!Z184</f>
        <v>1</v>
      </c>
      <c r="AA213" s="442"/>
      <c r="AB213" s="398"/>
      <c r="AC213" s="438"/>
      <c r="AD213" s="442">
        <f>[1]RONET_Input!AH184</f>
        <v>3</v>
      </c>
      <c r="AE213" s="398">
        <f>[1]RONET_Input!D184</f>
        <v>0</v>
      </c>
      <c r="AF213" s="398"/>
      <c r="AG213" s="398"/>
      <c r="AH213" s="398"/>
      <c r="AI213" s="438"/>
      <c r="AJ213" s="442">
        <v>1</v>
      </c>
      <c r="AK213" s="442">
        <f>[1]RONET_Input!AF184</f>
        <v>4</v>
      </c>
      <c r="AL213" s="507"/>
      <c r="AM213" s="507"/>
      <c r="AN213" s="507"/>
      <c r="AO213" s="507"/>
      <c r="AP213" s="507"/>
      <c r="AQ213" s="507"/>
      <c r="AR213" s="507"/>
      <c r="AS213" s="507"/>
      <c r="AT213" s="507"/>
      <c r="AU213" s="507"/>
      <c r="AV213" s="507"/>
      <c r="AW213" s="507"/>
      <c r="AX213" s="508"/>
      <c r="AY213" s="509">
        <f>[1]RONET_Input!AG184</f>
        <v>3</v>
      </c>
      <c r="AZ213" s="359" t="s">
        <v>321</v>
      </c>
      <c r="BA213" s="360" t="s">
        <v>502</v>
      </c>
      <c r="BB213" s="360" t="s">
        <v>443</v>
      </c>
      <c r="BC213" s="510">
        <v>1.8190466603158852E-2</v>
      </c>
      <c r="BD213" s="510">
        <v>5.0050000000000004E-2</v>
      </c>
      <c r="BE213" s="438">
        <v>6</v>
      </c>
      <c r="BF213" s="511">
        <v>0.14375873707946826</v>
      </c>
      <c r="BG213" s="512">
        <v>0.39554371791529103</v>
      </c>
      <c r="BH213" s="512">
        <v>7.9029713869189013</v>
      </c>
      <c r="BI213" s="513">
        <v>0</v>
      </c>
      <c r="BJ213" s="514">
        <v>375</v>
      </c>
      <c r="BK213" s="515">
        <v>0.22366666666666665</v>
      </c>
      <c r="BL213" s="512">
        <v>4.9746655670476869E-2</v>
      </c>
      <c r="BM213" s="516">
        <v>3.2054071874999999E-2</v>
      </c>
      <c r="BN213" s="517">
        <v>375</v>
      </c>
      <c r="BO213" s="518">
        <v>397.50000000000011</v>
      </c>
      <c r="BP213" s="518">
        <v>421.34999999999991</v>
      </c>
      <c r="BQ213" s="518">
        <v>446.63099999999997</v>
      </c>
      <c r="BR213" s="518">
        <v>473.42885999999999</v>
      </c>
      <c r="BS213" s="518">
        <v>501.83459160000012</v>
      </c>
      <c r="BT213" s="518">
        <v>531.9446670960001</v>
      </c>
      <c r="BU213" s="518">
        <v>563.86134712175999</v>
      </c>
      <c r="BV213" s="518">
        <v>597.69302794906582</v>
      </c>
      <c r="BW213" s="518">
        <v>633.55460962600955</v>
      </c>
      <c r="BX213" s="518">
        <v>671.56788620357008</v>
      </c>
      <c r="BY213" s="518">
        <v>711.86195937578441</v>
      </c>
      <c r="BZ213" s="518">
        <v>754.57367693833146</v>
      </c>
      <c r="CA213" s="518">
        <v>799.84809755463141</v>
      </c>
      <c r="CB213" s="518">
        <v>847.83898340790915</v>
      </c>
      <c r="CC213" s="518">
        <v>898.70932241238381</v>
      </c>
      <c r="CD213" s="518">
        <v>952.63188175712685</v>
      </c>
      <c r="CE213" s="518">
        <v>1009.7897946625544</v>
      </c>
      <c r="CF213" s="518">
        <v>1070.3771823423076</v>
      </c>
      <c r="CG213" s="519">
        <v>1134.5998132828461</v>
      </c>
      <c r="CH213" s="520">
        <v>4.5</v>
      </c>
      <c r="CI213" s="521">
        <v>4.59</v>
      </c>
      <c r="CJ213" s="521">
        <v>4.6818</v>
      </c>
      <c r="CK213" s="521">
        <v>4.775436</v>
      </c>
      <c r="CL213" s="521">
        <v>4.8709447199999998</v>
      </c>
      <c r="CM213" s="521">
        <v>2.5</v>
      </c>
      <c r="CN213" s="521">
        <v>2.5499999999999998</v>
      </c>
      <c r="CO213" s="521">
        <v>2.601</v>
      </c>
      <c r="CP213" s="521">
        <v>2.6530200000000002</v>
      </c>
      <c r="CQ213" s="521">
        <v>2.7060804000000003</v>
      </c>
      <c r="CR213" s="521">
        <v>2.7602020080000003</v>
      </c>
      <c r="CS213" s="521">
        <v>2.8154060481600003</v>
      </c>
      <c r="CT213" s="521">
        <v>2.8717141691232002</v>
      </c>
      <c r="CU213" s="521">
        <v>2.5</v>
      </c>
      <c r="CV213" s="521">
        <v>2.5499999999999998</v>
      </c>
      <c r="CW213" s="521">
        <v>2.601</v>
      </c>
      <c r="CX213" s="521">
        <v>2.6530200000000002</v>
      </c>
      <c r="CY213" s="521">
        <v>2.7060804000000003</v>
      </c>
      <c r="CZ213" s="521">
        <v>2.7602020080000003</v>
      </c>
      <c r="DA213" s="522">
        <v>2.8154060481600003</v>
      </c>
      <c r="DB213" s="523">
        <v>0</v>
      </c>
      <c r="DC213" s="524">
        <v>0</v>
      </c>
      <c r="DD213" s="524">
        <v>0</v>
      </c>
      <c r="DE213" s="524">
        <v>0</v>
      </c>
      <c r="DF213" s="524">
        <v>0</v>
      </c>
      <c r="DG213" s="524">
        <v>-1.536185994570749E-2</v>
      </c>
      <c r="DH213" s="524">
        <v>1.3197513321495102E-3</v>
      </c>
      <c r="DI213" s="524">
        <v>1.4615770270991549E-3</v>
      </c>
      <c r="DJ213" s="524">
        <v>1.6183498627186654E-3</v>
      </c>
      <c r="DK213" s="524">
        <v>0.24805173472407743</v>
      </c>
      <c r="DL213" s="524">
        <v>8.6951636315481251E-5</v>
      </c>
      <c r="DM213" s="524">
        <v>7.2184746036867142E-5</v>
      </c>
      <c r="DN213" s="524">
        <v>5.4495419954732338E-5</v>
      </c>
      <c r="DO213" s="524">
        <v>-1.6302264943811401E-2</v>
      </c>
      <c r="DP213" s="524">
        <v>2.5073171948022943E-4</v>
      </c>
      <c r="DQ213" s="524">
        <v>2.4885075950960289E-4</v>
      </c>
      <c r="DR213" s="524">
        <v>2.4517127462908572E-4</v>
      </c>
      <c r="DS213" s="524">
        <v>3.349765034220565E-2</v>
      </c>
      <c r="DT213" s="524">
        <v>4.0201051923256792E-4</v>
      </c>
      <c r="DU213" s="525">
        <v>4.1253025082371719E-4</v>
      </c>
      <c r="DV213" s="526">
        <v>3.5</v>
      </c>
      <c r="DW213" s="507">
        <v>1</v>
      </c>
      <c r="DX213" s="509">
        <v>4.5</v>
      </c>
      <c r="DY213" s="507">
        <v>2</v>
      </c>
      <c r="DZ213" s="507">
        <v>10</v>
      </c>
      <c r="EA213" s="507">
        <v>0</v>
      </c>
      <c r="EB213" s="507">
        <v>0</v>
      </c>
      <c r="EC213" s="507">
        <v>111.62500000000001</v>
      </c>
      <c r="ED213" s="507">
        <v>102.18750000000001</v>
      </c>
      <c r="EE213" s="507">
        <v>0</v>
      </c>
      <c r="EF213" s="507">
        <v>25.062499999999996</v>
      </c>
      <c r="EG213" s="507">
        <v>29.3125</v>
      </c>
      <c r="EH213" s="507">
        <v>12.8125</v>
      </c>
      <c r="EI213" s="507">
        <v>16.6875</v>
      </c>
      <c r="EJ213" s="507">
        <v>56.4375</v>
      </c>
      <c r="EK213" s="507">
        <v>10.4375</v>
      </c>
      <c r="EL213" s="507">
        <v>10.4375</v>
      </c>
      <c r="EM213" s="508">
        <v>375</v>
      </c>
    </row>
    <row r="214" spans="2:143" x14ac:dyDescent="0.25">
      <c r="B214" s="506" t="str">
        <f>[1]RONET_Input!J185</f>
        <v xml:space="preserve">Input VPROMMS: 212TH00024 (40.0 pct); 214tt00040 (20.0 pct); 212th00024 (20.0 pct); 214tt00039 (20.0 pct); </v>
      </c>
      <c r="C214" s="359">
        <f>[1]RONET_Input!B185</f>
        <v>183</v>
      </c>
      <c r="D214" s="397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442">
        <f>[1]RONET_Input!K185</f>
        <v>5.5140341720300003E-2</v>
      </c>
      <c r="Q214" s="398">
        <f>[1]RONET_Input!Y185</f>
        <v>2</v>
      </c>
      <c r="R214" s="398">
        <f>[1]RONET_Input!X185</f>
        <v>3.5</v>
      </c>
      <c r="S214" s="398"/>
      <c r="T214" s="398"/>
      <c r="U214" s="398">
        <f>[1]RONET_Input!AA185</f>
        <v>8</v>
      </c>
      <c r="V214" s="398">
        <f>[1]RONET_Input!AC185</f>
        <v>1</v>
      </c>
      <c r="W214" s="398">
        <f>[1]RONET_Input!AD185</f>
        <v>1</v>
      </c>
      <c r="X214" s="398">
        <f>[1]RONET_Input!AE185</f>
        <v>4</v>
      </c>
      <c r="Y214" s="398">
        <f>[1]RONET_Input!AB185</f>
        <v>1</v>
      </c>
      <c r="Z214" s="438">
        <f>[1]RONET_Input!Z185</f>
        <v>1</v>
      </c>
      <c r="AA214" s="442"/>
      <c r="AB214" s="398"/>
      <c r="AC214" s="438"/>
      <c r="AD214" s="442">
        <f>[1]RONET_Input!AH185</f>
        <v>4</v>
      </c>
      <c r="AE214" s="398">
        <f>[1]RONET_Input!D185</f>
        <v>9.6300000000000008</v>
      </c>
      <c r="AF214" s="398"/>
      <c r="AG214" s="398"/>
      <c r="AH214" s="398"/>
      <c r="AI214" s="438"/>
      <c r="AJ214" s="442">
        <v>1</v>
      </c>
      <c r="AK214" s="442">
        <f>[1]RONET_Input!AF185</f>
        <v>4</v>
      </c>
      <c r="AL214" s="507"/>
      <c r="AM214" s="507"/>
      <c r="AN214" s="507"/>
      <c r="AO214" s="507"/>
      <c r="AP214" s="507"/>
      <c r="AQ214" s="507"/>
      <c r="AR214" s="507"/>
      <c r="AS214" s="507"/>
      <c r="AT214" s="507"/>
      <c r="AU214" s="507"/>
      <c r="AV214" s="507"/>
      <c r="AW214" s="507"/>
      <c r="AX214" s="508"/>
      <c r="AY214" s="509">
        <f>[1]RONET_Input!AG185</f>
        <v>3</v>
      </c>
      <c r="AZ214" s="359" t="s">
        <v>321</v>
      </c>
      <c r="BA214" s="360" t="s">
        <v>502</v>
      </c>
      <c r="BB214" s="360" t="s">
        <v>443</v>
      </c>
      <c r="BC214" s="510">
        <v>2.7597741031010156E-3</v>
      </c>
      <c r="BD214" s="510">
        <v>5.0050000000000011E-2</v>
      </c>
      <c r="BE214" s="438">
        <v>5</v>
      </c>
      <c r="BF214" s="511">
        <v>2.537060550983819E-2</v>
      </c>
      <c r="BG214" s="512">
        <v>0.46010968953603643</v>
      </c>
      <c r="BH214" s="512">
        <v>9.1930007899307959</v>
      </c>
      <c r="BI214" s="513">
        <v>0</v>
      </c>
      <c r="BJ214" s="514">
        <v>375</v>
      </c>
      <c r="BK214" s="515">
        <v>0.22366666666666665</v>
      </c>
      <c r="BL214" s="512">
        <v>7.547334272966064E-3</v>
      </c>
      <c r="BM214" s="516">
        <v>3.2054071874999999E-2</v>
      </c>
      <c r="BN214" s="517">
        <v>375</v>
      </c>
      <c r="BO214" s="518">
        <v>397.50000000000011</v>
      </c>
      <c r="BP214" s="518">
        <v>421.34999999999991</v>
      </c>
      <c r="BQ214" s="518">
        <v>446.63099999999997</v>
      </c>
      <c r="BR214" s="518">
        <v>473.42885999999999</v>
      </c>
      <c r="BS214" s="518">
        <v>501.83459160000012</v>
      </c>
      <c r="BT214" s="518">
        <v>531.9446670960001</v>
      </c>
      <c r="BU214" s="518">
        <v>563.86134712175999</v>
      </c>
      <c r="BV214" s="518">
        <v>597.69302794906582</v>
      </c>
      <c r="BW214" s="518">
        <v>633.55460962600955</v>
      </c>
      <c r="BX214" s="518">
        <v>671.56788620357008</v>
      </c>
      <c r="BY214" s="518">
        <v>711.86195937578441</v>
      </c>
      <c r="BZ214" s="518">
        <v>754.57367693833146</v>
      </c>
      <c r="CA214" s="518">
        <v>799.84809755463141</v>
      </c>
      <c r="CB214" s="518">
        <v>847.83898340790915</v>
      </c>
      <c r="CC214" s="518">
        <v>898.70932241238381</v>
      </c>
      <c r="CD214" s="518">
        <v>952.63188175712685</v>
      </c>
      <c r="CE214" s="518">
        <v>1009.7897946625544</v>
      </c>
      <c r="CF214" s="518">
        <v>1070.3771823423076</v>
      </c>
      <c r="CG214" s="519">
        <v>1134.5998132828461</v>
      </c>
      <c r="CH214" s="520">
        <v>9.6300000000000008</v>
      </c>
      <c r="CI214" s="521">
        <v>9.8226000000000013</v>
      </c>
      <c r="CJ214" s="521">
        <v>10.019052000000002</v>
      </c>
      <c r="CK214" s="521">
        <v>10.219433040000002</v>
      </c>
      <c r="CL214" s="521">
        <v>2.5</v>
      </c>
      <c r="CM214" s="521">
        <v>2.5499999999999998</v>
      </c>
      <c r="CN214" s="521">
        <v>2.601</v>
      </c>
      <c r="CO214" s="521">
        <v>2.6530200000000002</v>
      </c>
      <c r="CP214" s="521">
        <v>2.7060804000000003</v>
      </c>
      <c r="CQ214" s="521">
        <v>2.7602020080000003</v>
      </c>
      <c r="CR214" s="521">
        <v>2.8154060481600003</v>
      </c>
      <c r="CS214" s="521">
        <v>2.8717141691232002</v>
      </c>
      <c r="CT214" s="521">
        <v>2.5</v>
      </c>
      <c r="CU214" s="521">
        <v>2.5499999999999998</v>
      </c>
      <c r="CV214" s="521">
        <v>2.601</v>
      </c>
      <c r="CW214" s="521">
        <v>2.6530200000000002</v>
      </c>
      <c r="CX214" s="521">
        <v>2.7060804000000003</v>
      </c>
      <c r="CY214" s="521">
        <v>2.7602020080000003</v>
      </c>
      <c r="CZ214" s="521">
        <v>2.8154060481600003</v>
      </c>
      <c r="DA214" s="522">
        <v>2.8717141691232002</v>
      </c>
      <c r="DB214" s="523">
        <v>0</v>
      </c>
      <c r="DC214" s="524">
        <v>0</v>
      </c>
      <c r="DD214" s="524">
        <v>0</v>
      </c>
      <c r="DE214" s="524">
        <v>0</v>
      </c>
      <c r="DF214" s="524">
        <v>-1.5055810841541018E-3</v>
      </c>
      <c r="DG214" s="524">
        <v>1.1103981989738394E-3</v>
      </c>
      <c r="DH214" s="524">
        <v>1.2257695867823291E-3</v>
      </c>
      <c r="DI214" s="524">
        <v>1.3530316117199327E-3</v>
      </c>
      <c r="DJ214" s="524">
        <v>1.4933993926662514E-3</v>
      </c>
      <c r="DK214" s="524">
        <v>3.7629940445878439E-2</v>
      </c>
      <c r="DL214" s="524">
        <v>9.4886595493623785E-6</v>
      </c>
      <c r="DM214" s="524">
        <v>6.8348232930151923E-6</v>
      </c>
      <c r="DN214" s="524">
        <v>-2.4765630942036798E-3</v>
      </c>
      <c r="DO214" s="524">
        <v>3.4630065161331963E-5</v>
      </c>
      <c r="DP214" s="524">
        <v>3.4187480674331694E-5</v>
      </c>
      <c r="DQ214" s="524">
        <v>3.3466252497761639E-5</v>
      </c>
      <c r="DR214" s="524">
        <v>3.2424536221179953E-5</v>
      </c>
      <c r="DS214" s="524">
        <v>5.0768018546179274E-3</v>
      </c>
      <c r="DT214" s="524">
        <v>5.5088783123709989E-5</v>
      </c>
      <c r="DU214" s="525">
        <v>5.6025777859441267E-5</v>
      </c>
      <c r="DV214" s="526">
        <v>3.5</v>
      </c>
      <c r="DW214" s="507">
        <v>1</v>
      </c>
      <c r="DX214" s="509">
        <v>9.6300000000000008</v>
      </c>
      <c r="DY214" s="507">
        <v>2</v>
      </c>
      <c r="DZ214" s="507">
        <v>15</v>
      </c>
      <c r="EA214" s="507">
        <v>0</v>
      </c>
      <c r="EB214" s="507">
        <v>0</v>
      </c>
      <c r="EC214" s="507">
        <v>111.62500000000001</v>
      </c>
      <c r="ED214" s="507">
        <v>102.18750000000001</v>
      </c>
      <c r="EE214" s="507">
        <v>0</v>
      </c>
      <c r="EF214" s="507">
        <v>25.062499999999996</v>
      </c>
      <c r="EG214" s="507">
        <v>29.3125</v>
      </c>
      <c r="EH214" s="507">
        <v>12.8125</v>
      </c>
      <c r="EI214" s="507">
        <v>16.6875</v>
      </c>
      <c r="EJ214" s="507">
        <v>56.4375</v>
      </c>
      <c r="EK214" s="507">
        <v>10.4375</v>
      </c>
      <c r="EL214" s="507">
        <v>10.4375</v>
      </c>
      <c r="EM214" s="508">
        <v>375</v>
      </c>
    </row>
    <row r="215" spans="2:143" x14ac:dyDescent="0.25">
      <c r="B215" s="506" t="str">
        <f>[1]RONET_Input!J186</f>
        <v>214tt00039</v>
      </c>
      <c r="C215" s="359">
        <f>[1]RONET_Input!B186</f>
        <v>184</v>
      </c>
      <c r="D215" s="397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442">
        <f>[1]RONET_Input!K186</f>
        <v>0.131220892576</v>
      </c>
      <c r="Q215" s="398">
        <f>[1]RONET_Input!Y186</f>
        <v>1</v>
      </c>
      <c r="R215" s="398">
        <f>[1]RONET_Input!X186</f>
        <v>3.4</v>
      </c>
      <c r="S215" s="398"/>
      <c r="T215" s="398"/>
      <c r="U215" s="398">
        <f>[1]RONET_Input!AA186</f>
        <v>8</v>
      </c>
      <c r="V215" s="398">
        <f>[1]RONET_Input!AC186</f>
        <v>1</v>
      </c>
      <c r="W215" s="398">
        <f>[1]RONET_Input!AD186</f>
        <v>1</v>
      </c>
      <c r="X215" s="398">
        <f>[1]RONET_Input!AE186</f>
        <v>4</v>
      </c>
      <c r="Y215" s="398">
        <f>[1]RONET_Input!AB186</f>
        <v>1</v>
      </c>
      <c r="Z215" s="438">
        <f>[1]RONET_Input!Z186</f>
        <v>1</v>
      </c>
      <c r="AA215" s="442"/>
      <c r="AB215" s="398"/>
      <c r="AC215" s="438"/>
      <c r="AD215" s="442">
        <f>[1]RONET_Input!AH186</f>
        <v>3</v>
      </c>
      <c r="AE215" s="398">
        <f>[1]RONET_Input!D186</f>
        <v>0</v>
      </c>
      <c r="AF215" s="398"/>
      <c r="AG215" s="398"/>
      <c r="AH215" s="398"/>
      <c r="AI215" s="438"/>
      <c r="AJ215" s="442">
        <v>1</v>
      </c>
      <c r="AK215" s="442">
        <f>[1]RONET_Input!AF186</f>
        <v>4</v>
      </c>
      <c r="AL215" s="507"/>
      <c r="AM215" s="507"/>
      <c r="AN215" s="507"/>
      <c r="AO215" s="507"/>
      <c r="AP215" s="507"/>
      <c r="AQ215" s="507"/>
      <c r="AR215" s="507"/>
      <c r="AS215" s="507"/>
      <c r="AT215" s="507"/>
      <c r="AU215" s="507"/>
      <c r="AV215" s="507"/>
      <c r="AW215" s="507"/>
      <c r="AX215" s="508"/>
      <c r="AY215" s="509">
        <f>[1]RONET_Input!AG186</f>
        <v>3</v>
      </c>
      <c r="AZ215" s="359" t="s">
        <v>321</v>
      </c>
      <c r="BA215" s="360" t="s">
        <v>502</v>
      </c>
      <c r="BB215" s="360" t="s">
        <v>443</v>
      </c>
      <c r="BC215" s="510">
        <v>6.379959797045121E-3</v>
      </c>
      <c r="BD215" s="510">
        <v>4.8620000000000003E-2</v>
      </c>
      <c r="BE215" s="438">
        <v>6</v>
      </c>
      <c r="BF215" s="511">
        <v>5.4306560889868717E-2</v>
      </c>
      <c r="BG215" s="512">
        <v>0.41385605465544029</v>
      </c>
      <c r="BH215" s="512">
        <v>8.5120537773640521</v>
      </c>
      <c r="BI215" s="513">
        <v>0</v>
      </c>
      <c r="BJ215" s="514">
        <v>375</v>
      </c>
      <c r="BK215" s="515">
        <v>0.22366666666666665</v>
      </c>
      <c r="BL215" s="512">
        <v>1.7960859671340004E-2</v>
      </c>
      <c r="BM215" s="516">
        <v>6.4108143749999999E-2</v>
      </c>
      <c r="BN215" s="517">
        <v>375</v>
      </c>
      <c r="BO215" s="518">
        <v>397.50000000000011</v>
      </c>
      <c r="BP215" s="518">
        <v>421.34999999999991</v>
      </c>
      <c r="BQ215" s="518">
        <v>446.63099999999997</v>
      </c>
      <c r="BR215" s="518">
        <v>473.42885999999999</v>
      </c>
      <c r="BS215" s="518">
        <v>501.83459160000012</v>
      </c>
      <c r="BT215" s="518">
        <v>531.9446670960001</v>
      </c>
      <c r="BU215" s="518">
        <v>563.86134712175999</v>
      </c>
      <c r="BV215" s="518">
        <v>597.69302794906582</v>
      </c>
      <c r="BW215" s="518">
        <v>633.55460962600955</v>
      </c>
      <c r="BX215" s="518">
        <v>671.56788620357008</v>
      </c>
      <c r="BY215" s="518">
        <v>711.86195937578441</v>
      </c>
      <c r="BZ215" s="518">
        <v>754.57367693833146</v>
      </c>
      <c r="CA215" s="518">
        <v>799.84809755463141</v>
      </c>
      <c r="CB215" s="518">
        <v>847.83898340790915</v>
      </c>
      <c r="CC215" s="518">
        <v>898.70932241238381</v>
      </c>
      <c r="CD215" s="518">
        <v>952.63188175712685</v>
      </c>
      <c r="CE215" s="518">
        <v>1009.7897946625544</v>
      </c>
      <c r="CF215" s="518">
        <v>1070.3771823423076</v>
      </c>
      <c r="CG215" s="519">
        <v>1134.5998132828461</v>
      </c>
      <c r="CH215" s="520">
        <v>4.5</v>
      </c>
      <c r="CI215" s="521">
        <v>4.59</v>
      </c>
      <c r="CJ215" s="521">
        <v>4.6818</v>
      </c>
      <c r="CK215" s="521">
        <v>4.775436</v>
      </c>
      <c r="CL215" s="521">
        <v>4.8709447199999998</v>
      </c>
      <c r="CM215" s="521">
        <v>2.5</v>
      </c>
      <c r="CN215" s="521">
        <v>2.5499999999999998</v>
      </c>
      <c r="CO215" s="521">
        <v>2.601</v>
      </c>
      <c r="CP215" s="521">
        <v>2.6530200000000002</v>
      </c>
      <c r="CQ215" s="521">
        <v>2.7060804000000003</v>
      </c>
      <c r="CR215" s="521">
        <v>2.7602020080000003</v>
      </c>
      <c r="CS215" s="521">
        <v>2.8154060481600003</v>
      </c>
      <c r="CT215" s="521">
        <v>2.8717141691232002</v>
      </c>
      <c r="CU215" s="521">
        <v>2.5</v>
      </c>
      <c r="CV215" s="521">
        <v>2.5499999999999998</v>
      </c>
      <c r="CW215" s="521">
        <v>2.601</v>
      </c>
      <c r="CX215" s="521">
        <v>2.6530200000000002</v>
      </c>
      <c r="CY215" s="521">
        <v>2.7060804000000003</v>
      </c>
      <c r="CZ215" s="521">
        <v>2.7602020080000003</v>
      </c>
      <c r="DA215" s="522">
        <v>2.8154060481600003</v>
      </c>
      <c r="DB215" s="523">
        <v>0</v>
      </c>
      <c r="DC215" s="524">
        <v>0</v>
      </c>
      <c r="DD215" s="524">
        <v>0</v>
      </c>
      <c r="DE215" s="524">
        <v>0</v>
      </c>
      <c r="DF215" s="524">
        <v>0</v>
      </c>
      <c r="DG215" s="524">
        <v>-5.3162757441754544E-3</v>
      </c>
      <c r="DH215" s="524">
        <v>5.4011812164642126E-4</v>
      </c>
      <c r="DI215" s="524">
        <v>5.9592859557695485E-4</v>
      </c>
      <c r="DJ215" s="524">
        <v>6.5744458041339104E-4</v>
      </c>
      <c r="DK215" s="524">
        <v>8.9924905040149994E-2</v>
      </c>
      <c r="DL215" s="524">
        <v>4.0382899176785898E-4</v>
      </c>
      <c r="DM215" s="524">
        <v>4.0445602236745606E-4</v>
      </c>
      <c r="DN215" s="524">
        <v>4.0422781680300376E-4</v>
      </c>
      <c r="DO215" s="524">
        <v>-5.3061346636856278E-3</v>
      </c>
      <c r="DP215" s="524">
        <v>5.0745747525311399E-4</v>
      </c>
      <c r="DQ215" s="524">
        <v>5.1502703267082561E-4</v>
      </c>
      <c r="DR215" s="524">
        <v>5.222537018357877E-4</v>
      </c>
      <c r="DS215" s="524">
        <v>1.253681326418591E-2</v>
      </c>
      <c r="DT215" s="524">
        <v>5.9692596903706402E-4</v>
      </c>
      <c r="DU215" s="525">
        <v>6.1022113067476375E-4</v>
      </c>
      <c r="DV215" s="526">
        <v>3.4</v>
      </c>
      <c r="DW215" s="507">
        <v>1</v>
      </c>
      <c r="DX215" s="509">
        <v>4.5</v>
      </c>
      <c r="DY215" s="507">
        <v>2</v>
      </c>
      <c r="DZ215" s="507">
        <v>10</v>
      </c>
      <c r="EA215" s="507">
        <v>0</v>
      </c>
      <c r="EB215" s="507">
        <v>0</v>
      </c>
      <c r="EC215" s="507">
        <v>111.62500000000001</v>
      </c>
      <c r="ED215" s="507">
        <v>102.18750000000001</v>
      </c>
      <c r="EE215" s="507">
        <v>0</v>
      </c>
      <c r="EF215" s="507">
        <v>25.062499999999996</v>
      </c>
      <c r="EG215" s="507">
        <v>29.3125</v>
      </c>
      <c r="EH215" s="507">
        <v>12.8125</v>
      </c>
      <c r="EI215" s="507">
        <v>16.6875</v>
      </c>
      <c r="EJ215" s="507">
        <v>56.4375</v>
      </c>
      <c r="EK215" s="507">
        <v>10.4375</v>
      </c>
      <c r="EL215" s="507">
        <v>10.4375</v>
      </c>
      <c r="EM215" s="508">
        <v>375</v>
      </c>
    </row>
    <row r="216" spans="2:143" x14ac:dyDescent="0.25">
      <c r="B216" s="506" t="str">
        <f>[1]RONET_Input!J187</f>
        <v xml:space="preserve">Input VPROMMS: 212TH00024 (51.43 pct); 212th00024 (48.57 pct); </v>
      </c>
      <c r="C216" s="359">
        <f>[1]RONET_Input!B187</f>
        <v>185</v>
      </c>
      <c r="D216" s="397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442">
        <f>[1]RONET_Input!K187</f>
        <v>0.809723318079</v>
      </c>
      <c r="Q216" s="398">
        <f>[1]RONET_Input!Y187</f>
        <v>2</v>
      </c>
      <c r="R216" s="398">
        <f>[1]RONET_Input!X187</f>
        <v>3.5</v>
      </c>
      <c r="S216" s="398"/>
      <c r="T216" s="398"/>
      <c r="U216" s="398">
        <f>[1]RONET_Input!AA187</f>
        <v>8</v>
      </c>
      <c r="V216" s="398">
        <f>[1]RONET_Input!AC187</f>
        <v>1</v>
      </c>
      <c r="W216" s="398">
        <f>[1]RONET_Input!AD187</f>
        <v>1</v>
      </c>
      <c r="X216" s="398">
        <f>[1]RONET_Input!AE187</f>
        <v>4</v>
      </c>
      <c r="Y216" s="398">
        <f>[1]RONET_Input!AB187</f>
        <v>1</v>
      </c>
      <c r="Z216" s="438">
        <f>[1]RONET_Input!Z187</f>
        <v>1</v>
      </c>
      <c r="AA216" s="442"/>
      <c r="AB216" s="398"/>
      <c r="AC216" s="438"/>
      <c r="AD216" s="442">
        <f>[1]RONET_Input!AH187</f>
        <v>4</v>
      </c>
      <c r="AE216" s="398">
        <f>[1]RONET_Input!D187</f>
        <v>8.35</v>
      </c>
      <c r="AF216" s="398"/>
      <c r="AG216" s="398"/>
      <c r="AH216" s="398"/>
      <c r="AI216" s="438"/>
      <c r="AJ216" s="442">
        <v>1</v>
      </c>
      <c r="AK216" s="442">
        <f>[1]RONET_Input!AF187</f>
        <v>4</v>
      </c>
      <c r="AL216" s="507"/>
      <c r="AM216" s="507"/>
      <c r="AN216" s="507"/>
      <c r="AO216" s="507"/>
      <c r="AP216" s="507"/>
      <c r="AQ216" s="507"/>
      <c r="AR216" s="507"/>
      <c r="AS216" s="507"/>
      <c r="AT216" s="507"/>
      <c r="AU216" s="507"/>
      <c r="AV216" s="507"/>
      <c r="AW216" s="507"/>
      <c r="AX216" s="508"/>
      <c r="AY216" s="509">
        <f>[1]RONET_Input!AG187</f>
        <v>3</v>
      </c>
      <c r="AZ216" s="359" t="s">
        <v>321</v>
      </c>
      <c r="BA216" s="360" t="s">
        <v>502</v>
      </c>
      <c r="BB216" s="360" t="s">
        <v>443</v>
      </c>
      <c r="BC216" s="510">
        <v>4.0526652069853952E-2</v>
      </c>
      <c r="BD216" s="510">
        <v>5.0050000000000004E-2</v>
      </c>
      <c r="BE216" s="438">
        <v>5</v>
      </c>
      <c r="BF216" s="511">
        <v>0.35560102429127516</v>
      </c>
      <c r="BG216" s="512">
        <v>0.4391636208957258</v>
      </c>
      <c r="BH216" s="512">
        <v>8.7744979199945217</v>
      </c>
      <c r="BI216" s="513">
        <v>0</v>
      </c>
      <c r="BJ216" s="514">
        <v>375</v>
      </c>
      <c r="BK216" s="515">
        <v>0.22366666666666665</v>
      </c>
      <c r="BL216" s="512">
        <v>0.11083087916206313</v>
      </c>
      <c r="BM216" s="516">
        <v>3.2054071874999999E-2</v>
      </c>
      <c r="BN216" s="517">
        <v>375</v>
      </c>
      <c r="BO216" s="518">
        <v>397.50000000000011</v>
      </c>
      <c r="BP216" s="518">
        <v>421.34999999999991</v>
      </c>
      <c r="BQ216" s="518">
        <v>446.63099999999997</v>
      </c>
      <c r="BR216" s="518">
        <v>473.42885999999999</v>
      </c>
      <c r="BS216" s="518">
        <v>501.83459160000012</v>
      </c>
      <c r="BT216" s="518">
        <v>531.9446670960001</v>
      </c>
      <c r="BU216" s="518">
        <v>563.86134712175999</v>
      </c>
      <c r="BV216" s="518">
        <v>597.69302794906582</v>
      </c>
      <c r="BW216" s="518">
        <v>633.55460962600955</v>
      </c>
      <c r="BX216" s="518">
        <v>671.56788620357008</v>
      </c>
      <c r="BY216" s="518">
        <v>711.86195937578441</v>
      </c>
      <c r="BZ216" s="518">
        <v>754.57367693833146</v>
      </c>
      <c r="CA216" s="518">
        <v>799.84809755463141</v>
      </c>
      <c r="CB216" s="518">
        <v>847.83898340790915</v>
      </c>
      <c r="CC216" s="518">
        <v>898.70932241238381</v>
      </c>
      <c r="CD216" s="518">
        <v>952.63188175712685</v>
      </c>
      <c r="CE216" s="518">
        <v>1009.7897946625544</v>
      </c>
      <c r="CF216" s="518">
        <v>1070.3771823423076</v>
      </c>
      <c r="CG216" s="519">
        <v>1134.5998132828461</v>
      </c>
      <c r="CH216" s="520">
        <v>8.35</v>
      </c>
      <c r="CI216" s="521">
        <v>8.5169999999999995</v>
      </c>
      <c r="CJ216" s="521">
        <v>8.687339999999999</v>
      </c>
      <c r="CK216" s="521">
        <v>8.8610867999999989</v>
      </c>
      <c r="CL216" s="521">
        <v>2.5</v>
      </c>
      <c r="CM216" s="521">
        <v>2.5499999999999998</v>
      </c>
      <c r="CN216" s="521">
        <v>2.601</v>
      </c>
      <c r="CO216" s="521">
        <v>2.6530200000000002</v>
      </c>
      <c r="CP216" s="521">
        <v>2.7060804000000003</v>
      </c>
      <c r="CQ216" s="521">
        <v>2.7602020080000003</v>
      </c>
      <c r="CR216" s="521">
        <v>2.8154060481600003</v>
      </c>
      <c r="CS216" s="521">
        <v>2.8717141691232002</v>
      </c>
      <c r="CT216" s="521">
        <v>2.5</v>
      </c>
      <c r="CU216" s="521">
        <v>2.5499999999999998</v>
      </c>
      <c r="CV216" s="521">
        <v>2.601</v>
      </c>
      <c r="CW216" s="521">
        <v>2.6530200000000002</v>
      </c>
      <c r="CX216" s="521">
        <v>2.7060804000000003</v>
      </c>
      <c r="CY216" s="521">
        <v>2.7602020080000003</v>
      </c>
      <c r="CZ216" s="521">
        <v>2.8154060481600003</v>
      </c>
      <c r="DA216" s="522">
        <v>2.8717141691232002</v>
      </c>
      <c r="DB216" s="523">
        <v>0</v>
      </c>
      <c r="DC216" s="524">
        <v>0</v>
      </c>
      <c r="DD216" s="524">
        <v>0</v>
      </c>
      <c r="DE216" s="524">
        <v>0</v>
      </c>
      <c r="DF216" s="524">
        <v>-2.6060494876800108E-2</v>
      </c>
      <c r="DG216" s="524">
        <v>1.1948759425925159E-2</v>
      </c>
      <c r="DH216" s="524">
        <v>1.3195651755753948E-2</v>
      </c>
      <c r="DI216" s="524">
        <v>1.4571456117514411E-2</v>
      </c>
      <c r="DJ216" s="524">
        <v>1.6089423977838635E-2</v>
      </c>
      <c r="DK216" s="524">
        <v>0.55258707665452023</v>
      </c>
      <c r="DL216" s="524">
        <v>1.3933879723496134E-4</v>
      </c>
      <c r="DM216" s="524">
        <v>1.0036781823692664E-4</v>
      </c>
      <c r="DN216" s="524">
        <v>-3.6367763120559934E-2</v>
      </c>
      <c r="DO216" s="524">
        <v>5.0853459360050701E-4</v>
      </c>
      <c r="DP216" s="524">
        <v>5.020353415435691E-4</v>
      </c>
      <c r="DQ216" s="524">
        <v>4.914442705780675E-4</v>
      </c>
      <c r="DR216" s="524">
        <v>4.7614690509836799E-4</v>
      </c>
      <c r="DS216" s="524">
        <v>7.4551675138376045E-2</v>
      </c>
      <c r="DT216" s="524">
        <v>8.0896619186970886E-4</v>
      </c>
      <c r="DU216" s="525">
        <v>8.2272574545186328E-4</v>
      </c>
      <c r="DV216" s="526">
        <v>3.5</v>
      </c>
      <c r="DW216" s="507">
        <v>1</v>
      </c>
      <c r="DX216" s="509">
        <v>8.35</v>
      </c>
      <c r="DY216" s="507">
        <v>2</v>
      </c>
      <c r="DZ216" s="507">
        <v>15</v>
      </c>
      <c r="EA216" s="507">
        <v>0</v>
      </c>
      <c r="EB216" s="507">
        <v>0</v>
      </c>
      <c r="EC216" s="507">
        <v>111.62500000000001</v>
      </c>
      <c r="ED216" s="507">
        <v>102.18750000000001</v>
      </c>
      <c r="EE216" s="507">
        <v>0</v>
      </c>
      <c r="EF216" s="507">
        <v>25.062499999999996</v>
      </c>
      <c r="EG216" s="507">
        <v>29.3125</v>
      </c>
      <c r="EH216" s="507">
        <v>12.8125</v>
      </c>
      <c r="EI216" s="507">
        <v>16.6875</v>
      </c>
      <c r="EJ216" s="507">
        <v>56.4375</v>
      </c>
      <c r="EK216" s="507">
        <v>10.4375</v>
      </c>
      <c r="EL216" s="507">
        <v>10.4375</v>
      </c>
      <c r="EM216" s="508">
        <v>375</v>
      </c>
    </row>
    <row r="217" spans="2:143" x14ac:dyDescent="0.25">
      <c r="B217" s="506" t="str">
        <f>[1]RONET_Input!J188</f>
        <v>214tt00087</v>
      </c>
      <c r="C217" s="359">
        <f>[1]RONET_Input!B188</f>
        <v>186</v>
      </c>
      <c r="D217" s="397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442">
        <f>[1]RONET_Input!K188</f>
        <v>0.82508742738199992</v>
      </c>
      <c r="Q217" s="398">
        <f>[1]RONET_Input!Y188</f>
        <v>1</v>
      </c>
      <c r="R217" s="398">
        <f>[1]RONET_Input!X188</f>
        <v>3.4</v>
      </c>
      <c r="S217" s="398"/>
      <c r="T217" s="398"/>
      <c r="U217" s="398">
        <f>[1]RONET_Input!AA188</f>
        <v>8</v>
      </c>
      <c r="V217" s="398">
        <f>[1]RONET_Input!AC188</f>
        <v>1</v>
      </c>
      <c r="W217" s="398">
        <f>[1]RONET_Input!AD188</f>
        <v>1</v>
      </c>
      <c r="X217" s="398">
        <f>[1]RONET_Input!AE188</f>
        <v>4</v>
      </c>
      <c r="Y217" s="398">
        <f>[1]RONET_Input!AB188</f>
        <v>1</v>
      </c>
      <c r="Z217" s="438">
        <f>[1]RONET_Input!Z188</f>
        <v>1</v>
      </c>
      <c r="AA217" s="442"/>
      <c r="AB217" s="398"/>
      <c r="AC217" s="438"/>
      <c r="AD217" s="442">
        <f>[1]RONET_Input!AH188</f>
        <v>2</v>
      </c>
      <c r="AE217" s="398">
        <f>[1]RONET_Input!D188</f>
        <v>4.88</v>
      </c>
      <c r="AF217" s="398"/>
      <c r="AG217" s="398"/>
      <c r="AH217" s="398"/>
      <c r="AI217" s="438"/>
      <c r="AJ217" s="442">
        <v>1</v>
      </c>
      <c r="AK217" s="442">
        <f>[1]RONET_Input!AF188</f>
        <v>4</v>
      </c>
      <c r="AL217" s="507"/>
      <c r="AM217" s="507"/>
      <c r="AN217" s="507"/>
      <c r="AO217" s="507"/>
      <c r="AP217" s="507"/>
      <c r="AQ217" s="507"/>
      <c r="AR217" s="507"/>
      <c r="AS217" s="507"/>
      <c r="AT217" s="507"/>
      <c r="AU217" s="507"/>
      <c r="AV217" s="507"/>
      <c r="AW217" s="507"/>
      <c r="AX217" s="508"/>
      <c r="AY217" s="509">
        <f>[1]RONET_Input!AG188</f>
        <v>3</v>
      </c>
      <c r="AZ217" s="359" t="s">
        <v>321</v>
      </c>
      <c r="BA217" s="360" t="s">
        <v>502</v>
      </c>
      <c r="BB217" s="360" t="s">
        <v>443</v>
      </c>
      <c r="BC217" s="510">
        <v>4.0115750719312837E-2</v>
      </c>
      <c r="BD217" s="510">
        <v>4.8620000000000003E-2</v>
      </c>
      <c r="BE217" s="438">
        <v>6</v>
      </c>
      <c r="BF217" s="511">
        <v>0.34377223333505175</v>
      </c>
      <c r="BG217" s="512">
        <v>0.41664946274340897</v>
      </c>
      <c r="BH217" s="512">
        <v>8.5695076664625454</v>
      </c>
      <c r="BI217" s="513">
        <v>0</v>
      </c>
      <c r="BJ217" s="514">
        <v>375</v>
      </c>
      <c r="BK217" s="515">
        <v>0.22366666666666665</v>
      </c>
      <c r="BL217" s="512">
        <v>0.11293384162291126</v>
      </c>
      <c r="BM217" s="516">
        <v>6.4108143749999999E-2</v>
      </c>
      <c r="BN217" s="517">
        <v>375</v>
      </c>
      <c r="BO217" s="518">
        <v>397.50000000000011</v>
      </c>
      <c r="BP217" s="518">
        <v>421.34999999999991</v>
      </c>
      <c r="BQ217" s="518">
        <v>446.63099999999997</v>
      </c>
      <c r="BR217" s="518">
        <v>473.42885999999999</v>
      </c>
      <c r="BS217" s="518">
        <v>501.83459160000012</v>
      </c>
      <c r="BT217" s="518">
        <v>531.9446670960001</v>
      </c>
      <c r="BU217" s="518">
        <v>563.86134712175999</v>
      </c>
      <c r="BV217" s="518">
        <v>597.69302794906582</v>
      </c>
      <c r="BW217" s="518">
        <v>633.55460962600955</v>
      </c>
      <c r="BX217" s="518">
        <v>671.56788620357008</v>
      </c>
      <c r="BY217" s="518">
        <v>711.86195937578441</v>
      </c>
      <c r="BZ217" s="518">
        <v>754.57367693833146</v>
      </c>
      <c r="CA217" s="518">
        <v>799.84809755463141</v>
      </c>
      <c r="CB217" s="518">
        <v>847.83898340790915</v>
      </c>
      <c r="CC217" s="518">
        <v>898.70932241238381</v>
      </c>
      <c r="CD217" s="518">
        <v>952.63188175712685</v>
      </c>
      <c r="CE217" s="518">
        <v>1009.7897946625544</v>
      </c>
      <c r="CF217" s="518">
        <v>1070.3771823423076</v>
      </c>
      <c r="CG217" s="519">
        <v>1134.5998132828461</v>
      </c>
      <c r="CH217" s="520">
        <v>4.88</v>
      </c>
      <c r="CI217" s="521">
        <v>4.9775999999999998</v>
      </c>
      <c r="CJ217" s="521">
        <v>5.0771519999999999</v>
      </c>
      <c r="CK217" s="521">
        <v>5.17869504</v>
      </c>
      <c r="CL217" s="521">
        <v>5.2822689407999999</v>
      </c>
      <c r="CM217" s="521">
        <v>2.5</v>
      </c>
      <c r="CN217" s="521">
        <v>2.5499999999999998</v>
      </c>
      <c r="CO217" s="521">
        <v>2.601</v>
      </c>
      <c r="CP217" s="521">
        <v>2.6530200000000002</v>
      </c>
      <c r="CQ217" s="521">
        <v>2.7060804000000003</v>
      </c>
      <c r="CR217" s="521">
        <v>2.7602020080000003</v>
      </c>
      <c r="CS217" s="521">
        <v>2.8154060481600003</v>
      </c>
      <c r="CT217" s="521">
        <v>2.8717141691232002</v>
      </c>
      <c r="CU217" s="521">
        <v>2.5</v>
      </c>
      <c r="CV217" s="521">
        <v>2.5499999999999998</v>
      </c>
      <c r="CW217" s="521">
        <v>2.601</v>
      </c>
      <c r="CX217" s="521">
        <v>2.6530200000000002</v>
      </c>
      <c r="CY217" s="521">
        <v>2.7060804000000003</v>
      </c>
      <c r="CZ217" s="521">
        <v>2.7602020080000003</v>
      </c>
      <c r="DA217" s="522">
        <v>2.8154060481600003</v>
      </c>
      <c r="DB217" s="523">
        <v>0</v>
      </c>
      <c r="DC217" s="524">
        <v>0</v>
      </c>
      <c r="DD217" s="524">
        <v>0</v>
      </c>
      <c r="DE217" s="524">
        <v>0</v>
      </c>
      <c r="DF217" s="524">
        <v>0</v>
      </c>
      <c r="DG217" s="524">
        <v>-3.2700708142200385E-2</v>
      </c>
      <c r="DH217" s="524">
        <v>4.1970821949553899E-3</v>
      </c>
      <c r="DI217" s="524">
        <v>4.6296092263709426E-3</v>
      </c>
      <c r="DJ217" s="524">
        <v>5.1062653043893458E-3</v>
      </c>
      <c r="DK217" s="524">
        <v>0.56542755578480397</v>
      </c>
      <c r="DL217" s="524">
        <v>2.5391857758247649E-3</v>
      </c>
      <c r="DM217" s="524">
        <v>2.5431284030555112E-3</v>
      </c>
      <c r="DN217" s="524">
        <v>2.5416934978480105E-3</v>
      </c>
      <c r="DO217" s="524">
        <v>-3.3363780058630388E-2</v>
      </c>
      <c r="DP217" s="524">
        <v>3.1907783474331708E-3</v>
      </c>
      <c r="DQ217" s="524">
        <v>3.2383740201465672E-3</v>
      </c>
      <c r="DR217" s="524">
        <v>3.2838136887298475E-3</v>
      </c>
      <c r="DS217" s="524">
        <v>7.8828659069855866E-2</v>
      </c>
      <c r="DT217" s="524">
        <v>3.753336092002596E-3</v>
      </c>
      <c r="DU217" s="525">
        <v>3.8369330748986574E-3</v>
      </c>
      <c r="DV217" s="526">
        <v>3.4</v>
      </c>
      <c r="DW217" s="507">
        <v>1</v>
      </c>
      <c r="DX217" s="509">
        <v>4.88</v>
      </c>
      <c r="DY217" s="507">
        <v>2</v>
      </c>
      <c r="DZ217" s="507">
        <v>5</v>
      </c>
      <c r="EA217" s="507">
        <v>0</v>
      </c>
      <c r="EB217" s="507">
        <v>0</v>
      </c>
      <c r="EC217" s="507">
        <v>111.62500000000001</v>
      </c>
      <c r="ED217" s="507">
        <v>102.18750000000001</v>
      </c>
      <c r="EE217" s="507">
        <v>0</v>
      </c>
      <c r="EF217" s="507">
        <v>25.062499999999996</v>
      </c>
      <c r="EG217" s="507">
        <v>29.3125</v>
      </c>
      <c r="EH217" s="507">
        <v>12.8125</v>
      </c>
      <c r="EI217" s="507">
        <v>16.6875</v>
      </c>
      <c r="EJ217" s="507">
        <v>56.4375</v>
      </c>
      <c r="EK217" s="507">
        <v>10.4375</v>
      </c>
      <c r="EL217" s="507">
        <v>10.4375</v>
      </c>
      <c r="EM217" s="508">
        <v>375</v>
      </c>
    </row>
    <row r="218" spans="2:143" x14ac:dyDescent="0.25">
      <c r="B218" s="506" t="str">
        <f>[1]RONET_Input!J189</f>
        <v xml:space="preserve">Input VPROMMS: 212TH00036 (75.0 pct); ql45_1 (25.0 pct); </v>
      </c>
      <c r="C218" s="359">
        <f>[1]RONET_Input!B189</f>
        <v>187</v>
      </c>
      <c r="D218" s="397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442">
        <f>[1]RONET_Input!K189</f>
        <v>2.7901723543499998E-2</v>
      </c>
      <c r="Q218" s="398">
        <f>[1]RONET_Input!Y189</f>
        <v>2</v>
      </c>
      <c r="R218" s="398">
        <f>[1]RONET_Input!X189</f>
        <v>3.5</v>
      </c>
      <c r="S218" s="398"/>
      <c r="T218" s="398"/>
      <c r="U218" s="398">
        <f>[1]RONET_Input!AA189</f>
        <v>8</v>
      </c>
      <c r="V218" s="398">
        <f>[1]RONET_Input!AC189</f>
        <v>1</v>
      </c>
      <c r="W218" s="398">
        <f>[1]RONET_Input!AD189</f>
        <v>1</v>
      </c>
      <c r="X218" s="398">
        <f>[1]RONET_Input!AE189</f>
        <v>4</v>
      </c>
      <c r="Y218" s="398">
        <f>[1]RONET_Input!AB189</f>
        <v>1</v>
      </c>
      <c r="Z218" s="438">
        <f>[1]RONET_Input!Z189</f>
        <v>1</v>
      </c>
      <c r="AA218" s="442"/>
      <c r="AB218" s="398"/>
      <c r="AC218" s="438"/>
      <c r="AD218" s="442">
        <f>[1]RONET_Input!AH189</f>
        <v>3</v>
      </c>
      <c r="AE218" s="398">
        <f>[1]RONET_Input!D189</f>
        <v>0</v>
      </c>
      <c r="AF218" s="398"/>
      <c r="AG218" s="398"/>
      <c r="AH218" s="398"/>
      <c r="AI218" s="438"/>
      <c r="AJ218" s="442">
        <v>1</v>
      </c>
      <c r="AK218" s="442">
        <f>[1]RONET_Input!AF189</f>
        <v>4</v>
      </c>
      <c r="AL218" s="507"/>
      <c r="AM218" s="507"/>
      <c r="AN218" s="507"/>
      <c r="AO218" s="507"/>
      <c r="AP218" s="507"/>
      <c r="AQ218" s="507"/>
      <c r="AR218" s="507"/>
      <c r="AS218" s="507"/>
      <c r="AT218" s="507"/>
      <c r="AU218" s="507"/>
      <c r="AV218" s="507"/>
      <c r="AW218" s="507"/>
      <c r="AX218" s="508"/>
      <c r="AY218" s="509">
        <f>[1]RONET_Input!AG189</f>
        <v>3</v>
      </c>
      <c r="AZ218" s="359" t="s">
        <v>321</v>
      </c>
      <c r="BA218" s="360" t="s">
        <v>502</v>
      </c>
      <c r="BB218" s="360" t="s">
        <v>443</v>
      </c>
      <c r="BC218" s="510">
        <v>1.3964812633521749E-3</v>
      </c>
      <c r="BD218" s="510">
        <v>5.0049999999999997E-2</v>
      </c>
      <c r="BE218" s="438">
        <v>6</v>
      </c>
      <c r="BF218" s="511">
        <v>1.1036351466640594E-2</v>
      </c>
      <c r="BG218" s="512">
        <v>0.39554371791529092</v>
      </c>
      <c r="BH218" s="512">
        <v>7.9029713869188987</v>
      </c>
      <c r="BI218" s="513">
        <v>0</v>
      </c>
      <c r="BJ218" s="514">
        <v>375</v>
      </c>
      <c r="BK218" s="515">
        <v>0.22366666666666665</v>
      </c>
      <c r="BL218" s="512">
        <v>3.8190484100165622E-3</v>
      </c>
      <c r="BM218" s="516">
        <v>3.2054071874999999E-2</v>
      </c>
      <c r="BN218" s="517">
        <v>375</v>
      </c>
      <c r="BO218" s="518">
        <v>397.50000000000011</v>
      </c>
      <c r="BP218" s="518">
        <v>421.34999999999991</v>
      </c>
      <c r="BQ218" s="518">
        <v>446.63099999999997</v>
      </c>
      <c r="BR218" s="518">
        <v>473.42885999999999</v>
      </c>
      <c r="BS218" s="518">
        <v>501.83459160000012</v>
      </c>
      <c r="BT218" s="518">
        <v>531.9446670960001</v>
      </c>
      <c r="BU218" s="518">
        <v>563.86134712175999</v>
      </c>
      <c r="BV218" s="518">
        <v>597.69302794906582</v>
      </c>
      <c r="BW218" s="518">
        <v>633.55460962600955</v>
      </c>
      <c r="BX218" s="518">
        <v>671.56788620357008</v>
      </c>
      <c r="BY218" s="518">
        <v>711.86195937578441</v>
      </c>
      <c r="BZ218" s="518">
        <v>754.57367693833146</v>
      </c>
      <c r="CA218" s="518">
        <v>799.84809755463141</v>
      </c>
      <c r="CB218" s="518">
        <v>847.83898340790915</v>
      </c>
      <c r="CC218" s="518">
        <v>898.70932241238381</v>
      </c>
      <c r="CD218" s="518">
        <v>952.63188175712685</v>
      </c>
      <c r="CE218" s="518">
        <v>1009.7897946625544</v>
      </c>
      <c r="CF218" s="518">
        <v>1070.3771823423076</v>
      </c>
      <c r="CG218" s="519">
        <v>1134.5998132828461</v>
      </c>
      <c r="CH218" s="520">
        <v>4.5</v>
      </c>
      <c r="CI218" s="521">
        <v>4.59</v>
      </c>
      <c r="CJ218" s="521">
        <v>4.6818</v>
      </c>
      <c r="CK218" s="521">
        <v>4.775436</v>
      </c>
      <c r="CL218" s="521">
        <v>4.8709447199999998</v>
      </c>
      <c r="CM218" s="521">
        <v>2.5</v>
      </c>
      <c r="CN218" s="521">
        <v>2.5499999999999998</v>
      </c>
      <c r="CO218" s="521">
        <v>2.601</v>
      </c>
      <c r="CP218" s="521">
        <v>2.6530200000000002</v>
      </c>
      <c r="CQ218" s="521">
        <v>2.7060804000000003</v>
      </c>
      <c r="CR218" s="521">
        <v>2.7602020080000003</v>
      </c>
      <c r="CS218" s="521">
        <v>2.8154060481600003</v>
      </c>
      <c r="CT218" s="521">
        <v>2.8717141691232002</v>
      </c>
      <c r="CU218" s="521">
        <v>2.5</v>
      </c>
      <c r="CV218" s="521">
        <v>2.5499999999999998</v>
      </c>
      <c r="CW218" s="521">
        <v>2.601</v>
      </c>
      <c r="CX218" s="521">
        <v>2.6530200000000002</v>
      </c>
      <c r="CY218" s="521">
        <v>2.7060804000000003</v>
      </c>
      <c r="CZ218" s="521">
        <v>2.7602020080000003</v>
      </c>
      <c r="DA218" s="522">
        <v>2.8154060481600003</v>
      </c>
      <c r="DB218" s="523">
        <v>0</v>
      </c>
      <c r="DC218" s="524">
        <v>0</v>
      </c>
      <c r="DD218" s="524">
        <v>0</v>
      </c>
      <c r="DE218" s="524">
        <v>0</v>
      </c>
      <c r="DF218" s="524">
        <v>0</v>
      </c>
      <c r="DG218" s="524">
        <v>-1.1793292636427173E-3</v>
      </c>
      <c r="DH218" s="524">
        <v>1.0131724753618E-4</v>
      </c>
      <c r="DI218" s="524">
        <v>1.1220519944966706E-4</v>
      </c>
      <c r="DJ218" s="524">
        <v>1.2424064264754658E-4</v>
      </c>
      <c r="DK218" s="524">
        <v>1.9042919977875911E-2</v>
      </c>
      <c r="DL218" s="524">
        <v>6.6752730197316458E-6</v>
      </c>
      <c r="DM218" s="524">
        <v>5.5416195493753102E-6</v>
      </c>
      <c r="DN218" s="524">
        <v>4.1836108201904858E-6</v>
      </c>
      <c r="DO218" s="524">
        <v>-1.251524111002311E-3</v>
      </c>
      <c r="DP218" s="524">
        <v>1.9248662281230212E-5</v>
      </c>
      <c r="DQ218" s="524">
        <v>1.9104261072982499E-5</v>
      </c>
      <c r="DR218" s="524">
        <v>1.8821787192212051E-5</v>
      </c>
      <c r="DS218" s="524">
        <v>2.5716130371878096E-3</v>
      </c>
      <c r="DT218" s="524">
        <v>3.0862328604659532E-5</v>
      </c>
      <c r="DU218" s="525">
        <v>3.1669927902853307E-5</v>
      </c>
      <c r="DV218" s="526">
        <v>3.5</v>
      </c>
      <c r="DW218" s="507">
        <v>1</v>
      </c>
      <c r="DX218" s="509">
        <v>4.5</v>
      </c>
      <c r="DY218" s="507">
        <v>2</v>
      </c>
      <c r="DZ218" s="507">
        <v>10</v>
      </c>
      <c r="EA218" s="507">
        <v>0</v>
      </c>
      <c r="EB218" s="507">
        <v>0</v>
      </c>
      <c r="EC218" s="507">
        <v>111.62500000000001</v>
      </c>
      <c r="ED218" s="507">
        <v>102.18750000000001</v>
      </c>
      <c r="EE218" s="507">
        <v>0</v>
      </c>
      <c r="EF218" s="507">
        <v>25.062499999999996</v>
      </c>
      <c r="EG218" s="507">
        <v>29.3125</v>
      </c>
      <c r="EH218" s="507">
        <v>12.8125</v>
      </c>
      <c r="EI218" s="507">
        <v>16.6875</v>
      </c>
      <c r="EJ218" s="507">
        <v>56.4375</v>
      </c>
      <c r="EK218" s="507">
        <v>10.4375</v>
      </c>
      <c r="EL218" s="507">
        <v>10.4375</v>
      </c>
      <c r="EM218" s="508">
        <v>375</v>
      </c>
    </row>
    <row r="219" spans="2:143" x14ac:dyDescent="0.25">
      <c r="B219" s="506" t="str">
        <f>[1]RONET_Input!J190</f>
        <v>212TH00036</v>
      </c>
      <c r="C219" s="359">
        <f>[1]RONET_Input!B190</f>
        <v>188</v>
      </c>
      <c r="D219" s="397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442">
        <f>[1]RONET_Input!K190</f>
        <v>0.72655475333899999</v>
      </c>
      <c r="Q219" s="398">
        <f>[1]RONET_Input!Y190</f>
        <v>3</v>
      </c>
      <c r="R219" s="398">
        <f>[1]RONET_Input!X190</f>
        <v>4.3</v>
      </c>
      <c r="S219" s="398"/>
      <c r="T219" s="398"/>
      <c r="U219" s="398">
        <f>[1]RONET_Input!AA190</f>
        <v>8</v>
      </c>
      <c r="V219" s="398">
        <f>[1]RONET_Input!AC190</f>
        <v>1</v>
      </c>
      <c r="W219" s="398">
        <f>[1]RONET_Input!AD190</f>
        <v>1</v>
      </c>
      <c r="X219" s="398">
        <f>[1]RONET_Input!AE190</f>
        <v>4</v>
      </c>
      <c r="Y219" s="398">
        <f>[1]RONET_Input!AB190</f>
        <v>1</v>
      </c>
      <c r="Z219" s="438">
        <f>[1]RONET_Input!Z190</f>
        <v>3</v>
      </c>
      <c r="AA219" s="442"/>
      <c r="AB219" s="398"/>
      <c r="AC219" s="438"/>
      <c r="AD219" s="442">
        <f>[1]RONET_Input!AH190</f>
        <v>3</v>
      </c>
      <c r="AE219" s="398">
        <f>[1]RONET_Input!D190</f>
        <v>7.73</v>
      </c>
      <c r="AF219" s="398"/>
      <c r="AG219" s="398"/>
      <c r="AH219" s="398"/>
      <c r="AI219" s="438"/>
      <c r="AJ219" s="442">
        <v>1</v>
      </c>
      <c r="AK219" s="442">
        <f>[1]RONET_Input!AF190</f>
        <v>8</v>
      </c>
      <c r="AL219" s="507"/>
      <c r="AM219" s="507"/>
      <c r="AN219" s="507"/>
      <c r="AO219" s="507"/>
      <c r="AP219" s="507"/>
      <c r="AQ219" s="507"/>
      <c r="AR219" s="507"/>
      <c r="AS219" s="507"/>
      <c r="AT219" s="507"/>
      <c r="AU219" s="507"/>
      <c r="AV219" s="507"/>
      <c r="AW219" s="507"/>
      <c r="AX219" s="508"/>
      <c r="AY219" s="509">
        <f>[1]RONET_Input!AG190</f>
        <v>3</v>
      </c>
      <c r="AZ219" s="359" t="s">
        <v>321</v>
      </c>
      <c r="BA219" s="360" t="s">
        <v>505</v>
      </c>
      <c r="BB219" s="360" t="s">
        <v>446</v>
      </c>
      <c r="BC219" s="510">
        <v>2.9679761673898148E-2</v>
      </c>
      <c r="BD219" s="510">
        <v>4.0849999999999997E-2</v>
      </c>
      <c r="BE219" s="438">
        <v>1</v>
      </c>
      <c r="BF219" s="511">
        <v>0.9588062174424995</v>
      </c>
      <c r="BG219" s="512">
        <v>1.3196613373405794</v>
      </c>
      <c r="BH219" s="512">
        <v>32.305051097688605</v>
      </c>
      <c r="BI219" s="513">
        <v>0</v>
      </c>
      <c r="BJ219" s="514">
        <v>6000</v>
      </c>
      <c r="BK219" s="515">
        <v>0.22366666666666665</v>
      </c>
      <c r="BL219" s="512">
        <v>1.5911549098124103</v>
      </c>
      <c r="BM219" s="516">
        <v>0.51286514999999999</v>
      </c>
      <c r="BN219" s="517">
        <v>6000</v>
      </c>
      <c r="BO219" s="518">
        <v>6360.0000000000018</v>
      </c>
      <c r="BP219" s="518">
        <v>6741.5999999999985</v>
      </c>
      <c r="BQ219" s="518">
        <v>7146.0959999999995</v>
      </c>
      <c r="BR219" s="518">
        <v>7574.8617599999998</v>
      </c>
      <c r="BS219" s="518">
        <v>8029.353465600002</v>
      </c>
      <c r="BT219" s="518">
        <v>8511.1146735360016</v>
      </c>
      <c r="BU219" s="518">
        <v>9021.7815539481599</v>
      </c>
      <c r="BV219" s="518">
        <v>9563.0884471850532</v>
      </c>
      <c r="BW219" s="518">
        <v>10136.873754016153</v>
      </c>
      <c r="BX219" s="518">
        <v>10745.086179257121</v>
      </c>
      <c r="BY219" s="518">
        <v>11389.791350012551</v>
      </c>
      <c r="BZ219" s="518">
        <v>12073.178831013303</v>
      </c>
      <c r="CA219" s="518">
        <v>12797.569560874103</v>
      </c>
      <c r="CB219" s="518">
        <v>13565.423734526546</v>
      </c>
      <c r="CC219" s="518">
        <v>14379.349158598141</v>
      </c>
      <c r="CD219" s="518">
        <v>15242.11010811403</v>
      </c>
      <c r="CE219" s="518">
        <v>16156.636714600871</v>
      </c>
      <c r="CF219" s="518">
        <v>17126.034917476922</v>
      </c>
      <c r="CG219" s="519">
        <v>18153.597012525537</v>
      </c>
      <c r="CH219" s="520">
        <v>2.5</v>
      </c>
      <c r="CI219" s="521">
        <v>2.5625</v>
      </c>
      <c r="CJ219" s="521">
        <v>2.6265624999999999</v>
      </c>
      <c r="CK219" s="521">
        <v>2.6922265624999997</v>
      </c>
      <c r="CL219" s="521">
        <v>2.7595322265624995</v>
      </c>
      <c r="CM219" s="521">
        <v>2.8285205322265621</v>
      </c>
      <c r="CN219" s="521">
        <v>2.8992335455322262</v>
      </c>
      <c r="CO219" s="521">
        <v>2.9717143841705318</v>
      </c>
      <c r="CP219" s="521">
        <v>2.5</v>
      </c>
      <c r="CQ219" s="521">
        <v>2.5625</v>
      </c>
      <c r="CR219" s="521">
        <v>2.6265624999999999</v>
      </c>
      <c r="CS219" s="521">
        <v>2.6922265624999997</v>
      </c>
      <c r="CT219" s="521">
        <v>2.7595322265624995</v>
      </c>
      <c r="CU219" s="521">
        <v>2.8285205322265621</v>
      </c>
      <c r="CV219" s="521">
        <v>2.8992335455322262</v>
      </c>
      <c r="CW219" s="521">
        <v>2.9717143841705318</v>
      </c>
      <c r="CX219" s="521">
        <v>2.5</v>
      </c>
      <c r="CY219" s="521">
        <v>2.5625</v>
      </c>
      <c r="CZ219" s="521">
        <v>2.6265624999999999</v>
      </c>
      <c r="DA219" s="522">
        <v>2.6922265624999997</v>
      </c>
      <c r="DB219" s="523">
        <v>5.3719103089405751E-2</v>
      </c>
      <c r="DC219" s="524">
        <v>9.0371424862544347E-2</v>
      </c>
      <c r="DD219" s="524">
        <v>0.10114118610561185</v>
      </c>
      <c r="DE219" s="524">
        <v>0.11316661147189155</v>
      </c>
      <c r="DF219" s="524">
        <v>0.12659216479487367</v>
      </c>
      <c r="DG219" s="524">
        <v>0.14157882197436833</v>
      </c>
      <c r="DH219" s="524">
        <v>0.1583059509002791</v>
      </c>
      <c r="DI219" s="524">
        <v>0.17697340113336124</v>
      </c>
      <c r="DJ219" s="524">
        <v>0.17648153057007154</v>
      </c>
      <c r="DK219" s="524">
        <v>0.13272965332947195</v>
      </c>
      <c r="DL219" s="524">
        <v>4.1420740683517643E-4</v>
      </c>
      <c r="DM219" s="524">
        <v>4.7026402469008133E-4</v>
      </c>
      <c r="DN219" s="524">
        <v>5.3338907681044212E-4</v>
      </c>
      <c r="DO219" s="524">
        <v>6.0443640074447913E-4</v>
      </c>
      <c r="DP219" s="524">
        <v>6.843600596821986E-4</v>
      </c>
      <c r="DQ219" s="524">
        <v>7.7422587289199818E-4</v>
      </c>
      <c r="DR219" s="524">
        <v>-1.7070276970011955E-2</v>
      </c>
      <c r="DS219" s="524">
        <v>4.3033956427922515E-2</v>
      </c>
      <c r="DT219" s="524">
        <v>-1.0618624439051594E-3</v>
      </c>
      <c r="DU219" s="525">
        <v>-1.206551845009507E-3</v>
      </c>
      <c r="DV219" s="526">
        <v>4.3</v>
      </c>
      <c r="DW219" s="507">
        <v>3</v>
      </c>
      <c r="DX219" s="509">
        <v>7.73</v>
      </c>
      <c r="DY219" s="507">
        <v>6</v>
      </c>
      <c r="DZ219" s="507">
        <v>10</v>
      </c>
      <c r="EA219" s="507">
        <v>0</v>
      </c>
      <c r="EB219" s="507">
        <v>0</v>
      </c>
      <c r="EC219" s="507">
        <v>1786.0000000000002</v>
      </c>
      <c r="ED219" s="507">
        <v>1635.0000000000002</v>
      </c>
      <c r="EE219" s="507">
        <v>0</v>
      </c>
      <c r="EF219" s="507">
        <v>400.99999999999994</v>
      </c>
      <c r="EG219" s="507">
        <v>469</v>
      </c>
      <c r="EH219" s="507">
        <v>205</v>
      </c>
      <c r="EI219" s="507">
        <v>267</v>
      </c>
      <c r="EJ219" s="507">
        <v>903</v>
      </c>
      <c r="EK219" s="507">
        <v>167</v>
      </c>
      <c r="EL219" s="507">
        <v>167</v>
      </c>
      <c r="EM219" s="508">
        <v>6000</v>
      </c>
    </row>
    <row r="220" spans="2:143" x14ac:dyDescent="0.25">
      <c r="B220" s="506" t="str">
        <f>[1]RONET_Input!J191</f>
        <v xml:space="preserve">Input VPROMMS: 212TH00036 (66.67 pct); QL45_2 (15.15 pct); ql45_1 (15.15 pct); 214tt00032 (3.03 pct); </v>
      </c>
      <c r="C220" s="359">
        <f>[1]RONET_Input!B191</f>
        <v>189</v>
      </c>
      <c r="D220" s="397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442">
        <f>[1]RONET_Input!K191</f>
        <v>0.31407555055000003</v>
      </c>
      <c r="Q220" s="398">
        <f>[1]RONET_Input!Y191</f>
        <v>2</v>
      </c>
      <c r="R220" s="398">
        <f>[1]RONET_Input!X191</f>
        <v>3.5</v>
      </c>
      <c r="S220" s="398"/>
      <c r="T220" s="398"/>
      <c r="U220" s="398">
        <f>[1]RONET_Input!AA191</f>
        <v>8</v>
      </c>
      <c r="V220" s="398">
        <f>[1]RONET_Input!AC191</f>
        <v>1</v>
      </c>
      <c r="W220" s="398">
        <f>[1]RONET_Input!AD191</f>
        <v>1</v>
      </c>
      <c r="X220" s="398">
        <f>[1]RONET_Input!AE191</f>
        <v>4</v>
      </c>
      <c r="Y220" s="398">
        <f>[1]RONET_Input!AB191</f>
        <v>1</v>
      </c>
      <c r="Z220" s="438">
        <f>[1]RONET_Input!Z191</f>
        <v>1</v>
      </c>
      <c r="AA220" s="442"/>
      <c r="AB220" s="398"/>
      <c r="AC220" s="438"/>
      <c r="AD220" s="442">
        <f>[1]RONET_Input!AH191</f>
        <v>2</v>
      </c>
      <c r="AE220" s="398">
        <f>[1]RONET_Input!D191</f>
        <v>4.33</v>
      </c>
      <c r="AF220" s="398"/>
      <c r="AG220" s="398"/>
      <c r="AH220" s="398"/>
      <c r="AI220" s="438"/>
      <c r="AJ220" s="442">
        <v>1</v>
      </c>
      <c r="AK220" s="442">
        <f>[1]RONET_Input!AF191</f>
        <v>4</v>
      </c>
      <c r="AL220" s="507"/>
      <c r="AM220" s="507"/>
      <c r="AN220" s="507"/>
      <c r="AO220" s="507"/>
      <c r="AP220" s="507"/>
      <c r="AQ220" s="507"/>
      <c r="AR220" s="507"/>
      <c r="AS220" s="507"/>
      <c r="AT220" s="507"/>
      <c r="AU220" s="507"/>
      <c r="AV220" s="507"/>
      <c r="AW220" s="507"/>
      <c r="AX220" s="508"/>
      <c r="AY220" s="509">
        <f>[1]RONET_Input!AG191</f>
        <v>3</v>
      </c>
      <c r="AZ220" s="359" t="s">
        <v>321</v>
      </c>
      <c r="BA220" s="360" t="s">
        <v>502</v>
      </c>
      <c r="BB220" s="360" t="s">
        <v>443</v>
      </c>
      <c r="BC220" s="510">
        <v>1.5719481305027504E-2</v>
      </c>
      <c r="BD220" s="510">
        <v>5.0050000000000004E-2</v>
      </c>
      <c r="BE220" s="438">
        <v>6</v>
      </c>
      <c r="BF220" s="511">
        <v>0.12388878489781148</v>
      </c>
      <c r="BG220" s="512">
        <v>0.3944553617142787</v>
      </c>
      <c r="BH220" s="512">
        <v>7.8812260082772951</v>
      </c>
      <c r="BI220" s="513">
        <v>0</v>
      </c>
      <c r="BJ220" s="514">
        <v>375</v>
      </c>
      <c r="BK220" s="515">
        <v>0.22366666666666665</v>
      </c>
      <c r="BL220" s="512">
        <v>4.298909098153126E-2</v>
      </c>
      <c r="BM220" s="516">
        <v>3.2054071874999999E-2</v>
      </c>
      <c r="BN220" s="517">
        <v>375</v>
      </c>
      <c r="BO220" s="518">
        <v>397.50000000000011</v>
      </c>
      <c r="BP220" s="518">
        <v>421.34999999999991</v>
      </c>
      <c r="BQ220" s="518">
        <v>446.63099999999997</v>
      </c>
      <c r="BR220" s="518">
        <v>473.42885999999999</v>
      </c>
      <c r="BS220" s="518">
        <v>501.83459160000012</v>
      </c>
      <c r="BT220" s="518">
        <v>531.9446670960001</v>
      </c>
      <c r="BU220" s="518">
        <v>563.86134712175999</v>
      </c>
      <c r="BV220" s="518">
        <v>597.69302794906582</v>
      </c>
      <c r="BW220" s="518">
        <v>633.55460962600955</v>
      </c>
      <c r="BX220" s="518">
        <v>671.56788620357008</v>
      </c>
      <c r="BY220" s="518">
        <v>711.86195937578441</v>
      </c>
      <c r="BZ220" s="518">
        <v>754.57367693833146</v>
      </c>
      <c r="CA220" s="518">
        <v>799.84809755463141</v>
      </c>
      <c r="CB220" s="518">
        <v>847.83898340790915</v>
      </c>
      <c r="CC220" s="518">
        <v>898.70932241238381</v>
      </c>
      <c r="CD220" s="518">
        <v>952.63188175712685</v>
      </c>
      <c r="CE220" s="518">
        <v>1009.7897946625544</v>
      </c>
      <c r="CF220" s="518">
        <v>1070.3771823423076</v>
      </c>
      <c r="CG220" s="519">
        <v>1134.5998132828461</v>
      </c>
      <c r="CH220" s="520">
        <v>4.33</v>
      </c>
      <c r="CI220" s="521">
        <v>4.4165999999999999</v>
      </c>
      <c r="CJ220" s="521">
        <v>4.5049320000000002</v>
      </c>
      <c r="CK220" s="521">
        <v>4.5950306400000001</v>
      </c>
      <c r="CL220" s="521">
        <v>4.6869312528</v>
      </c>
      <c r="CM220" s="521">
        <v>2.5</v>
      </c>
      <c r="CN220" s="521">
        <v>2.5499999999999998</v>
      </c>
      <c r="CO220" s="521">
        <v>2.601</v>
      </c>
      <c r="CP220" s="521">
        <v>2.6530200000000002</v>
      </c>
      <c r="CQ220" s="521">
        <v>2.7060804000000003</v>
      </c>
      <c r="CR220" s="521">
        <v>2.7602020080000003</v>
      </c>
      <c r="CS220" s="521">
        <v>2.8154060481600003</v>
      </c>
      <c r="CT220" s="521">
        <v>2.8717141691232002</v>
      </c>
      <c r="CU220" s="521">
        <v>2.5</v>
      </c>
      <c r="CV220" s="521">
        <v>2.5499999999999998</v>
      </c>
      <c r="CW220" s="521">
        <v>2.601</v>
      </c>
      <c r="CX220" s="521">
        <v>2.6530200000000002</v>
      </c>
      <c r="CY220" s="521">
        <v>2.7060804000000003</v>
      </c>
      <c r="CZ220" s="521">
        <v>2.7602020080000003</v>
      </c>
      <c r="DA220" s="522">
        <v>2.8154060481600003</v>
      </c>
      <c r="DB220" s="523">
        <v>0</v>
      </c>
      <c r="DC220" s="524">
        <v>0</v>
      </c>
      <c r="DD220" s="524">
        <v>0</v>
      </c>
      <c r="DE220" s="524">
        <v>0</v>
      </c>
      <c r="DF220" s="524">
        <v>0</v>
      </c>
      <c r="DG220" s="524">
        <v>-1.3382408896670642E-2</v>
      </c>
      <c r="DH220" s="524">
        <v>1.0218799587847147E-3</v>
      </c>
      <c r="DI220" s="524">
        <v>1.1319673519798179E-3</v>
      </c>
      <c r="DJ220" s="524">
        <v>1.2536774683235066E-3</v>
      </c>
      <c r="DK220" s="524">
        <v>0.21435649187787498</v>
      </c>
      <c r="DL220" s="524">
        <v>7.514016277435781E-5</v>
      </c>
      <c r="DM220" s="524">
        <v>6.2379200632359244E-5</v>
      </c>
      <c r="DN220" s="524">
        <v>4.7092785131708226E-5</v>
      </c>
      <c r="DO220" s="524">
        <v>-1.4087772161344519E-2</v>
      </c>
      <c r="DP220" s="524">
        <v>2.1667242863700198E-4</v>
      </c>
      <c r="DQ220" s="524">
        <v>2.1504697747411206E-4</v>
      </c>
      <c r="DR220" s="524">
        <v>2.1186731226523203E-4</v>
      </c>
      <c r="DS220" s="524">
        <v>2.8947343672053441E-2</v>
      </c>
      <c r="DT220" s="524">
        <v>3.4740158014437417E-4</v>
      </c>
      <c r="DU220" s="525">
        <v>3.5649231584063135E-4</v>
      </c>
      <c r="DV220" s="526">
        <v>3.5</v>
      </c>
      <c r="DW220" s="507">
        <v>1</v>
      </c>
      <c r="DX220" s="509">
        <v>4.33</v>
      </c>
      <c r="DY220" s="507">
        <v>2</v>
      </c>
      <c r="DZ220" s="507">
        <v>5</v>
      </c>
      <c r="EA220" s="507">
        <v>0</v>
      </c>
      <c r="EB220" s="507">
        <v>0</v>
      </c>
      <c r="EC220" s="507">
        <v>111.62500000000001</v>
      </c>
      <c r="ED220" s="507">
        <v>102.18750000000001</v>
      </c>
      <c r="EE220" s="507">
        <v>0</v>
      </c>
      <c r="EF220" s="507">
        <v>25.062499999999996</v>
      </c>
      <c r="EG220" s="507">
        <v>29.3125</v>
      </c>
      <c r="EH220" s="507">
        <v>12.8125</v>
      </c>
      <c r="EI220" s="507">
        <v>16.6875</v>
      </c>
      <c r="EJ220" s="507">
        <v>56.4375</v>
      </c>
      <c r="EK220" s="507">
        <v>10.4375</v>
      </c>
      <c r="EL220" s="507">
        <v>10.4375</v>
      </c>
      <c r="EM220" s="508">
        <v>375</v>
      </c>
    </row>
    <row r="221" spans="2:143" x14ac:dyDescent="0.25">
      <c r="B221" s="506" t="str">
        <f>[1]RONET_Input!J192</f>
        <v xml:space="preserve">Input VPROMMS: 214tt00012 (27.59 pct); 212th00034 (27.59 pct); 212th00024 (22.41 pct); 212TH00024 (22.41 pct); </v>
      </c>
      <c r="C221" s="359">
        <f>[1]RONET_Input!B192</f>
        <v>190</v>
      </c>
      <c r="D221" s="397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442">
        <f>[1]RONET_Input!K192</f>
        <v>1.4577345559499999</v>
      </c>
      <c r="Q221" s="398">
        <f>[1]RONET_Input!Y192</f>
        <v>2</v>
      </c>
      <c r="R221" s="398">
        <f>[1]RONET_Input!X192</f>
        <v>3.5</v>
      </c>
      <c r="S221" s="398"/>
      <c r="T221" s="398"/>
      <c r="U221" s="398">
        <f>[1]RONET_Input!AA192</f>
        <v>8</v>
      </c>
      <c r="V221" s="398">
        <f>[1]RONET_Input!AC192</f>
        <v>1</v>
      </c>
      <c r="W221" s="398">
        <f>[1]RONET_Input!AD192</f>
        <v>1</v>
      </c>
      <c r="X221" s="398">
        <f>[1]RONET_Input!AE192</f>
        <v>4</v>
      </c>
      <c r="Y221" s="398">
        <f>[1]RONET_Input!AB192</f>
        <v>1</v>
      </c>
      <c r="Z221" s="438">
        <f>[1]RONET_Input!Z192</f>
        <v>1</v>
      </c>
      <c r="AA221" s="442"/>
      <c r="AB221" s="398"/>
      <c r="AC221" s="438"/>
      <c r="AD221" s="442">
        <f>[1]RONET_Input!AH192</f>
        <v>3</v>
      </c>
      <c r="AE221" s="398">
        <f>[1]RONET_Input!D192</f>
        <v>7.8849999999999998</v>
      </c>
      <c r="AF221" s="398"/>
      <c r="AG221" s="398"/>
      <c r="AH221" s="398"/>
      <c r="AI221" s="438"/>
      <c r="AJ221" s="442">
        <v>1</v>
      </c>
      <c r="AK221" s="442">
        <f>[1]RONET_Input!AF192</f>
        <v>4</v>
      </c>
      <c r="AL221" s="507"/>
      <c r="AM221" s="507"/>
      <c r="AN221" s="507"/>
      <c r="AO221" s="507"/>
      <c r="AP221" s="507"/>
      <c r="AQ221" s="507"/>
      <c r="AR221" s="507"/>
      <c r="AS221" s="507"/>
      <c r="AT221" s="507"/>
      <c r="AU221" s="507"/>
      <c r="AV221" s="507"/>
      <c r="AW221" s="507"/>
      <c r="AX221" s="508"/>
      <c r="AY221" s="509">
        <f>[1]RONET_Input!AG192</f>
        <v>3</v>
      </c>
      <c r="AZ221" s="359" t="s">
        <v>321</v>
      </c>
      <c r="BA221" s="360" t="s">
        <v>502</v>
      </c>
      <c r="BB221" s="360" t="s">
        <v>443</v>
      </c>
      <c r="BC221" s="510">
        <v>7.2959614525297492E-2</v>
      </c>
      <c r="BD221" s="510">
        <v>5.0049999999999997E-2</v>
      </c>
      <c r="BE221" s="438">
        <v>5</v>
      </c>
      <c r="BF221" s="511">
        <v>0.63016310992663627</v>
      </c>
      <c r="BG221" s="512">
        <v>0.43228934057611157</v>
      </c>
      <c r="BH221" s="512">
        <v>8.6371496618603718</v>
      </c>
      <c r="BI221" s="513">
        <v>0</v>
      </c>
      <c r="BJ221" s="514">
        <v>375</v>
      </c>
      <c r="BK221" s="515">
        <v>0.22366666666666665</v>
      </c>
      <c r="BL221" s="512">
        <v>0.19952741734565624</v>
      </c>
      <c r="BM221" s="516">
        <v>3.2054071874999999E-2</v>
      </c>
      <c r="BN221" s="517">
        <v>375</v>
      </c>
      <c r="BO221" s="518">
        <v>397.50000000000011</v>
      </c>
      <c r="BP221" s="518">
        <v>421.34999999999991</v>
      </c>
      <c r="BQ221" s="518">
        <v>446.63099999999997</v>
      </c>
      <c r="BR221" s="518">
        <v>473.42885999999999</v>
      </c>
      <c r="BS221" s="518">
        <v>501.83459160000012</v>
      </c>
      <c r="BT221" s="518">
        <v>531.9446670960001</v>
      </c>
      <c r="BU221" s="518">
        <v>563.86134712175999</v>
      </c>
      <c r="BV221" s="518">
        <v>597.69302794906582</v>
      </c>
      <c r="BW221" s="518">
        <v>633.55460962600955</v>
      </c>
      <c r="BX221" s="518">
        <v>671.56788620357008</v>
      </c>
      <c r="BY221" s="518">
        <v>711.86195937578441</v>
      </c>
      <c r="BZ221" s="518">
        <v>754.57367693833146</v>
      </c>
      <c r="CA221" s="518">
        <v>799.84809755463141</v>
      </c>
      <c r="CB221" s="518">
        <v>847.83898340790915</v>
      </c>
      <c r="CC221" s="518">
        <v>898.70932241238381</v>
      </c>
      <c r="CD221" s="518">
        <v>952.63188175712685</v>
      </c>
      <c r="CE221" s="518">
        <v>1009.7897946625544</v>
      </c>
      <c r="CF221" s="518">
        <v>1070.3771823423076</v>
      </c>
      <c r="CG221" s="519">
        <v>1134.5998132828461</v>
      </c>
      <c r="CH221" s="520">
        <v>7.8849999999999998</v>
      </c>
      <c r="CI221" s="521">
        <v>8.0427</v>
      </c>
      <c r="CJ221" s="521">
        <v>8.2035540000000005</v>
      </c>
      <c r="CK221" s="521">
        <v>8.3676250799999998</v>
      </c>
      <c r="CL221" s="521">
        <v>2.5</v>
      </c>
      <c r="CM221" s="521">
        <v>2.5499999999999998</v>
      </c>
      <c r="CN221" s="521">
        <v>2.601</v>
      </c>
      <c r="CO221" s="521">
        <v>2.6530200000000002</v>
      </c>
      <c r="CP221" s="521">
        <v>2.7060804000000003</v>
      </c>
      <c r="CQ221" s="521">
        <v>2.7602020080000003</v>
      </c>
      <c r="CR221" s="521">
        <v>2.8154060481600003</v>
      </c>
      <c r="CS221" s="521">
        <v>2.8717141691232002</v>
      </c>
      <c r="CT221" s="521">
        <v>2.5</v>
      </c>
      <c r="CU221" s="521">
        <v>2.5499999999999998</v>
      </c>
      <c r="CV221" s="521">
        <v>2.601</v>
      </c>
      <c r="CW221" s="521">
        <v>2.6530200000000002</v>
      </c>
      <c r="CX221" s="521">
        <v>2.7060804000000003</v>
      </c>
      <c r="CY221" s="521">
        <v>2.7602020080000003</v>
      </c>
      <c r="CZ221" s="521">
        <v>2.8154060481600003</v>
      </c>
      <c r="DA221" s="522">
        <v>2.8717141691232002</v>
      </c>
      <c r="DB221" s="523">
        <v>0</v>
      </c>
      <c r="DC221" s="524">
        <v>0</v>
      </c>
      <c r="DD221" s="524">
        <v>0</v>
      </c>
      <c r="DE221" s="524">
        <v>0</v>
      </c>
      <c r="DF221" s="524">
        <v>-4.9250245359574146E-2</v>
      </c>
      <c r="DG221" s="524">
        <v>1.8937283126934906E-2</v>
      </c>
      <c r="DH221" s="524">
        <v>2.0917383858796823E-2</v>
      </c>
      <c r="DI221" s="524">
        <v>2.3102426564722778E-2</v>
      </c>
      <c r="DJ221" s="524">
        <v>2.5513492512383995E-2</v>
      </c>
      <c r="DK221" s="524">
        <v>0.99481546205403348</v>
      </c>
      <c r="DL221" s="524">
        <v>2.5084985843784602E-4</v>
      </c>
      <c r="DM221" s="524">
        <v>1.8069090229039242E-4</v>
      </c>
      <c r="DN221" s="524">
        <v>-6.54724198251036E-2</v>
      </c>
      <c r="DO221" s="524">
        <v>9.1550833900416739E-4</v>
      </c>
      <c r="DP221" s="524">
        <v>9.0380781846871594E-4</v>
      </c>
      <c r="DQ221" s="524">
        <v>8.8474084857143032E-4</v>
      </c>
      <c r="DR221" s="524">
        <v>8.5720119672133555E-4</v>
      </c>
      <c r="DS221" s="524">
        <v>0.13421442933247274</v>
      </c>
      <c r="DT221" s="524">
        <v>1.4563715112977382E-3</v>
      </c>
      <c r="DU221" s="525">
        <v>1.4811426600139788E-3</v>
      </c>
      <c r="DV221" s="526">
        <v>3.5</v>
      </c>
      <c r="DW221" s="507">
        <v>1</v>
      </c>
      <c r="DX221" s="509">
        <v>7.8849999999999998</v>
      </c>
      <c r="DY221" s="507">
        <v>2</v>
      </c>
      <c r="DZ221" s="507">
        <v>10</v>
      </c>
      <c r="EA221" s="507">
        <v>0</v>
      </c>
      <c r="EB221" s="507">
        <v>0</v>
      </c>
      <c r="EC221" s="507">
        <v>111.62500000000001</v>
      </c>
      <c r="ED221" s="507">
        <v>102.18750000000001</v>
      </c>
      <c r="EE221" s="507">
        <v>0</v>
      </c>
      <c r="EF221" s="507">
        <v>25.062499999999996</v>
      </c>
      <c r="EG221" s="507">
        <v>29.3125</v>
      </c>
      <c r="EH221" s="507">
        <v>12.8125</v>
      </c>
      <c r="EI221" s="507">
        <v>16.6875</v>
      </c>
      <c r="EJ221" s="507">
        <v>56.4375</v>
      </c>
      <c r="EK221" s="507">
        <v>10.4375</v>
      </c>
      <c r="EL221" s="507">
        <v>10.4375</v>
      </c>
      <c r="EM221" s="508">
        <v>375</v>
      </c>
    </row>
    <row r="222" spans="2:143" x14ac:dyDescent="0.25">
      <c r="B222" s="506" t="str">
        <f>[1]RONET_Input!J193</f>
        <v xml:space="preserve">Input VPROMMS: 212th00024 (49.57 pct); 212TH00024 (49.57 pct); 212th00034 (0.43 pct); 212TH00036 (0.43 pct); </v>
      </c>
      <c r="C222" s="359">
        <f>[1]RONET_Input!B193</f>
        <v>191</v>
      </c>
      <c r="D222" s="397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442">
        <f>[1]RONET_Input!K193</f>
        <v>7.3600959384199998</v>
      </c>
      <c r="Q222" s="398">
        <f>[1]RONET_Input!Y193</f>
        <v>2</v>
      </c>
      <c r="R222" s="398">
        <f>[1]RONET_Input!X193</f>
        <v>3.5</v>
      </c>
      <c r="S222" s="398"/>
      <c r="T222" s="398"/>
      <c r="U222" s="398">
        <f>[1]RONET_Input!AA193</f>
        <v>8</v>
      </c>
      <c r="V222" s="398">
        <f>[1]RONET_Input!AC193</f>
        <v>1</v>
      </c>
      <c r="W222" s="398">
        <f>[1]RONET_Input!AD193</f>
        <v>1</v>
      </c>
      <c r="X222" s="398">
        <f>[1]RONET_Input!AE193</f>
        <v>4</v>
      </c>
      <c r="Y222" s="398">
        <f>[1]RONET_Input!AB193</f>
        <v>1</v>
      </c>
      <c r="Z222" s="438">
        <f>[1]RONET_Input!Z193</f>
        <v>1</v>
      </c>
      <c r="AA222" s="442"/>
      <c r="AB222" s="398"/>
      <c r="AC222" s="438"/>
      <c r="AD222" s="442">
        <f>[1]RONET_Input!AH193</f>
        <v>4</v>
      </c>
      <c r="AE222" s="398">
        <f>[1]RONET_Input!D193</f>
        <v>9.4250000000000007</v>
      </c>
      <c r="AF222" s="398"/>
      <c r="AG222" s="398"/>
      <c r="AH222" s="398"/>
      <c r="AI222" s="438"/>
      <c r="AJ222" s="442">
        <v>1</v>
      </c>
      <c r="AK222" s="442">
        <f>[1]RONET_Input!AF193</f>
        <v>4</v>
      </c>
      <c r="AL222" s="507"/>
      <c r="AM222" s="507"/>
      <c r="AN222" s="507"/>
      <c r="AO222" s="507"/>
      <c r="AP222" s="507"/>
      <c r="AQ222" s="507"/>
      <c r="AR222" s="507"/>
      <c r="AS222" s="507"/>
      <c r="AT222" s="507"/>
      <c r="AU222" s="507"/>
      <c r="AV222" s="507"/>
      <c r="AW222" s="507"/>
      <c r="AX222" s="508"/>
      <c r="AY222" s="509">
        <f>[1]RONET_Input!AG193</f>
        <v>3</v>
      </c>
      <c r="AZ222" s="359" t="s">
        <v>321</v>
      </c>
      <c r="BA222" s="360" t="s">
        <v>502</v>
      </c>
      <c r="BB222" s="360" t="s">
        <v>443</v>
      </c>
      <c r="BC222" s="510">
        <v>0.36837280171792097</v>
      </c>
      <c r="BD222" s="510">
        <v>5.0049999999999997E-2</v>
      </c>
      <c r="BE222" s="438">
        <v>5</v>
      </c>
      <c r="BF222" s="511">
        <v>3.3603001977585718</v>
      </c>
      <c r="BG222" s="512">
        <v>0.45655657560354185</v>
      </c>
      <c r="BH222" s="512">
        <v>9.1220095025682681</v>
      </c>
      <c r="BI222" s="513">
        <v>0</v>
      </c>
      <c r="BJ222" s="514">
        <v>375</v>
      </c>
      <c r="BK222" s="515">
        <v>0.22366666666666665</v>
      </c>
      <c r="BL222" s="512">
        <v>1.0074131315712376</v>
      </c>
      <c r="BM222" s="516">
        <v>3.2054071874999999E-2</v>
      </c>
      <c r="BN222" s="517">
        <v>375</v>
      </c>
      <c r="BO222" s="518">
        <v>397.50000000000011</v>
      </c>
      <c r="BP222" s="518">
        <v>421.34999999999991</v>
      </c>
      <c r="BQ222" s="518">
        <v>446.63099999999997</v>
      </c>
      <c r="BR222" s="518">
        <v>473.42885999999999</v>
      </c>
      <c r="BS222" s="518">
        <v>501.83459160000012</v>
      </c>
      <c r="BT222" s="518">
        <v>531.9446670960001</v>
      </c>
      <c r="BU222" s="518">
        <v>563.86134712175999</v>
      </c>
      <c r="BV222" s="518">
        <v>597.69302794906582</v>
      </c>
      <c r="BW222" s="518">
        <v>633.55460962600955</v>
      </c>
      <c r="BX222" s="518">
        <v>671.56788620357008</v>
      </c>
      <c r="BY222" s="518">
        <v>711.86195937578441</v>
      </c>
      <c r="BZ222" s="518">
        <v>754.57367693833146</v>
      </c>
      <c r="CA222" s="518">
        <v>799.84809755463141</v>
      </c>
      <c r="CB222" s="518">
        <v>847.83898340790915</v>
      </c>
      <c r="CC222" s="518">
        <v>898.70932241238381</v>
      </c>
      <c r="CD222" s="518">
        <v>952.63188175712685</v>
      </c>
      <c r="CE222" s="518">
        <v>1009.7897946625544</v>
      </c>
      <c r="CF222" s="518">
        <v>1070.3771823423076</v>
      </c>
      <c r="CG222" s="519">
        <v>1134.5998132828461</v>
      </c>
      <c r="CH222" s="520">
        <v>9.4250000000000007</v>
      </c>
      <c r="CI222" s="521">
        <v>9.6135000000000002</v>
      </c>
      <c r="CJ222" s="521">
        <v>9.8057700000000008</v>
      </c>
      <c r="CK222" s="521">
        <v>10.001885400000001</v>
      </c>
      <c r="CL222" s="521">
        <v>2.5</v>
      </c>
      <c r="CM222" s="521">
        <v>2.5499999999999998</v>
      </c>
      <c r="CN222" s="521">
        <v>2.601</v>
      </c>
      <c r="CO222" s="521">
        <v>2.6530200000000002</v>
      </c>
      <c r="CP222" s="521">
        <v>2.7060804000000003</v>
      </c>
      <c r="CQ222" s="521">
        <v>2.7602020080000003</v>
      </c>
      <c r="CR222" s="521">
        <v>2.8154060481600003</v>
      </c>
      <c r="CS222" s="521">
        <v>2.8717141691232002</v>
      </c>
      <c r="CT222" s="521">
        <v>2.5</v>
      </c>
      <c r="CU222" s="521">
        <v>2.5499999999999998</v>
      </c>
      <c r="CV222" s="521">
        <v>2.601</v>
      </c>
      <c r="CW222" s="521">
        <v>2.6530200000000002</v>
      </c>
      <c r="CX222" s="521">
        <v>2.7060804000000003</v>
      </c>
      <c r="CY222" s="521">
        <v>2.7602020080000003</v>
      </c>
      <c r="CZ222" s="521">
        <v>2.8154060481600003</v>
      </c>
      <c r="DA222" s="522">
        <v>2.8717141691232002</v>
      </c>
      <c r="DB222" s="523">
        <v>0</v>
      </c>
      <c r="DC222" s="524">
        <v>0</v>
      </c>
      <c r="DD222" s="524">
        <v>0</v>
      </c>
      <c r="DE222" s="524">
        <v>0</v>
      </c>
      <c r="DF222" s="524">
        <v>-0.20705811169643251</v>
      </c>
      <c r="DG222" s="524">
        <v>0.14149585701223877</v>
      </c>
      <c r="DH222" s="524">
        <v>0.15620662158240317</v>
      </c>
      <c r="DI222" s="524">
        <v>0.17243446559636422</v>
      </c>
      <c r="DJ222" s="524">
        <v>0.19033467774136259</v>
      </c>
      <c r="DK222" s="524">
        <v>5.0228192861694412</v>
      </c>
      <c r="DL222" s="524">
        <v>1.2665399312279391E-3</v>
      </c>
      <c r="DM222" s="524">
        <v>9.1230764245020524E-4</v>
      </c>
      <c r="DN222" s="524">
        <v>-0.33056998564408246</v>
      </c>
      <c r="DO222" s="524">
        <v>4.6223979393168468E-3</v>
      </c>
      <c r="DP222" s="524">
        <v>4.5633220579646139E-3</v>
      </c>
      <c r="DQ222" s="524">
        <v>4.4670530032686617E-3</v>
      </c>
      <c r="DR222" s="524">
        <v>4.3280054113050692E-3</v>
      </c>
      <c r="DS222" s="524">
        <v>0.6776481165074153</v>
      </c>
      <c r="DT222" s="524">
        <v>7.3532139314262945E-3</v>
      </c>
      <c r="DU222" s="525">
        <v>7.4782833621482858E-3</v>
      </c>
      <c r="DV222" s="526">
        <v>3.5</v>
      </c>
      <c r="DW222" s="507">
        <v>1</v>
      </c>
      <c r="DX222" s="509">
        <v>9.4250000000000007</v>
      </c>
      <c r="DY222" s="507">
        <v>2</v>
      </c>
      <c r="DZ222" s="507">
        <v>15</v>
      </c>
      <c r="EA222" s="507">
        <v>0</v>
      </c>
      <c r="EB222" s="507">
        <v>0</v>
      </c>
      <c r="EC222" s="507">
        <v>111.62500000000001</v>
      </c>
      <c r="ED222" s="507">
        <v>102.18750000000001</v>
      </c>
      <c r="EE222" s="507">
        <v>0</v>
      </c>
      <c r="EF222" s="507">
        <v>25.062499999999996</v>
      </c>
      <c r="EG222" s="507">
        <v>29.3125</v>
      </c>
      <c r="EH222" s="507">
        <v>12.8125</v>
      </c>
      <c r="EI222" s="507">
        <v>16.6875</v>
      </c>
      <c r="EJ222" s="507">
        <v>56.4375</v>
      </c>
      <c r="EK222" s="507">
        <v>10.4375</v>
      </c>
      <c r="EL222" s="507">
        <v>10.4375</v>
      </c>
      <c r="EM222" s="508">
        <v>375</v>
      </c>
    </row>
    <row r="223" spans="2:143" x14ac:dyDescent="0.25">
      <c r="B223" s="506" t="str">
        <f>[1]RONET_Input!J194</f>
        <v xml:space="preserve">Input VPROMMS: QL45_2 (46.43 pct); ql45_1 (46.43 pct); 214tt00092 (7.14 pct); </v>
      </c>
      <c r="C223" s="359">
        <f>[1]RONET_Input!B194</f>
        <v>192</v>
      </c>
      <c r="D223" s="397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442">
        <f>[1]RONET_Input!K194</f>
        <v>0.7323786517380001</v>
      </c>
      <c r="Q223" s="398">
        <f>[1]RONET_Input!Y194</f>
        <v>2</v>
      </c>
      <c r="R223" s="398">
        <f>[1]RONET_Input!X194</f>
        <v>3.5</v>
      </c>
      <c r="S223" s="398"/>
      <c r="T223" s="398"/>
      <c r="U223" s="398">
        <f>[1]RONET_Input!AA194</f>
        <v>8</v>
      </c>
      <c r="V223" s="398">
        <f>[1]RONET_Input!AC194</f>
        <v>1</v>
      </c>
      <c r="W223" s="398">
        <f>[1]RONET_Input!AD194</f>
        <v>1</v>
      </c>
      <c r="X223" s="398">
        <f>[1]RONET_Input!AE194</f>
        <v>4</v>
      </c>
      <c r="Y223" s="398">
        <f>[1]RONET_Input!AB194</f>
        <v>1</v>
      </c>
      <c r="Z223" s="438">
        <f>[1]RONET_Input!Z194</f>
        <v>1</v>
      </c>
      <c r="AA223" s="442"/>
      <c r="AB223" s="398"/>
      <c r="AC223" s="438"/>
      <c r="AD223" s="442">
        <f>[1]RONET_Input!AH194</f>
        <v>4</v>
      </c>
      <c r="AE223" s="398">
        <f>[1]RONET_Input!D194</f>
        <v>11.28</v>
      </c>
      <c r="AF223" s="398"/>
      <c r="AG223" s="398"/>
      <c r="AH223" s="398"/>
      <c r="AI223" s="438"/>
      <c r="AJ223" s="442">
        <v>1</v>
      </c>
      <c r="AK223" s="442">
        <f>[1]RONET_Input!AF194</f>
        <v>4</v>
      </c>
      <c r="AL223" s="507"/>
      <c r="AM223" s="507"/>
      <c r="AN223" s="507"/>
      <c r="AO223" s="507"/>
      <c r="AP223" s="507"/>
      <c r="AQ223" s="507"/>
      <c r="AR223" s="507"/>
      <c r="AS223" s="507"/>
      <c r="AT223" s="507"/>
      <c r="AU223" s="507"/>
      <c r="AV223" s="507"/>
      <c r="AW223" s="507"/>
      <c r="AX223" s="508"/>
      <c r="AY223" s="509">
        <f>[1]RONET_Input!AG194</f>
        <v>3</v>
      </c>
      <c r="AZ223" s="359" t="s">
        <v>321</v>
      </c>
      <c r="BA223" s="360" t="s">
        <v>502</v>
      </c>
      <c r="BB223" s="360" t="s">
        <v>443</v>
      </c>
      <c r="BC223" s="510">
        <v>3.6655551519486906E-2</v>
      </c>
      <c r="BD223" s="510">
        <v>5.0050000000000004E-2</v>
      </c>
      <c r="BE223" s="438">
        <v>1</v>
      </c>
      <c r="BF223" s="511">
        <v>0.38877042472469586</v>
      </c>
      <c r="BG223" s="512">
        <v>0.53083254652782252</v>
      </c>
      <c r="BH223" s="512">
        <v>10.606044885670778</v>
      </c>
      <c r="BI223" s="513">
        <v>0</v>
      </c>
      <c r="BJ223" s="514">
        <v>375</v>
      </c>
      <c r="BK223" s="515">
        <v>0.22366666666666665</v>
      </c>
      <c r="BL223" s="512">
        <v>0.10024432795663876</v>
      </c>
      <c r="BM223" s="516">
        <v>3.2054071874999999E-2</v>
      </c>
      <c r="BN223" s="517">
        <v>375</v>
      </c>
      <c r="BO223" s="518">
        <v>397.50000000000011</v>
      </c>
      <c r="BP223" s="518">
        <v>421.34999999999991</v>
      </c>
      <c r="BQ223" s="518">
        <v>446.63099999999997</v>
      </c>
      <c r="BR223" s="518">
        <v>473.42885999999999</v>
      </c>
      <c r="BS223" s="518">
        <v>501.83459160000012</v>
      </c>
      <c r="BT223" s="518">
        <v>531.9446670960001</v>
      </c>
      <c r="BU223" s="518">
        <v>563.86134712175999</v>
      </c>
      <c r="BV223" s="518">
        <v>597.69302794906582</v>
      </c>
      <c r="BW223" s="518">
        <v>633.55460962600955</v>
      </c>
      <c r="BX223" s="518">
        <v>671.56788620357008</v>
      </c>
      <c r="BY223" s="518">
        <v>711.86195937578441</v>
      </c>
      <c r="BZ223" s="518">
        <v>754.57367693833146</v>
      </c>
      <c r="CA223" s="518">
        <v>799.84809755463141</v>
      </c>
      <c r="CB223" s="518">
        <v>847.83898340790915</v>
      </c>
      <c r="CC223" s="518">
        <v>898.70932241238381</v>
      </c>
      <c r="CD223" s="518">
        <v>952.63188175712685</v>
      </c>
      <c r="CE223" s="518">
        <v>1009.7897946625544</v>
      </c>
      <c r="CF223" s="518">
        <v>1070.3771823423076</v>
      </c>
      <c r="CG223" s="519">
        <v>1134.5998132828461</v>
      </c>
      <c r="CH223" s="520">
        <v>2.5</v>
      </c>
      <c r="CI223" s="521">
        <v>2.5499999999999998</v>
      </c>
      <c r="CJ223" s="521">
        <v>2.601</v>
      </c>
      <c r="CK223" s="521">
        <v>2.6530200000000002</v>
      </c>
      <c r="CL223" s="521">
        <v>2.7060804000000003</v>
      </c>
      <c r="CM223" s="521">
        <v>2.7602020080000003</v>
      </c>
      <c r="CN223" s="521">
        <v>2.8154060481600003</v>
      </c>
      <c r="CO223" s="521">
        <v>2.8717141691232002</v>
      </c>
      <c r="CP223" s="521">
        <v>2.5</v>
      </c>
      <c r="CQ223" s="521">
        <v>2.5499999999999998</v>
      </c>
      <c r="CR223" s="521">
        <v>2.601</v>
      </c>
      <c r="CS223" s="521">
        <v>2.6530200000000002</v>
      </c>
      <c r="CT223" s="521">
        <v>2.7060804000000003</v>
      </c>
      <c r="CU223" s="521">
        <v>2.7602020080000003</v>
      </c>
      <c r="CV223" s="521">
        <v>2.8154060481600003</v>
      </c>
      <c r="CW223" s="521">
        <v>2.8717141691232002</v>
      </c>
      <c r="CX223" s="521">
        <v>2.5</v>
      </c>
      <c r="CY223" s="521">
        <v>2.5499999999999998</v>
      </c>
      <c r="CZ223" s="521">
        <v>2.601</v>
      </c>
      <c r="DA223" s="522">
        <v>2.6530200000000002</v>
      </c>
      <c r="DB223" s="523">
        <v>-2.0825933803507224E-2</v>
      </c>
      <c r="DC223" s="524">
        <v>1.3830449528774602E-2</v>
      </c>
      <c r="DD223" s="524">
        <v>1.5263946250624112E-2</v>
      </c>
      <c r="DE223" s="524">
        <v>1.6844668047550602E-2</v>
      </c>
      <c r="DF223" s="524">
        <v>1.8587491514531179E-2</v>
      </c>
      <c r="DG223" s="524">
        <v>2.050871638125866E-2</v>
      </c>
      <c r="DH223" s="524">
        <v>2.2626172589894022E-2</v>
      </c>
      <c r="DI223" s="524">
        <v>2.4959324860259313E-2</v>
      </c>
      <c r="DJ223" s="524">
        <v>-5.499584275019509E-3</v>
      </c>
      <c r="DK223" s="524">
        <v>0.49996880144336087</v>
      </c>
      <c r="DL223" s="524">
        <v>3.0934328943520162E-4</v>
      </c>
      <c r="DM223" s="524">
        <v>2.9465709678558327E-4</v>
      </c>
      <c r="DN223" s="524">
        <v>2.7572086827701292E-4</v>
      </c>
      <c r="DO223" s="524">
        <v>2.5194023100699736E-4</v>
      </c>
      <c r="DP223" s="524">
        <v>2.2265114287417509E-4</v>
      </c>
      <c r="DQ223" s="524">
        <v>1.8711232048505833E-4</v>
      </c>
      <c r="DR223" s="524">
        <v>-3.2689914486906155E-2</v>
      </c>
      <c r="DS223" s="524">
        <v>6.769312824922874E-2</v>
      </c>
      <c r="DT223" s="524">
        <v>1.0238686970157618E-3</v>
      </c>
      <c r="DU223" s="525">
        <v>1.0690870957695831E-3</v>
      </c>
      <c r="DV223" s="526">
        <v>3.5</v>
      </c>
      <c r="DW223" s="507">
        <v>1</v>
      </c>
      <c r="DX223" s="509">
        <v>11.28</v>
      </c>
      <c r="DY223" s="507">
        <v>2</v>
      </c>
      <c r="DZ223" s="507">
        <v>15</v>
      </c>
      <c r="EA223" s="507">
        <v>0</v>
      </c>
      <c r="EB223" s="507">
        <v>0</v>
      </c>
      <c r="EC223" s="507">
        <v>111.62500000000001</v>
      </c>
      <c r="ED223" s="507">
        <v>102.18750000000001</v>
      </c>
      <c r="EE223" s="507">
        <v>0</v>
      </c>
      <c r="EF223" s="507">
        <v>25.062499999999996</v>
      </c>
      <c r="EG223" s="507">
        <v>29.3125</v>
      </c>
      <c r="EH223" s="507">
        <v>12.8125</v>
      </c>
      <c r="EI223" s="507">
        <v>16.6875</v>
      </c>
      <c r="EJ223" s="507">
        <v>56.4375</v>
      </c>
      <c r="EK223" s="507">
        <v>10.4375</v>
      </c>
      <c r="EL223" s="507">
        <v>10.4375</v>
      </c>
      <c r="EM223" s="508">
        <v>375</v>
      </c>
    </row>
    <row r="224" spans="2:143" x14ac:dyDescent="0.25">
      <c r="B224" s="506" t="str">
        <f>[1]RONET_Input!J195</f>
        <v xml:space="preserve">Input VPROMMS: 214tt00012 (51.28 pct); 212th00034 (48.72 pct); </v>
      </c>
      <c r="C224" s="359">
        <f>[1]RONET_Input!B195</f>
        <v>193</v>
      </c>
      <c r="D224" s="397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442">
        <f>[1]RONET_Input!K195</f>
        <v>0.83122035686600004</v>
      </c>
      <c r="Q224" s="398">
        <f>[1]RONET_Input!Y195</f>
        <v>2</v>
      </c>
      <c r="R224" s="398">
        <f>[1]RONET_Input!X195</f>
        <v>3.5</v>
      </c>
      <c r="S224" s="398"/>
      <c r="T224" s="398"/>
      <c r="U224" s="398">
        <f>[1]RONET_Input!AA195</f>
        <v>8</v>
      </c>
      <c r="V224" s="398">
        <f>[1]RONET_Input!AC195</f>
        <v>1</v>
      </c>
      <c r="W224" s="398">
        <f>[1]RONET_Input!AD195</f>
        <v>1</v>
      </c>
      <c r="X224" s="398">
        <f>[1]RONET_Input!AE195</f>
        <v>4</v>
      </c>
      <c r="Y224" s="398">
        <f>[1]RONET_Input!AB195</f>
        <v>1</v>
      </c>
      <c r="Z224" s="438">
        <f>[1]RONET_Input!Z195</f>
        <v>1</v>
      </c>
      <c r="AA224" s="442"/>
      <c r="AB224" s="398"/>
      <c r="AC224" s="438"/>
      <c r="AD224" s="442">
        <f>[1]RONET_Input!AH195</f>
        <v>4</v>
      </c>
      <c r="AE224" s="398">
        <f>[1]RONET_Input!D195</f>
        <v>8.3350000000000009</v>
      </c>
      <c r="AF224" s="398"/>
      <c r="AG224" s="398"/>
      <c r="AH224" s="398"/>
      <c r="AI224" s="438"/>
      <c r="AJ224" s="442">
        <v>1</v>
      </c>
      <c r="AK224" s="442">
        <f>[1]RONET_Input!AF195</f>
        <v>4</v>
      </c>
      <c r="AL224" s="507"/>
      <c r="AM224" s="507"/>
      <c r="AN224" s="507"/>
      <c r="AO224" s="507"/>
      <c r="AP224" s="507"/>
      <c r="AQ224" s="507"/>
      <c r="AR224" s="507"/>
      <c r="AS224" s="507"/>
      <c r="AT224" s="507"/>
      <c r="AU224" s="507"/>
      <c r="AV224" s="507"/>
      <c r="AW224" s="507"/>
      <c r="AX224" s="508"/>
      <c r="AY224" s="509">
        <f>[1]RONET_Input!AG195</f>
        <v>3</v>
      </c>
      <c r="AZ224" s="359" t="s">
        <v>321</v>
      </c>
      <c r="BA224" s="360" t="s">
        <v>502</v>
      </c>
      <c r="BB224" s="360" t="s">
        <v>443</v>
      </c>
      <c r="BC224" s="510">
        <v>4.1602578861143311E-2</v>
      </c>
      <c r="BD224" s="510">
        <v>5.0050000000000011E-2</v>
      </c>
      <c r="BE224" s="438">
        <v>5</v>
      </c>
      <c r="BF224" s="511">
        <v>0.36485231484397102</v>
      </c>
      <c r="BG224" s="512">
        <v>0.43893573085673165</v>
      </c>
      <c r="BH224" s="512">
        <v>8.7699446724621684</v>
      </c>
      <c r="BI224" s="513">
        <v>0</v>
      </c>
      <c r="BJ224" s="514">
        <v>375</v>
      </c>
      <c r="BK224" s="515">
        <v>0.22366666666666665</v>
      </c>
      <c r="BL224" s="512">
        <v>0.11377328634603377</v>
      </c>
      <c r="BM224" s="516">
        <v>3.2054071874999999E-2</v>
      </c>
      <c r="BN224" s="517">
        <v>375</v>
      </c>
      <c r="BO224" s="518">
        <v>397.50000000000011</v>
      </c>
      <c r="BP224" s="518">
        <v>421.34999999999991</v>
      </c>
      <c r="BQ224" s="518">
        <v>446.63099999999997</v>
      </c>
      <c r="BR224" s="518">
        <v>473.42885999999999</v>
      </c>
      <c r="BS224" s="518">
        <v>501.83459160000012</v>
      </c>
      <c r="BT224" s="518">
        <v>531.9446670960001</v>
      </c>
      <c r="BU224" s="518">
        <v>563.86134712175999</v>
      </c>
      <c r="BV224" s="518">
        <v>597.69302794906582</v>
      </c>
      <c r="BW224" s="518">
        <v>633.55460962600955</v>
      </c>
      <c r="BX224" s="518">
        <v>671.56788620357008</v>
      </c>
      <c r="BY224" s="518">
        <v>711.86195937578441</v>
      </c>
      <c r="BZ224" s="518">
        <v>754.57367693833146</v>
      </c>
      <c r="CA224" s="518">
        <v>799.84809755463141</v>
      </c>
      <c r="CB224" s="518">
        <v>847.83898340790915</v>
      </c>
      <c r="CC224" s="518">
        <v>898.70932241238381</v>
      </c>
      <c r="CD224" s="518">
        <v>952.63188175712685</v>
      </c>
      <c r="CE224" s="518">
        <v>1009.7897946625544</v>
      </c>
      <c r="CF224" s="518">
        <v>1070.3771823423076</v>
      </c>
      <c r="CG224" s="519">
        <v>1134.5998132828461</v>
      </c>
      <c r="CH224" s="520">
        <v>8.3350000000000009</v>
      </c>
      <c r="CI224" s="521">
        <v>8.5017000000000014</v>
      </c>
      <c r="CJ224" s="521">
        <v>8.6717340000000007</v>
      </c>
      <c r="CK224" s="521">
        <v>8.8451686800000004</v>
      </c>
      <c r="CL224" s="521">
        <v>2.5</v>
      </c>
      <c r="CM224" s="521">
        <v>2.5499999999999998</v>
      </c>
      <c r="CN224" s="521">
        <v>2.601</v>
      </c>
      <c r="CO224" s="521">
        <v>2.6530200000000002</v>
      </c>
      <c r="CP224" s="521">
        <v>2.7060804000000003</v>
      </c>
      <c r="CQ224" s="521">
        <v>2.7602020080000003</v>
      </c>
      <c r="CR224" s="521">
        <v>2.8154060481600003</v>
      </c>
      <c r="CS224" s="521">
        <v>2.8717141691232002</v>
      </c>
      <c r="CT224" s="521">
        <v>2.5</v>
      </c>
      <c r="CU224" s="521">
        <v>2.5499999999999998</v>
      </c>
      <c r="CV224" s="521">
        <v>2.601</v>
      </c>
      <c r="CW224" s="521">
        <v>2.6530200000000002</v>
      </c>
      <c r="CX224" s="521">
        <v>2.7060804000000003</v>
      </c>
      <c r="CY224" s="521">
        <v>2.7602020080000003</v>
      </c>
      <c r="CZ224" s="521">
        <v>2.8154060481600003</v>
      </c>
      <c r="DA224" s="522">
        <v>2.8717141691232002</v>
      </c>
      <c r="DB224" s="523">
        <v>0</v>
      </c>
      <c r="DC224" s="524">
        <v>0</v>
      </c>
      <c r="DD224" s="524">
        <v>0</v>
      </c>
      <c r="DE224" s="524">
        <v>0</v>
      </c>
      <c r="DF224" s="524">
        <v>-2.6796485918358454E-2</v>
      </c>
      <c r="DG224" s="524">
        <v>1.2217325466315695E-2</v>
      </c>
      <c r="DH224" s="524">
        <v>1.3492319710114956E-2</v>
      </c>
      <c r="DI224" s="524">
        <v>1.4899135781106618E-2</v>
      </c>
      <c r="DJ224" s="524">
        <v>1.6451324629228242E-2</v>
      </c>
      <c r="DK224" s="524">
        <v>0.56725750240960293</v>
      </c>
      <c r="DL224" s="524">
        <v>1.4303805037714501E-4</v>
      </c>
      <c r="DM224" s="524">
        <v>1.0303244556508773E-4</v>
      </c>
      <c r="DN224" s="524">
        <v>-3.7333277138674001E-2</v>
      </c>
      <c r="DO224" s="524">
        <v>5.2203548660811894E-4</v>
      </c>
      <c r="DP224" s="524">
        <v>5.1536368836110902E-4</v>
      </c>
      <c r="DQ224" s="524">
        <v>5.0449143904954252E-4</v>
      </c>
      <c r="DR224" s="524">
        <v>4.8878794958684413E-4</v>
      </c>
      <c r="DS224" s="524">
        <v>7.6530919426273797E-2</v>
      </c>
      <c r="DT224" s="524">
        <v>8.3044312999872028E-4</v>
      </c>
      <c r="DU224" s="525">
        <v>8.4456798077617301E-4</v>
      </c>
      <c r="DV224" s="526">
        <v>3.5</v>
      </c>
      <c r="DW224" s="507">
        <v>1</v>
      </c>
      <c r="DX224" s="509">
        <v>8.3350000000000009</v>
      </c>
      <c r="DY224" s="507">
        <v>2</v>
      </c>
      <c r="DZ224" s="507">
        <v>15</v>
      </c>
      <c r="EA224" s="507">
        <v>0</v>
      </c>
      <c r="EB224" s="507">
        <v>0</v>
      </c>
      <c r="EC224" s="507">
        <v>111.62500000000001</v>
      </c>
      <c r="ED224" s="507">
        <v>102.18750000000001</v>
      </c>
      <c r="EE224" s="507">
        <v>0</v>
      </c>
      <c r="EF224" s="507">
        <v>25.062499999999996</v>
      </c>
      <c r="EG224" s="507">
        <v>29.3125</v>
      </c>
      <c r="EH224" s="507">
        <v>12.8125</v>
      </c>
      <c r="EI224" s="507">
        <v>16.6875</v>
      </c>
      <c r="EJ224" s="507">
        <v>56.4375</v>
      </c>
      <c r="EK224" s="507">
        <v>10.4375</v>
      </c>
      <c r="EL224" s="507">
        <v>10.4375</v>
      </c>
      <c r="EM224" s="508">
        <v>375</v>
      </c>
    </row>
    <row r="225" spans="2:143" x14ac:dyDescent="0.25">
      <c r="B225" s="506" t="str">
        <f>[1]RONET_Input!J196</f>
        <v>212TH00036</v>
      </c>
      <c r="C225" s="359">
        <f>[1]RONET_Input!B196</f>
        <v>194</v>
      </c>
      <c r="D225" s="397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442">
        <f>[1]RONET_Input!K196</f>
        <v>2.5260818995499998</v>
      </c>
      <c r="Q225" s="398">
        <f>[1]RONET_Input!Y196</f>
        <v>3</v>
      </c>
      <c r="R225" s="398">
        <f>[1]RONET_Input!X196</f>
        <v>4.3</v>
      </c>
      <c r="S225" s="398"/>
      <c r="T225" s="398"/>
      <c r="U225" s="398">
        <f>[1]RONET_Input!AA196</f>
        <v>8</v>
      </c>
      <c r="V225" s="398">
        <f>[1]RONET_Input!AC196</f>
        <v>1</v>
      </c>
      <c r="W225" s="398">
        <f>[1]RONET_Input!AD196</f>
        <v>1</v>
      </c>
      <c r="X225" s="398">
        <f>[1]RONET_Input!AE196</f>
        <v>4</v>
      </c>
      <c r="Y225" s="398">
        <f>[1]RONET_Input!AB196</f>
        <v>1</v>
      </c>
      <c r="Z225" s="438">
        <f>[1]RONET_Input!Z196</f>
        <v>3</v>
      </c>
      <c r="AA225" s="442"/>
      <c r="AB225" s="398"/>
      <c r="AC225" s="438"/>
      <c r="AD225" s="442">
        <f>[1]RONET_Input!AH196</f>
        <v>4</v>
      </c>
      <c r="AE225" s="398">
        <f>[1]RONET_Input!D196</f>
        <v>10.125</v>
      </c>
      <c r="AF225" s="398"/>
      <c r="AG225" s="398"/>
      <c r="AH225" s="398"/>
      <c r="AI225" s="438"/>
      <c r="AJ225" s="442">
        <v>1</v>
      </c>
      <c r="AK225" s="442">
        <f>[1]RONET_Input!AF196</f>
        <v>8</v>
      </c>
      <c r="AL225" s="507"/>
      <c r="AM225" s="507"/>
      <c r="AN225" s="507"/>
      <c r="AO225" s="507"/>
      <c r="AP225" s="507"/>
      <c r="AQ225" s="507"/>
      <c r="AR225" s="507"/>
      <c r="AS225" s="507"/>
      <c r="AT225" s="507"/>
      <c r="AU225" s="507"/>
      <c r="AV225" s="507"/>
      <c r="AW225" s="507"/>
      <c r="AX225" s="508"/>
      <c r="AY225" s="509">
        <f>[1]RONET_Input!AG196</f>
        <v>3</v>
      </c>
      <c r="AZ225" s="359" t="s">
        <v>321</v>
      </c>
      <c r="BA225" s="360" t="s">
        <v>506</v>
      </c>
      <c r="BB225" s="360" t="s">
        <v>447</v>
      </c>
      <c r="BC225" s="510">
        <v>0.15532877600332951</v>
      </c>
      <c r="BD225" s="510">
        <v>6.1490000000000003E-2</v>
      </c>
      <c r="BE225" s="438">
        <v>1</v>
      </c>
      <c r="BF225" s="511">
        <v>6.0504279957345117</v>
      </c>
      <c r="BG225" s="512">
        <v>2.395182831092034</v>
      </c>
      <c r="BH225" s="512">
        <v>38.952396017109024</v>
      </c>
      <c r="BI225" s="513">
        <v>0</v>
      </c>
      <c r="BJ225" s="514">
        <v>6000</v>
      </c>
      <c r="BK225" s="515">
        <v>0.22366666666666665</v>
      </c>
      <c r="BL225" s="512">
        <v>5.5321193600144998</v>
      </c>
      <c r="BM225" s="516">
        <v>0.51286514999999999</v>
      </c>
      <c r="BN225" s="517">
        <v>6000</v>
      </c>
      <c r="BO225" s="518">
        <v>6360.0000000000018</v>
      </c>
      <c r="BP225" s="518">
        <v>6741.5999999999985</v>
      </c>
      <c r="BQ225" s="518">
        <v>7146.0959999999995</v>
      </c>
      <c r="BR225" s="518">
        <v>7574.8617599999998</v>
      </c>
      <c r="BS225" s="518">
        <v>8029.353465600002</v>
      </c>
      <c r="BT225" s="518">
        <v>8511.1146735360016</v>
      </c>
      <c r="BU225" s="518">
        <v>9021.7815539481599</v>
      </c>
      <c r="BV225" s="518">
        <v>9563.0884471850532</v>
      </c>
      <c r="BW225" s="518">
        <v>10136.873754016153</v>
      </c>
      <c r="BX225" s="518">
        <v>10745.086179257121</v>
      </c>
      <c r="BY225" s="518">
        <v>11389.791350012551</v>
      </c>
      <c r="BZ225" s="518">
        <v>12073.178831013303</v>
      </c>
      <c r="CA225" s="518">
        <v>12797.569560874103</v>
      </c>
      <c r="CB225" s="518">
        <v>13565.423734526546</v>
      </c>
      <c r="CC225" s="518">
        <v>14379.349158598141</v>
      </c>
      <c r="CD225" s="518">
        <v>15242.11010811403</v>
      </c>
      <c r="CE225" s="518">
        <v>16156.636714600871</v>
      </c>
      <c r="CF225" s="518">
        <v>17126.034917476922</v>
      </c>
      <c r="CG225" s="519">
        <v>18153.597012525537</v>
      </c>
      <c r="CH225" s="520">
        <v>2</v>
      </c>
      <c r="CI225" s="521">
        <v>2.0499999999999998</v>
      </c>
      <c r="CJ225" s="521">
        <v>2.1012499999999998</v>
      </c>
      <c r="CK225" s="521">
        <v>2.1537812499999998</v>
      </c>
      <c r="CL225" s="521">
        <v>2.20762578125</v>
      </c>
      <c r="CM225" s="521">
        <v>2.2628164257812502</v>
      </c>
      <c r="CN225" s="521">
        <v>2.3193868364257813</v>
      </c>
      <c r="CO225" s="521">
        <v>2.3773715073364259</v>
      </c>
      <c r="CP225" s="521">
        <v>2.5</v>
      </c>
      <c r="CQ225" s="521">
        <v>2.5625</v>
      </c>
      <c r="CR225" s="521">
        <v>2.6265624999999999</v>
      </c>
      <c r="CS225" s="521">
        <v>2.6922265624999997</v>
      </c>
      <c r="CT225" s="521">
        <v>2.7595322265624995</v>
      </c>
      <c r="CU225" s="521">
        <v>2.8285205322265621</v>
      </c>
      <c r="CV225" s="521">
        <v>2.8992335455322262</v>
      </c>
      <c r="CW225" s="521">
        <v>2.9717143841705318</v>
      </c>
      <c r="CX225" s="521">
        <v>2.5</v>
      </c>
      <c r="CY225" s="521">
        <v>2.5625</v>
      </c>
      <c r="CZ225" s="521">
        <v>2.6265624999999999</v>
      </c>
      <c r="DA225" s="522">
        <v>2.6922265624999997</v>
      </c>
      <c r="DB225" s="523">
        <v>0.38857023137353996</v>
      </c>
      <c r="DC225" s="524">
        <v>0.59238063036138522</v>
      </c>
      <c r="DD225" s="524">
        <v>0.66208050458547651</v>
      </c>
      <c r="DE225" s="524">
        <v>0.73984700378291501</v>
      </c>
      <c r="DF225" s="524">
        <v>0.82660045135911853</v>
      </c>
      <c r="DG225" s="524">
        <v>0.92336281285170285</v>
      </c>
      <c r="DH225" s="524">
        <v>1.0312674335092717</v>
      </c>
      <c r="DI225" s="524">
        <v>1.1515690197491955</v>
      </c>
      <c r="DJ225" s="524">
        <v>1.189898677762292</v>
      </c>
      <c r="DK225" s="524">
        <v>0.46147378882082091</v>
      </c>
      <c r="DL225" s="524">
        <v>1.4401142216158291E-3</v>
      </c>
      <c r="DM225" s="524">
        <v>1.6350115876608839E-3</v>
      </c>
      <c r="DN225" s="524">
        <v>1.8544844502867974E-3</v>
      </c>
      <c r="DO225" s="524">
        <v>2.1015014275693744E-3</v>
      </c>
      <c r="DP225" s="524">
        <v>2.3793796015967317E-3</v>
      </c>
      <c r="DQ225" s="524">
        <v>2.6918246074192353E-3</v>
      </c>
      <c r="DR225" s="524">
        <v>-5.9349852817124571E-2</v>
      </c>
      <c r="DS225" s="524">
        <v>0.14962024251994244</v>
      </c>
      <c r="DT225" s="524">
        <v>-3.6918779858421402E-3</v>
      </c>
      <c r="DU225" s="525">
        <v>-4.1949333653654719E-3</v>
      </c>
      <c r="DV225" s="526">
        <v>4.3</v>
      </c>
      <c r="DW225" s="507">
        <v>3</v>
      </c>
      <c r="DX225" s="509">
        <v>10.125</v>
      </c>
      <c r="DY225" s="507">
        <v>6</v>
      </c>
      <c r="DZ225" s="507">
        <v>15</v>
      </c>
      <c r="EA225" s="507">
        <v>0</v>
      </c>
      <c r="EB225" s="507">
        <v>0</v>
      </c>
      <c r="EC225" s="507">
        <v>1786.0000000000002</v>
      </c>
      <c r="ED225" s="507">
        <v>1635.0000000000002</v>
      </c>
      <c r="EE225" s="507">
        <v>0</v>
      </c>
      <c r="EF225" s="507">
        <v>400.99999999999994</v>
      </c>
      <c r="EG225" s="507">
        <v>469</v>
      </c>
      <c r="EH225" s="507">
        <v>205</v>
      </c>
      <c r="EI225" s="507">
        <v>267</v>
      </c>
      <c r="EJ225" s="507">
        <v>903</v>
      </c>
      <c r="EK225" s="507">
        <v>167</v>
      </c>
      <c r="EL225" s="507">
        <v>167</v>
      </c>
      <c r="EM225" s="508">
        <v>6000</v>
      </c>
    </row>
    <row r="226" spans="2:143" x14ac:dyDescent="0.25">
      <c r="B226" s="506" t="str">
        <f>[1]RONET_Input!J197</f>
        <v>214tt00088</v>
      </c>
      <c r="C226" s="359">
        <f>[1]RONET_Input!B197</f>
        <v>195</v>
      </c>
      <c r="D226" s="397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442">
        <f>[1]RONET_Input!K197</f>
        <v>2.0400536040500001</v>
      </c>
      <c r="Q226" s="398">
        <f>[1]RONET_Input!Y197</f>
        <v>1</v>
      </c>
      <c r="R226" s="398">
        <f>[1]RONET_Input!X197</f>
        <v>3.4</v>
      </c>
      <c r="S226" s="398"/>
      <c r="T226" s="398"/>
      <c r="U226" s="398">
        <f>[1]RONET_Input!AA197</f>
        <v>8</v>
      </c>
      <c r="V226" s="398">
        <f>[1]RONET_Input!AC197</f>
        <v>1</v>
      </c>
      <c r="W226" s="398">
        <f>[1]RONET_Input!AD197</f>
        <v>1</v>
      </c>
      <c r="X226" s="398">
        <f>[1]RONET_Input!AE197</f>
        <v>4</v>
      </c>
      <c r="Y226" s="398">
        <f>[1]RONET_Input!AB197</f>
        <v>1</v>
      </c>
      <c r="Z226" s="438">
        <f>[1]RONET_Input!Z197</f>
        <v>1</v>
      </c>
      <c r="AA226" s="442"/>
      <c r="AB226" s="398"/>
      <c r="AC226" s="438"/>
      <c r="AD226" s="442">
        <f>[1]RONET_Input!AH197</f>
        <v>4</v>
      </c>
      <c r="AE226" s="398">
        <f>[1]RONET_Input!D197</f>
        <v>11.38</v>
      </c>
      <c r="AF226" s="398"/>
      <c r="AG226" s="398"/>
      <c r="AH226" s="398"/>
      <c r="AI226" s="438"/>
      <c r="AJ226" s="442">
        <v>1</v>
      </c>
      <c r="AK226" s="442">
        <f>[1]RONET_Input!AF197</f>
        <v>4</v>
      </c>
      <c r="AL226" s="507"/>
      <c r="AM226" s="507"/>
      <c r="AN226" s="507"/>
      <c r="AO226" s="507"/>
      <c r="AP226" s="507"/>
      <c r="AQ226" s="507"/>
      <c r="AR226" s="507"/>
      <c r="AS226" s="507"/>
      <c r="AT226" s="507"/>
      <c r="AU226" s="507"/>
      <c r="AV226" s="507"/>
      <c r="AW226" s="507"/>
      <c r="AX226" s="508"/>
      <c r="AY226" s="509">
        <f>[1]RONET_Input!AG197</f>
        <v>3</v>
      </c>
      <c r="AZ226" s="359" t="s">
        <v>321</v>
      </c>
      <c r="BA226" s="360" t="s">
        <v>502</v>
      </c>
      <c r="BB226" s="360" t="s">
        <v>443</v>
      </c>
      <c r="BC226" s="510">
        <v>9.9187406228911007E-2</v>
      </c>
      <c r="BD226" s="510">
        <v>4.8620000000000003E-2</v>
      </c>
      <c r="BE226" s="438">
        <v>1</v>
      </c>
      <c r="BF226" s="511">
        <v>1.1388488211978502</v>
      </c>
      <c r="BG226" s="512">
        <v>0.5582445573670024</v>
      </c>
      <c r="BH226" s="512">
        <v>11.481788510222179</v>
      </c>
      <c r="BI226" s="513">
        <v>0</v>
      </c>
      <c r="BJ226" s="514">
        <v>375</v>
      </c>
      <c r="BK226" s="515">
        <v>0.22366666666666665</v>
      </c>
      <c r="BL226" s="512">
        <v>0.27923233705434375</v>
      </c>
      <c r="BM226" s="516">
        <v>6.4108143749999999E-2</v>
      </c>
      <c r="BN226" s="517">
        <v>375</v>
      </c>
      <c r="BO226" s="518">
        <v>397.50000000000011</v>
      </c>
      <c r="BP226" s="518">
        <v>421.34999999999991</v>
      </c>
      <c r="BQ226" s="518">
        <v>446.63099999999997</v>
      </c>
      <c r="BR226" s="518">
        <v>473.42885999999999</v>
      </c>
      <c r="BS226" s="518">
        <v>501.83459160000012</v>
      </c>
      <c r="BT226" s="518">
        <v>531.9446670960001</v>
      </c>
      <c r="BU226" s="518">
        <v>563.86134712175999</v>
      </c>
      <c r="BV226" s="518">
        <v>597.69302794906582</v>
      </c>
      <c r="BW226" s="518">
        <v>633.55460962600955</v>
      </c>
      <c r="BX226" s="518">
        <v>671.56788620357008</v>
      </c>
      <c r="BY226" s="518">
        <v>711.86195937578441</v>
      </c>
      <c r="BZ226" s="518">
        <v>754.57367693833146</v>
      </c>
      <c r="CA226" s="518">
        <v>799.84809755463141</v>
      </c>
      <c r="CB226" s="518">
        <v>847.83898340790915</v>
      </c>
      <c r="CC226" s="518">
        <v>898.70932241238381</v>
      </c>
      <c r="CD226" s="518">
        <v>952.63188175712685</v>
      </c>
      <c r="CE226" s="518">
        <v>1009.7897946625544</v>
      </c>
      <c r="CF226" s="518">
        <v>1070.3771823423076</v>
      </c>
      <c r="CG226" s="519">
        <v>1134.5998132828461</v>
      </c>
      <c r="CH226" s="520">
        <v>2.5</v>
      </c>
      <c r="CI226" s="521">
        <v>2.5499999999999998</v>
      </c>
      <c r="CJ226" s="521">
        <v>2.601</v>
      </c>
      <c r="CK226" s="521">
        <v>2.6530200000000002</v>
      </c>
      <c r="CL226" s="521">
        <v>2.7060804000000003</v>
      </c>
      <c r="CM226" s="521">
        <v>2.7602020080000003</v>
      </c>
      <c r="CN226" s="521">
        <v>2.8154060481600003</v>
      </c>
      <c r="CO226" s="521">
        <v>2.8717141691232002</v>
      </c>
      <c r="CP226" s="521">
        <v>2.5</v>
      </c>
      <c r="CQ226" s="521">
        <v>2.5499999999999998</v>
      </c>
      <c r="CR226" s="521">
        <v>2.601</v>
      </c>
      <c r="CS226" s="521">
        <v>2.6530200000000002</v>
      </c>
      <c r="CT226" s="521">
        <v>2.7060804000000003</v>
      </c>
      <c r="CU226" s="521">
        <v>2.7602020080000003</v>
      </c>
      <c r="CV226" s="521">
        <v>2.8154060481600003</v>
      </c>
      <c r="CW226" s="521">
        <v>2.8717141691232002</v>
      </c>
      <c r="CX226" s="521">
        <v>2.5</v>
      </c>
      <c r="CY226" s="521">
        <v>2.5499999999999998</v>
      </c>
      <c r="CZ226" s="521">
        <v>2.601</v>
      </c>
      <c r="DA226" s="522">
        <v>2.6530200000000002</v>
      </c>
      <c r="DB226" s="523">
        <v>-5.3252040691706665E-2</v>
      </c>
      <c r="DC226" s="524">
        <v>4.0760937105685263E-2</v>
      </c>
      <c r="DD226" s="524">
        <v>4.4891866467805297E-2</v>
      </c>
      <c r="DE226" s="524">
        <v>4.9439047200614428E-2</v>
      </c>
      <c r="DF226" s="524">
        <v>5.4443855557407606E-2</v>
      </c>
      <c r="DG226" s="524">
        <v>5.9951574095136351E-2</v>
      </c>
      <c r="DH226" s="524">
        <v>6.6011684925802866E-2</v>
      </c>
      <c r="DI226" s="524">
        <v>7.2678157875662869E-2</v>
      </c>
      <c r="DJ226" s="524">
        <v>-9.1283235608931035E-3</v>
      </c>
      <c r="DK226" s="524">
        <v>1.3984539518792618</v>
      </c>
      <c r="DL226" s="524">
        <v>6.7395791753690759E-3</v>
      </c>
      <c r="DM226" s="524">
        <v>6.7980590219055836E-3</v>
      </c>
      <c r="DN226" s="524">
        <v>6.8483102455860201E-3</v>
      </c>
      <c r="DO226" s="524">
        <v>6.8887181399601705E-3</v>
      </c>
      <c r="DP226" s="524">
        <v>6.9174639642421432E-3</v>
      </c>
      <c r="DQ226" s="524">
        <v>6.9325024557376769E-3</v>
      </c>
      <c r="DR226" s="524">
        <v>-8.1539917770252379E-2</v>
      </c>
      <c r="DS226" s="524">
        <v>0.19557124204784793</v>
      </c>
      <c r="DT226" s="524">
        <v>1.0015583601129197E-2</v>
      </c>
      <c r="DU226" s="525">
        <v>1.0299950405617098E-2</v>
      </c>
      <c r="DV226" s="526">
        <v>3.4</v>
      </c>
      <c r="DW226" s="507">
        <v>1</v>
      </c>
      <c r="DX226" s="509">
        <v>11.38</v>
      </c>
      <c r="DY226" s="507">
        <v>2</v>
      </c>
      <c r="DZ226" s="507">
        <v>15</v>
      </c>
      <c r="EA226" s="507">
        <v>0</v>
      </c>
      <c r="EB226" s="507">
        <v>0</v>
      </c>
      <c r="EC226" s="507">
        <v>111.62500000000001</v>
      </c>
      <c r="ED226" s="507">
        <v>102.18750000000001</v>
      </c>
      <c r="EE226" s="507">
        <v>0</v>
      </c>
      <c r="EF226" s="507">
        <v>25.062499999999996</v>
      </c>
      <c r="EG226" s="507">
        <v>29.3125</v>
      </c>
      <c r="EH226" s="507">
        <v>12.8125</v>
      </c>
      <c r="EI226" s="507">
        <v>16.6875</v>
      </c>
      <c r="EJ226" s="507">
        <v>56.4375</v>
      </c>
      <c r="EK226" s="507">
        <v>10.4375</v>
      </c>
      <c r="EL226" s="507">
        <v>10.4375</v>
      </c>
      <c r="EM226" s="508">
        <v>375</v>
      </c>
    </row>
    <row r="227" spans="2:143" x14ac:dyDescent="0.25">
      <c r="B227" s="506" t="str">
        <f>[1]RONET_Input!J198</f>
        <v>214tt00092</v>
      </c>
      <c r="C227" s="359">
        <f>[1]RONET_Input!B198</f>
        <v>196</v>
      </c>
      <c r="D227" s="397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442">
        <f>[1]RONET_Input!K198</f>
        <v>0.89889493996500003</v>
      </c>
      <c r="Q227" s="398">
        <f>[1]RONET_Input!Y198</f>
        <v>1</v>
      </c>
      <c r="R227" s="398">
        <f>[1]RONET_Input!X198</f>
        <v>3.4</v>
      </c>
      <c r="S227" s="398"/>
      <c r="T227" s="398"/>
      <c r="U227" s="398">
        <f>[1]RONET_Input!AA198</f>
        <v>8</v>
      </c>
      <c r="V227" s="398">
        <f>[1]RONET_Input!AC198</f>
        <v>1</v>
      </c>
      <c r="W227" s="398">
        <f>[1]RONET_Input!AD198</f>
        <v>1</v>
      </c>
      <c r="X227" s="398">
        <f>[1]RONET_Input!AE198</f>
        <v>4</v>
      </c>
      <c r="Y227" s="398">
        <f>[1]RONET_Input!AB198</f>
        <v>1</v>
      </c>
      <c r="Z227" s="438">
        <f>[1]RONET_Input!Z198</f>
        <v>1</v>
      </c>
      <c r="AA227" s="442"/>
      <c r="AB227" s="398"/>
      <c r="AC227" s="438"/>
      <c r="AD227" s="442">
        <f>[1]RONET_Input!AH198</f>
        <v>5</v>
      </c>
      <c r="AE227" s="398">
        <f>[1]RONET_Input!D198</f>
        <v>14.71</v>
      </c>
      <c r="AF227" s="398"/>
      <c r="AG227" s="398"/>
      <c r="AH227" s="398"/>
      <c r="AI227" s="438"/>
      <c r="AJ227" s="442">
        <v>1</v>
      </c>
      <c r="AK227" s="442">
        <f>[1]RONET_Input!AF198</f>
        <v>4</v>
      </c>
      <c r="AL227" s="507"/>
      <c r="AM227" s="507"/>
      <c r="AN227" s="507"/>
      <c r="AO227" s="507"/>
      <c r="AP227" s="507"/>
      <c r="AQ227" s="507"/>
      <c r="AR227" s="507"/>
      <c r="AS227" s="507"/>
      <c r="AT227" s="507"/>
      <c r="AU227" s="507"/>
      <c r="AV227" s="507"/>
      <c r="AW227" s="507"/>
      <c r="AX227" s="508"/>
      <c r="AY227" s="509">
        <f>[1]RONET_Input!AG198</f>
        <v>3</v>
      </c>
      <c r="AZ227" s="359" t="s">
        <v>321</v>
      </c>
      <c r="BA227" s="360" t="s">
        <v>502</v>
      </c>
      <c r="BB227" s="360" t="s">
        <v>443</v>
      </c>
      <c r="BC227" s="510">
        <v>4.3704271981098303E-2</v>
      </c>
      <c r="BD227" s="510">
        <v>4.8620000000000003E-2</v>
      </c>
      <c r="BE227" s="438">
        <v>1</v>
      </c>
      <c r="BF227" s="511">
        <v>0.60267762121904112</v>
      </c>
      <c r="BG227" s="512">
        <v>0.67046502814056042</v>
      </c>
      <c r="BH227" s="512">
        <v>13.789901853981085</v>
      </c>
      <c r="BI227" s="513">
        <v>0</v>
      </c>
      <c r="BJ227" s="514">
        <v>375</v>
      </c>
      <c r="BK227" s="515">
        <v>0.22366666666666665</v>
      </c>
      <c r="BL227" s="512">
        <v>0.12303624490770938</v>
      </c>
      <c r="BM227" s="516">
        <v>6.4108143749999999E-2</v>
      </c>
      <c r="BN227" s="517">
        <v>375</v>
      </c>
      <c r="BO227" s="518">
        <v>397.50000000000011</v>
      </c>
      <c r="BP227" s="518">
        <v>421.34999999999991</v>
      </c>
      <c r="BQ227" s="518">
        <v>446.63099999999997</v>
      </c>
      <c r="BR227" s="518">
        <v>473.42885999999999</v>
      </c>
      <c r="BS227" s="518">
        <v>501.83459160000012</v>
      </c>
      <c r="BT227" s="518">
        <v>531.9446670960001</v>
      </c>
      <c r="BU227" s="518">
        <v>563.86134712175999</v>
      </c>
      <c r="BV227" s="518">
        <v>597.69302794906582</v>
      </c>
      <c r="BW227" s="518">
        <v>633.55460962600955</v>
      </c>
      <c r="BX227" s="518">
        <v>671.56788620357008</v>
      </c>
      <c r="BY227" s="518">
        <v>711.86195937578441</v>
      </c>
      <c r="BZ227" s="518">
        <v>754.57367693833146</v>
      </c>
      <c r="CA227" s="518">
        <v>799.84809755463141</v>
      </c>
      <c r="CB227" s="518">
        <v>847.83898340790915</v>
      </c>
      <c r="CC227" s="518">
        <v>898.70932241238381</v>
      </c>
      <c r="CD227" s="518">
        <v>952.63188175712685</v>
      </c>
      <c r="CE227" s="518">
        <v>1009.7897946625544</v>
      </c>
      <c r="CF227" s="518">
        <v>1070.3771823423076</v>
      </c>
      <c r="CG227" s="519">
        <v>1134.5998132828461</v>
      </c>
      <c r="CH227" s="520">
        <v>2.5</v>
      </c>
      <c r="CI227" s="521">
        <v>2.5499999999999998</v>
      </c>
      <c r="CJ227" s="521">
        <v>2.601</v>
      </c>
      <c r="CK227" s="521">
        <v>2.6530200000000002</v>
      </c>
      <c r="CL227" s="521">
        <v>2.7060804000000003</v>
      </c>
      <c r="CM227" s="521">
        <v>2.7602020080000003</v>
      </c>
      <c r="CN227" s="521">
        <v>2.8154060481600003</v>
      </c>
      <c r="CO227" s="521">
        <v>2.8717141691232002</v>
      </c>
      <c r="CP227" s="521">
        <v>2.5</v>
      </c>
      <c r="CQ227" s="521">
        <v>2.5499999999999998</v>
      </c>
      <c r="CR227" s="521">
        <v>2.601</v>
      </c>
      <c r="CS227" s="521">
        <v>2.6530200000000002</v>
      </c>
      <c r="CT227" s="521">
        <v>2.7060804000000003</v>
      </c>
      <c r="CU227" s="521">
        <v>2.7602020080000003</v>
      </c>
      <c r="CV227" s="521">
        <v>2.8154060481600003</v>
      </c>
      <c r="CW227" s="521">
        <v>2.8717141691232002</v>
      </c>
      <c r="CX227" s="521">
        <v>2.5</v>
      </c>
      <c r="CY227" s="521">
        <v>2.5499999999999998</v>
      </c>
      <c r="CZ227" s="521">
        <v>2.601</v>
      </c>
      <c r="DA227" s="522">
        <v>2.6530200000000002</v>
      </c>
      <c r="DB227" s="523">
        <v>-1.2586063412626872E-2</v>
      </c>
      <c r="DC227" s="524">
        <v>2.989360053664613E-2</v>
      </c>
      <c r="DD227" s="524">
        <v>3.2860079949501825E-2</v>
      </c>
      <c r="DE227" s="524">
        <v>3.6104851374801114E-2</v>
      </c>
      <c r="DF227" s="524">
        <v>3.9648928935120661E-2</v>
      </c>
      <c r="DG227" s="524">
        <v>4.2349577452098178E-2</v>
      </c>
      <c r="DH227" s="524">
        <v>4.4832197431765822E-2</v>
      </c>
      <c r="DI227" s="524">
        <v>4.7457628776639629E-2</v>
      </c>
      <c r="DJ227" s="524">
        <v>1.0957511906017736E-2</v>
      </c>
      <c r="DK227" s="524">
        <v>0.61619125037829958</v>
      </c>
      <c r="DL227" s="524">
        <v>2.9696149190422405E-3</v>
      </c>
      <c r="DM227" s="524">
        <v>2.995382495951604E-3</v>
      </c>
      <c r="DN227" s="524">
        <v>3.017524350755682E-3</v>
      </c>
      <c r="DO227" s="524">
        <v>3.0353290063370175E-3</v>
      </c>
      <c r="DP227" s="524">
        <v>3.0479950833169622E-3</v>
      </c>
      <c r="DQ227" s="524">
        <v>3.0546213915097209E-3</v>
      </c>
      <c r="DR227" s="524">
        <v>-3.5928379206964012E-2</v>
      </c>
      <c r="DS227" s="524">
        <v>8.6173225806654902E-2</v>
      </c>
      <c r="DT227" s="524">
        <v>4.4130984607357593E-3</v>
      </c>
      <c r="DU227" s="525">
        <v>4.5383970710961563E-3</v>
      </c>
      <c r="DV227" s="526">
        <v>3.4</v>
      </c>
      <c r="DW227" s="507">
        <v>1</v>
      </c>
      <c r="DX227" s="509">
        <v>14.71</v>
      </c>
      <c r="DY227" s="507">
        <v>2</v>
      </c>
      <c r="DZ227" s="507">
        <v>20</v>
      </c>
      <c r="EA227" s="507">
        <v>0</v>
      </c>
      <c r="EB227" s="507">
        <v>0</v>
      </c>
      <c r="EC227" s="507">
        <v>111.62500000000001</v>
      </c>
      <c r="ED227" s="507">
        <v>102.18750000000001</v>
      </c>
      <c r="EE227" s="507">
        <v>0</v>
      </c>
      <c r="EF227" s="507">
        <v>25.062499999999996</v>
      </c>
      <c r="EG227" s="507">
        <v>29.3125</v>
      </c>
      <c r="EH227" s="507">
        <v>12.8125</v>
      </c>
      <c r="EI227" s="507">
        <v>16.6875</v>
      </c>
      <c r="EJ227" s="507">
        <v>56.4375</v>
      </c>
      <c r="EK227" s="507">
        <v>10.4375</v>
      </c>
      <c r="EL227" s="507">
        <v>10.4375</v>
      </c>
      <c r="EM227" s="508">
        <v>375</v>
      </c>
    </row>
    <row r="228" spans="2:143" x14ac:dyDescent="0.25">
      <c r="B228" s="506" t="str">
        <f>[1]RONET_Input!J199</f>
        <v>214tt00030</v>
      </c>
      <c r="C228" s="359">
        <f>[1]RONET_Input!B199</f>
        <v>197</v>
      </c>
      <c r="D228" s="397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442">
        <f>[1]RONET_Input!K199</f>
        <v>0.42283780254199999</v>
      </c>
      <c r="Q228" s="398">
        <f>[1]RONET_Input!Y199</f>
        <v>1</v>
      </c>
      <c r="R228" s="398">
        <f>[1]RONET_Input!X199</f>
        <v>3.4</v>
      </c>
      <c r="S228" s="398"/>
      <c r="T228" s="398"/>
      <c r="U228" s="398">
        <f>[1]RONET_Input!AA199</f>
        <v>8</v>
      </c>
      <c r="V228" s="398">
        <f>[1]RONET_Input!AC199</f>
        <v>1</v>
      </c>
      <c r="W228" s="398">
        <f>[1]RONET_Input!AD199</f>
        <v>1</v>
      </c>
      <c r="X228" s="398">
        <f>[1]RONET_Input!AE199</f>
        <v>4</v>
      </c>
      <c r="Y228" s="398">
        <f>[1]RONET_Input!AB199</f>
        <v>1</v>
      </c>
      <c r="Z228" s="438">
        <f>[1]RONET_Input!Z199</f>
        <v>1</v>
      </c>
      <c r="AA228" s="442"/>
      <c r="AB228" s="398"/>
      <c r="AC228" s="438"/>
      <c r="AD228" s="442">
        <f>[1]RONET_Input!AH199</f>
        <v>5</v>
      </c>
      <c r="AE228" s="398">
        <f>[1]RONET_Input!D199</f>
        <v>12.895</v>
      </c>
      <c r="AF228" s="398"/>
      <c r="AG228" s="398"/>
      <c r="AH228" s="398"/>
      <c r="AI228" s="438"/>
      <c r="AJ228" s="442">
        <v>1</v>
      </c>
      <c r="AK228" s="442">
        <f>[1]RONET_Input!AF199</f>
        <v>4</v>
      </c>
      <c r="AL228" s="507"/>
      <c r="AM228" s="507"/>
      <c r="AN228" s="507"/>
      <c r="AO228" s="507"/>
      <c r="AP228" s="507"/>
      <c r="AQ228" s="507"/>
      <c r="AR228" s="507"/>
      <c r="AS228" s="507"/>
      <c r="AT228" s="507"/>
      <c r="AU228" s="507"/>
      <c r="AV228" s="507"/>
      <c r="AW228" s="507"/>
      <c r="AX228" s="508"/>
      <c r="AY228" s="509">
        <f>[1]RONET_Input!AG199</f>
        <v>3</v>
      </c>
      <c r="AZ228" s="359" t="s">
        <v>321</v>
      </c>
      <c r="BA228" s="360" t="s">
        <v>502</v>
      </c>
      <c r="BB228" s="360" t="s">
        <v>443</v>
      </c>
      <c r="BC228" s="510">
        <v>2.0558373959592039E-2</v>
      </c>
      <c r="BD228" s="510">
        <v>4.8619999999999997E-2</v>
      </c>
      <c r="BE228" s="438">
        <v>1</v>
      </c>
      <c r="BF228" s="511">
        <v>0.2589736517112336</v>
      </c>
      <c r="BG228" s="512">
        <v>0.61246570234341824</v>
      </c>
      <c r="BH228" s="512">
        <v>12.596990998424891</v>
      </c>
      <c r="BI228" s="513">
        <v>0</v>
      </c>
      <c r="BJ228" s="514">
        <v>375</v>
      </c>
      <c r="BK228" s="515">
        <v>0.22366666666666665</v>
      </c>
      <c r="BL228" s="512">
        <v>5.7875924222936255E-2</v>
      </c>
      <c r="BM228" s="516">
        <v>6.4108143749999999E-2</v>
      </c>
      <c r="BN228" s="517">
        <v>375</v>
      </c>
      <c r="BO228" s="518">
        <v>397.50000000000011</v>
      </c>
      <c r="BP228" s="518">
        <v>421.34999999999991</v>
      </c>
      <c r="BQ228" s="518">
        <v>446.63099999999997</v>
      </c>
      <c r="BR228" s="518">
        <v>473.42885999999999</v>
      </c>
      <c r="BS228" s="518">
        <v>501.83459160000012</v>
      </c>
      <c r="BT228" s="518">
        <v>531.9446670960001</v>
      </c>
      <c r="BU228" s="518">
        <v>563.86134712175999</v>
      </c>
      <c r="BV228" s="518">
        <v>597.69302794906582</v>
      </c>
      <c r="BW228" s="518">
        <v>633.55460962600955</v>
      </c>
      <c r="BX228" s="518">
        <v>671.56788620357008</v>
      </c>
      <c r="BY228" s="518">
        <v>711.86195937578441</v>
      </c>
      <c r="BZ228" s="518">
        <v>754.57367693833146</v>
      </c>
      <c r="CA228" s="518">
        <v>799.84809755463141</v>
      </c>
      <c r="CB228" s="518">
        <v>847.83898340790915</v>
      </c>
      <c r="CC228" s="518">
        <v>898.70932241238381</v>
      </c>
      <c r="CD228" s="518">
        <v>952.63188175712685</v>
      </c>
      <c r="CE228" s="518">
        <v>1009.7897946625544</v>
      </c>
      <c r="CF228" s="518">
        <v>1070.3771823423076</v>
      </c>
      <c r="CG228" s="519">
        <v>1134.5998132828461</v>
      </c>
      <c r="CH228" s="520">
        <v>2.5</v>
      </c>
      <c r="CI228" s="521">
        <v>2.5499999999999998</v>
      </c>
      <c r="CJ228" s="521">
        <v>2.601</v>
      </c>
      <c r="CK228" s="521">
        <v>2.6530200000000002</v>
      </c>
      <c r="CL228" s="521">
        <v>2.7060804000000003</v>
      </c>
      <c r="CM228" s="521">
        <v>2.7602020080000003</v>
      </c>
      <c r="CN228" s="521">
        <v>2.8154060481600003</v>
      </c>
      <c r="CO228" s="521">
        <v>2.8717141691232002</v>
      </c>
      <c r="CP228" s="521">
        <v>2.5</v>
      </c>
      <c r="CQ228" s="521">
        <v>2.5499999999999998</v>
      </c>
      <c r="CR228" s="521">
        <v>2.601</v>
      </c>
      <c r="CS228" s="521">
        <v>2.6530200000000002</v>
      </c>
      <c r="CT228" s="521">
        <v>2.7060804000000003</v>
      </c>
      <c r="CU228" s="521">
        <v>2.7602020080000003</v>
      </c>
      <c r="CV228" s="521">
        <v>2.8154060481600003</v>
      </c>
      <c r="CW228" s="521">
        <v>2.8717141691232002</v>
      </c>
      <c r="CX228" s="521">
        <v>2.5</v>
      </c>
      <c r="CY228" s="521">
        <v>2.5499999999999998</v>
      </c>
      <c r="CZ228" s="521">
        <v>2.601</v>
      </c>
      <c r="DA228" s="522">
        <v>2.6530200000000002</v>
      </c>
      <c r="DB228" s="523">
        <v>-8.8370986892894743E-3</v>
      </c>
      <c r="DC228" s="524">
        <v>1.0868087891506072E-2</v>
      </c>
      <c r="DD228" s="524">
        <v>1.1964575704882106E-2</v>
      </c>
      <c r="DE228" s="524">
        <v>1.3169983851024393E-2</v>
      </c>
      <c r="DF228" s="524">
        <v>1.4494574094133225E-2</v>
      </c>
      <c r="DG228" s="524">
        <v>1.5949383134904745E-2</v>
      </c>
      <c r="DH228" s="524">
        <v>1.7546216380925315E-2</v>
      </c>
      <c r="DI228" s="524">
        <v>1.9297616881460596E-2</v>
      </c>
      <c r="DJ228" s="524">
        <v>2.7413382278397153E-3</v>
      </c>
      <c r="DK228" s="524">
        <v>0.28985473459858663</v>
      </c>
      <c r="DL228" s="524">
        <v>1.3968990044739282E-3</v>
      </c>
      <c r="DM228" s="524">
        <v>1.4090200045071555E-3</v>
      </c>
      <c r="DN228" s="524">
        <v>1.419435474450656E-3</v>
      </c>
      <c r="DO228" s="524">
        <v>1.4278107373499188E-3</v>
      </c>
      <c r="DP228" s="524">
        <v>1.4337688264645723E-3</v>
      </c>
      <c r="DQ228" s="524">
        <v>1.4368858243145183E-3</v>
      </c>
      <c r="DR228" s="524">
        <v>-1.6900614562765107E-2</v>
      </c>
      <c r="DS228" s="524">
        <v>4.0535657525739607E-2</v>
      </c>
      <c r="DT228" s="524">
        <v>2.0759098450500169E-3</v>
      </c>
      <c r="DU228" s="525">
        <v>2.1348499799988402E-3</v>
      </c>
      <c r="DV228" s="526">
        <v>3.4</v>
      </c>
      <c r="DW228" s="507">
        <v>1</v>
      </c>
      <c r="DX228" s="509">
        <v>12.895</v>
      </c>
      <c r="DY228" s="507">
        <v>2</v>
      </c>
      <c r="DZ228" s="507">
        <v>20</v>
      </c>
      <c r="EA228" s="507">
        <v>0</v>
      </c>
      <c r="EB228" s="507">
        <v>0</v>
      </c>
      <c r="EC228" s="507">
        <v>111.62500000000001</v>
      </c>
      <c r="ED228" s="507">
        <v>102.18750000000001</v>
      </c>
      <c r="EE228" s="507">
        <v>0</v>
      </c>
      <c r="EF228" s="507">
        <v>25.062499999999996</v>
      </c>
      <c r="EG228" s="507">
        <v>29.3125</v>
      </c>
      <c r="EH228" s="507">
        <v>12.8125</v>
      </c>
      <c r="EI228" s="507">
        <v>16.6875</v>
      </c>
      <c r="EJ228" s="507">
        <v>56.4375</v>
      </c>
      <c r="EK228" s="507">
        <v>10.4375</v>
      </c>
      <c r="EL228" s="507">
        <v>10.4375</v>
      </c>
      <c r="EM228" s="508">
        <v>375</v>
      </c>
    </row>
    <row r="229" spans="2:143" x14ac:dyDescent="0.25">
      <c r="B229" s="506" t="str">
        <f>[1]RONET_Input!J200</f>
        <v xml:space="preserve">Input VPROMMS: 214tt00032 (71.31 pct); 214tt00098 (27.46 pct); 214tt00099 (1.23 pct); </v>
      </c>
      <c r="C229" s="359">
        <f>[1]RONET_Input!B200</f>
        <v>198</v>
      </c>
      <c r="D229" s="397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442">
        <f>[1]RONET_Input!K200</f>
        <v>5.3546267547099999</v>
      </c>
      <c r="Q229" s="398">
        <f>[1]RONET_Input!Y200</f>
        <v>2</v>
      </c>
      <c r="R229" s="398">
        <f>[1]RONET_Input!X200</f>
        <v>3.5</v>
      </c>
      <c r="S229" s="398"/>
      <c r="T229" s="398"/>
      <c r="U229" s="398">
        <f>[1]RONET_Input!AA200</f>
        <v>8</v>
      </c>
      <c r="V229" s="398">
        <f>[1]RONET_Input!AC200</f>
        <v>1</v>
      </c>
      <c r="W229" s="398">
        <f>[1]RONET_Input!AD200</f>
        <v>1</v>
      </c>
      <c r="X229" s="398">
        <f>[1]RONET_Input!AE200</f>
        <v>4</v>
      </c>
      <c r="Y229" s="398">
        <f>[1]RONET_Input!AB200</f>
        <v>1</v>
      </c>
      <c r="Z229" s="438">
        <f>[1]RONET_Input!Z200</f>
        <v>1</v>
      </c>
      <c r="AA229" s="442"/>
      <c r="AB229" s="398"/>
      <c r="AC229" s="438"/>
      <c r="AD229" s="442">
        <f>[1]RONET_Input!AH200</f>
        <v>2</v>
      </c>
      <c r="AE229" s="398">
        <f>[1]RONET_Input!D200</f>
        <v>5.66</v>
      </c>
      <c r="AF229" s="398"/>
      <c r="AG229" s="398"/>
      <c r="AH229" s="398"/>
      <c r="AI229" s="438"/>
      <c r="AJ229" s="442">
        <v>1</v>
      </c>
      <c r="AK229" s="442">
        <f>[1]RONET_Input!AF200</f>
        <v>4</v>
      </c>
      <c r="AL229" s="507"/>
      <c r="AM229" s="507"/>
      <c r="AN229" s="507"/>
      <c r="AO229" s="507"/>
      <c r="AP229" s="507"/>
      <c r="AQ229" s="507"/>
      <c r="AR229" s="507"/>
      <c r="AS229" s="507"/>
      <c r="AT229" s="507"/>
      <c r="AU229" s="507"/>
      <c r="AV229" s="507"/>
      <c r="AW229" s="507"/>
      <c r="AX229" s="508"/>
      <c r="AY229" s="509">
        <f>[1]RONET_Input!AG200</f>
        <v>3</v>
      </c>
      <c r="AZ229" s="359" t="s">
        <v>321</v>
      </c>
      <c r="BA229" s="360" t="s">
        <v>502</v>
      </c>
      <c r="BB229" s="360" t="s">
        <v>443</v>
      </c>
      <c r="BC229" s="510">
        <v>0.26799906907323556</v>
      </c>
      <c r="BD229" s="510">
        <v>5.0050000000000011E-2</v>
      </c>
      <c r="BE229" s="438">
        <v>5</v>
      </c>
      <c r="BF229" s="511">
        <v>2.1680427706109233</v>
      </c>
      <c r="BG229" s="512">
        <v>0.40489148355744581</v>
      </c>
      <c r="BH229" s="512">
        <v>8.0897399312176965</v>
      </c>
      <c r="BI229" s="513">
        <v>0</v>
      </c>
      <c r="BJ229" s="514">
        <v>375</v>
      </c>
      <c r="BK229" s="515">
        <v>0.22366666666666665</v>
      </c>
      <c r="BL229" s="512">
        <v>0.73291453705093124</v>
      </c>
      <c r="BM229" s="516">
        <v>3.2054071874999999E-2</v>
      </c>
      <c r="BN229" s="517">
        <v>375</v>
      </c>
      <c r="BO229" s="518">
        <v>397.50000000000011</v>
      </c>
      <c r="BP229" s="518">
        <v>421.34999999999991</v>
      </c>
      <c r="BQ229" s="518">
        <v>446.63099999999997</v>
      </c>
      <c r="BR229" s="518">
        <v>473.42885999999999</v>
      </c>
      <c r="BS229" s="518">
        <v>501.83459160000012</v>
      </c>
      <c r="BT229" s="518">
        <v>531.9446670960001</v>
      </c>
      <c r="BU229" s="518">
        <v>563.86134712175999</v>
      </c>
      <c r="BV229" s="518">
        <v>597.69302794906582</v>
      </c>
      <c r="BW229" s="518">
        <v>633.55460962600955</v>
      </c>
      <c r="BX229" s="518">
        <v>671.56788620357008</v>
      </c>
      <c r="BY229" s="518">
        <v>711.86195937578441</v>
      </c>
      <c r="BZ229" s="518">
        <v>754.57367693833146</v>
      </c>
      <c r="CA229" s="518">
        <v>799.84809755463141</v>
      </c>
      <c r="CB229" s="518">
        <v>847.83898340790915</v>
      </c>
      <c r="CC229" s="518">
        <v>898.70932241238381</v>
      </c>
      <c r="CD229" s="518">
        <v>952.63188175712685</v>
      </c>
      <c r="CE229" s="518">
        <v>1009.7897946625544</v>
      </c>
      <c r="CF229" s="518">
        <v>1070.3771823423076</v>
      </c>
      <c r="CG229" s="519">
        <v>1134.5998132828461</v>
      </c>
      <c r="CH229" s="520">
        <v>5.66</v>
      </c>
      <c r="CI229" s="521">
        <v>5.7732000000000001</v>
      </c>
      <c r="CJ229" s="521">
        <v>5.8886640000000003</v>
      </c>
      <c r="CK229" s="521">
        <v>6.0064372800000001</v>
      </c>
      <c r="CL229" s="521">
        <v>2.5</v>
      </c>
      <c r="CM229" s="521">
        <v>2.5499999999999998</v>
      </c>
      <c r="CN229" s="521">
        <v>2.601</v>
      </c>
      <c r="CO229" s="521">
        <v>2.6530200000000002</v>
      </c>
      <c r="CP229" s="521">
        <v>2.7060804000000003</v>
      </c>
      <c r="CQ229" s="521">
        <v>2.7602020080000003</v>
      </c>
      <c r="CR229" s="521">
        <v>2.8154060481600003</v>
      </c>
      <c r="CS229" s="521">
        <v>2.8717141691232002</v>
      </c>
      <c r="CT229" s="521">
        <v>2.5</v>
      </c>
      <c r="CU229" s="521">
        <v>2.5499999999999998</v>
      </c>
      <c r="CV229" s="521">
        <v>2.601</v>
      </c>
      <c r="CW229" s="521">
        <v>2.6530200000000002</v>
      </c>
      <c r="CX229" s="521">
        <v>2.7060804000000003</v>
      </c>
      <c r="CY229" s="521">
        <v>2.7602020080000003</v>
      </c>
      <c r="CZ229" s="521">
        <v>2.8154060481600003</v>
      </c>
      <c r="DA229" s="522">
        <v>2.8717141691232002</v>
      </c>
      <c r="DB229" s="523">
        <v>0</v>
      </c>
      <c r="DC229" s="524">
        <v>0</v>
      </c>
      <c r="DD229" s="524">
        <v>0</v>
      </c>
      <c r="DE229" s="524">
        <v>0</v>
      </c>
      <c r="DF229" s="524">
        <v>-0.21505102862997477</v>
      </c>
      <c r="DG229" s="524">
        <v>3.1892913239525533E-2</v>
      </c>
      <c r="DH229" s="524">
        <v>3.5278269684585806E-2</v>
      </c>
      <c r="DI229" s="524">
        <v>3.9017337831988907E-2</v>
      </c>
      <c r="DJ229" s="524">
        <v>4.3146663224566173E-2</v>
      </c>
      <c r="DK229" s="524">
        <v>3.6542081460380973</v>
      </c>
      <c r="DL229" s="524">
        <v>9.2143480987250115E-4</v>
      </c>
      <c r="DM229" s="524">
        <v>6.6372326552011085E-4</v>
      </c>
      <c r="DN229" s="524">
        <v>-0.24049671420640339</v>
      </c>
      <c r="DO229" s="524">
        <v>3.3628930769203924E-3</v>
      </c>
      <c r="DP229" s="524">
        <v>3.3199141133996024E-3</v>
      </c>
      <c r="DQ229" s="524">
        <v>3.2498763230991434E-3</v>
      </c>
      <c r="DR229" s="524">
        <v>3.1487162346522934E-3</v>
      </c>
      <c r="DS229" s="524">
        <v>0.49300345610826246</v>
      </c>
      <c r="DT229" s="524">
        <v>5.3496199478583195E-3</v>
      </c>
      <c r="DU229" s="525">
        <v>5.4406106259070608E-3</v>
      </c>
      <c r="DV229" s="526">
        <v>3.5</v>
      </c>
      <c r="DW229" s="507">
        <v>1</v>
      </c>
      <c r="DX229" s="509">
        <v>5.66</v>
      </c>
      <c r="DY229" s="507">
        <v>2</v>
      </c>
      <c r="DZ229" s="507">
        <v>5</v>
      </c>
      <c r="EA229" s="507">
        <v>0</v>
      </c>
      <c r="EB229" s="507">
        <v>0</v>
      </c>
      <c r="EC229" s="507">
        <v>111.62500000000001</v>
      </c>
      <c r="ED229" s="507">
        <v>102.18750000000001</v>
      </c>
      <c r="EE229" s="507">
        <v>0</v>
      </c>
      <c r="EF229" s="507">
        <v>25.062499999999996</v>
      </c>
      <c r="EG229" s="507">
        <v>29.3125</v>
      </c>
      <c r="EH229" s="507">
        <v>12.8125</v>
      </c>
      <c r="EI229" s="507">
        <v>16.6875</v>
      </c>
      <c r="EJ229" s="507">
        <v>56.4375</v>
      </c>
      <c r="EK229" s="507">
        <v>10.4375</v>
      </c>
      <c r="EL229" s="507">
        <v>10.4375</v>
      </c>
      <c r="EM229" s="508">
        <v>375</v>
      </c>
    </row>
    <row r="230" spans="2:143" x14ac:dyDescent="0.25">
      <c r="B230" s="506" t="str">
        <f>[1]RONET_Input!J201</f>
        <v xml:space="preserve">Input VPROMMS: QL45_2 (49.64 pct); ql45_1 (49.64 pct); 214tt00099 (0.73 pct); </v>
      </c>
      <c r="C230" s="359">
        <f>[1]RONET_Input!B201</f>
        <v>199</v>
      </c>
      <c r="D230" s="397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442">
        <f>[1]RONET_Input!K201</f>
        <v>4.3803431742700001</v>
      </c>
      <c r="Q230" s="398">
        <f>[1]RONET_Input!Y201</f>
        <v>2</v>
      </c>
      <c r="R230" s="398">
        <f>[1]RONET_Input!X201</f>
        <v>3.5</v>
      </c>
      <c r="S230" s="398"/>
      <c r="T230" s="398"/>
      <c r="U230" s="398">
        <f>[1]RONET_Input!AA201</f>
        <v>8</v>
      </c>
      <c r="V230" s="398">
        <f>[1]RONET_Input!AC201</f>
        <v>1</v>
      </c>
      <c r="W230" s="398">
        <f>[1]RONET_Input!AD201</f>
        <v>1</v>
      </c>
      <c r="X230" s="398">
        <f>[1]RONET_Input!AE201</f>
        <v>4</v>
      </c>
      <c r="Y230" s="398">
        <f>[1]RONET_Input!AB201</f>
        <v>1</v>
      </c>
      <c r="Z230" s="438">
        <f>[1]RONET_Input!Z201</f>
        <v>1</v>
      </c>
      <c r="AA230" s="442"/>
      <c r="AB230" s="398"/>
      <c r="AC230" s="438"/>
      <c r="AD230" s="442">
        <f>[1]RONET_Input!AH201</f>
        <v>5</v>
      </c>
      <c r="AE230" s="398">
        <f>[1]RONET_Input!D201</f>
        <v>12.8</v>
      </c>
      <c r="AF230" s="398"/>
      <c r="AG230" s="398"/>
      <c r="AH230" s="398"/>
      <c r="AI230" s="438"/>
      <c r="AJ230" s="442">
        <v>1</v>
      </c>
      <c r="AK230" s="442">
        <f>[1]RONET_Input!AF201</f>
        <v>4</v>
      </c>
      <c r="AL230" s="507"/>
      <c r="AM230" s="507"/>
      <c r="AN230" s="507"/>
      <c r="AO230" s="507"/>
      <c r="AP230" s="507"/>
      <c r="AQ230" s="507"/>
      <c r="AR230" s="507"/>
      <c r="AS230" s="507"/>
      <c r="AT230" s="507"/>
      <c r="AU230" s="507"/>
      <c r="AV230" s="507"/>
      <c r="AW230" s="507"/>
      <c r="AX230" s="508"/>
      <c r="AY230" s="509">
        <f>[1]RONET_Input!AG201</f>
        <v>3</v>
      </c>
      <c r="AZ230" s="359" t="s">
        <v>321</v>
      </c>
      <c r="BA230" s="360" t="s">
        <v>502</v>
      </c>
      <c r="BB230" s="360" t="s">
        <v>443</v>
      </c>
      <c r="BC230" s="510">
        <v>0.21923617587221353</v>
      </c>
      <c r="BD230" s="510">
        <v>5.0050000000000004E-2</v>
      </c>
      <c r="BE230" s="438">
        <v>1</v>
      </c>
      <c r="BF230" s="511">
        <v>2.5648580751427232</v>
      </c>
      <c r="BG230" s="512">
        <v>0.58553815833622813</v>
      </c>
      <c r="BH230" s="512">
        <v>11.699064102621939</v>
      </c>
      <c r="BI230" s="513">
        <v>0</v>
      </c>
      <c r="BJ230" s="514">
        <v>375</v>
      </c>
      <c r="BK230" s="515">
        <v>0.22366666666666665</v>
      </c>
      <c r="BL230" s="512">
        <v>0.59955947197820636</v>
      </c>
      <c r="BM230" s="516">
        <v>3.2054071874999999E-2</v>
      </c>
      <c r="BN230" s="517">
        <v>375</v>
      </c>
      <c r="BO230" s="518">
        <v>397.50000000000011</v>
      </c>
      <c r="BP230" s="518">
        <v>421.34999999999991</v>
      </c>
      <c r="BQ230" s="518">
        <v>446.63099999999997</v>
      </c>
      <c r="BR230" s="518">
        <v>473.42885999999999</v>
      </c>
      <c r="BS230" s="518">
        <v>501.83459160000012</v>
      </c>
      <c r="BT230" s="518">
        <v>531.9446670960001</v>
      </c>
      <c r="BU230" s="518">
        <v>563.86134712175999</v>
      </c>
      <c r="BV230" s="518">
        <v>597.69302794906582</v>
      </c>
      <c r="BW230" s="518">
        <v>633.55460962600955</v>
      </c>
      <c r="BX230" s="518">
        <v>671.56788620357008</v>
      </c>
      <c r="BY230" s="518">
        <v>711.86195937578441</v>
      </c>
      <c r="BZ230" s="518">
        <v>754.57367693833146</v>
      </c>
      <c r="CA230" s="518">
        <v>799.84809755463141</v>
      </c>
      <c r="CB230" s="518">
        <v>847.83898340790915</v>
      </c>
      <c r="CC230" s="518">
        <v>898.70932241238381</v>
      </c>
      <c r="CD230" s="518">
        <v>952.63188175712685</v>
      </c>
      <c r="CE230" s="518">
        <v>1009.7897946625544</v>
      </c>
      <c r="CF230" s="518">
        <v>1070.3771823423076</v>
      </c>
      <c r="CG230" s="519">
        <v>1134.5998132828461</v>
      </c>
      <c r="CH230" s="520">
        <v>2.5</v>
      </c>
      <c r="CI230" s="521">
        <v>2.5499999999999998</v>
      </c>
      <c r="CJ230" s="521">
        <v>2.601</v>
      </c>
      <c r="CK230" s="521">
        <v>2.6530200000000002</v>
      </c>
      <c r="CL230" s="521">
        <v>2.7060804000000003</v>
      </c>
      <c r="CM230" s="521">
        <v>2.7602020080000003</v>
      </c>
      <c r="CN230" s="521">
        <v>2.8154060481600003</v>
      </c>
      <c r="CO230" s="521">
        <v>2.8717141691232002</v>
      </c>
      <c r="CP230" s="521">
        <v>2.5</v>
      </c>
      <c r="CQ230" s="521">
        <v>2.5499999999999998</v>
      </c>
      <c r="CR230" s="521">
        <v>2.601</v>
      </c>
      <c r="CS230" s="521">
        <v>2.6530200000000002</v>
      </c>
      <c r="CT230" s="521">
        <v>2.7060804000000003</v>
      </c>
      <c r="CU230" s="521">
        <v>2.7602020080000003</v>
      </c>
      <c r="CV230" s="521">
        <v>2.8154060481600003</v>
      </c>
      <c r="CW230" s="521">
        <v>2.8717141691232002</v>
      </c>
      <c r="CX230" s="521">
        <v>2.5</v>
      </c>
      <c r="CY230" s="521">
        <v>2.5499999999999998</v>
      </c>
      <c r="CZ230" s="521">
        <v>2.601</v>
      </c>
      <c r="DA230" s="522">
        <v>2.6530200000000002</v>
      </c>
      <c r="DB230" s="523">
        <v>-0.10169124338498514</v>
      </c>
      <c r="DC230" s="524">
        <v>0.10790348905842578</v>
      </c>
      <c r="DD230" s="524">
        <v>0.11901706958241814</v>
      </c>
      <c r="DE230" s="524">
        <v>0.13125347910153523</v>
      </c>
      <c r="DF230" s="524">
        <v>0.14471972028213653</v>
      </c>
      <c r="DG230" s="524">
        <v>0.15953080877427672</v>
      </c>
      <c r="DH230" s="524">
        <v>0.1758096285979121</v>
      </c>
      <c r="DI230" s="524">
        <v>0.19368649466717647</v>
      </c>
      <c r="DJ230" s="524">
        <v>1.5752764659353158E-2</v>
      </c>
      <c r="DK230" s="524">
        <v>2.9903041569456321</v>
      </c>
      <c r="DL230" s="524">
        <v>1.850176494314959E-3</v>
      </c>
      <c r="DM230" s="524">
        <v>1.762338647627204E-3</v>
      </c>
      <c r="DN230" s="524">
        <v>1.6490814150506017E-3</v>
      </c>
      <c r="DO230" s="524">
        <v>1.5068498632456739E-3</v>
      </c>
      <c r="DP230" s="524">
        <v>1.3316723686822574E-3</v>
      </c>
      <c r="DQ230" s="524">
        <v>1.1191153290902589E-3</v>
      </c>
      <c r="DR230" s="524">
        <v>-0.19551777410548432</v>
      </c>
      <c r="DS230" s="524">
        <v>0.40487134840403449</v>
      </c>
      <c r="DT230" s="524">
        <v>6.123739745387935E-3</v>
      </c>
      <c r="DU230" s="525">
        <v>6.3941901522406308E-3</v>
      </c>
      <c r="DV230" s="526">
        <v>3.5</v>
      </c>
      <c r="DW230" s="507">
        <v>1</v>
      </c>
      <c r="DX230" s="509">
        <v>12.8</v>
      </c>
      <c r="DY230" s="507">
        <v>2</v>
      </c>
      <c r="DZ230" s="507">
        <v>20</v>
      </c>
      <c r="EA230" s="507">
        <v>0</v>
      </c>
      <c r="EB230" s="507">
        <v>0</v>
      </c>
      <c r="EC230" s="507">
        <v>111.62500000000001</v>
      </c>
      <c r="ED230" s="507">
        <v>102.18750000000001</v>
      </c>
      <c r="EE230" s="507">
        <v>0</v>
      </c>
      <c r="EF230" s="507">
        <v>25.062499999999996</v>
      </c>
      <c r="EG230" s="507">
        <v>29.3125</v>
      </c>
      <c r="EH230" s="507">
        <v>12.8125</v>
      </c>
      <c r="EI230" s="507">
        <v>16.6875</v>
      </c>
      <c r="EJ230" s="507">
        <v>56.4375</v>
      </c>
      <c r="EK230" s="507">
        <v>10.4375</v>
      </c>
      <c r="EL230" s="507">
        <v>10.4375</v>
      </c>
      <c r="EM230" s="508">
        <v>375</v>
      </c>
    </row>
    <row r="231" spans="2:143" x14ac:dyDescent="0.25">
      <c r="B231" s="506" t="str">
        <f>[1]RONET_Input!J202</f>
        <v>214tt00030</v>
      </c>
      <c r="C231" s="359">
        <f>[1]RONET_Input!B202</f>
        <v>200</v>
      </c>
      <c r="D231" s="397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442">
        <f>[1]RONET_Input!K202</f>
        <v>2.3360420839499998</v>
      </c>
      <c r="Q231" s="398">
        <f>[1]RONET_Input!Y202</f>
        <v>1</v>
      </c>
      <c r="R231" s="398">
        <f>[1]RONET_Input!X202</f>
        <v>3.4</v>
      </c>
      <c r="S231" s="398"/>
      <c r="T231" s="398"/>
      <c r="U231" s="398">
        <f>[1]RONET_Input!AA202</f>
        <v>8</v>
      </c>
      <c r="V231" s="398">
        <f>[1]RONET_Input!AC202</f>
        <v>1</v>
      </c>
      <c r="W231" s="398">
        <f>[1]RONET_Input!AD202</f>
        <v>1</v>
      </c>
      <c r="X231" s="398">
        <f>[1]RONET_Input!AE202</f>
        <v>4</v>
      </c>
      <c r="Y231" s="398">
        <f>[1]RONET_Input!AB202</f>
        <v>1</v>
      </c>
      <c r="Z231" s="438">
        <f>[1]RONET_Input!Z202</f>
        <v>1</v>
      </c>
      <c r="AA231" s="442"/>
      <c r="AB231" s="398"/>
      <c r="AC231" s="438"/>
      <c r="AD231" s="442">
        <f>[1]RONET_Input!AH202</f>
        <v>4</v>
      </c>
      <c r="AE231" s="398">
        <f>[1]RONET_Input!D202</f>
        <v>11.51</v>
      </c>
      <c r="AF231" s="398"/>
      <c r="AG231" s="398"/>
      <c r="AH231" s="398"/>
      <c r="AI231" s="438"/>
      <c r="AJ231" s="442">
        <v>1</v>
      </c>
      <c r="AK231" s="442">
        <f>[1]RONET_Input!AF202</f>
        <v>4</v>
      </c>
      <c r="AL231" s="507"/>
      <c r="AM231" s="507"/>
      <c r="AN231" s="507"/>
      <c r="AO231" s="507"/>
      <c r="AP231" s="507"/>
      <c r="AQ231" s="507"/>
      <c r="AR231" s="507"/>
      <c r="AS231" s="507"/>
      <c r="AT231" s="507"/>
      <c r="AU231" s="507"/>
      <c r="AV231" s="507"/>
      <c r="AW231" s="507"/>
      <c r="AX231" s="508"/>
      <c r="AY231" s="509">
        <f>[1]RONET_Input!AG202</f>
        <v>3</v>
      </c>
      <c r="AZ231" s="359" t="s">
        <v>321</v>
      </c>
      <c r="BA231" s="360" t="s">
        <v>502</v>
      </c>
      <c r="BB231" s="360" t="s">
        <v>443</v>
      </c>
      <c r="BC231" s="510">
        <v>0.113578366121649</v>
      </c>
      <c r="BD231" s="510">
        <v>4.8620000000000003E-2</v>
      </c>
      <c r="BE231" s="438">
        <v>1</v>
      </c>
      <c r="BF231" s="511">
        <v>1.3144650639642768</v>
      </c>
      <c r="BG231" s="512">
        <v>0.56268894854053975</v>
      </c>
      <c r="BH231" s="512">
        <v>11.573199270681608</v>
      </c>
      <c r="BI231" s="513">
        <v>0</v>
      </c>
      <c r="BJ231" s="514">
        <v>375</v>
      </c>
      <c r="BK231" s="515">
        <v>0.22366666666666665</v>
      </c>
      <c r="BL231" s="512">
        <v>0.31974576024065626</v>
      </c>
      <c r="BM231" s="516">
        <v>6.4108143749999999E-2</v>
      </c>
      <c r="BN231" s="517">
        <v>375</v>
      </c>
      <c r="BO231" s="518">
        <v>397.50000000000011</v>
      </c>
      <c r="BP231" s="518">
        <v>421.34999999999991</v>
      </c>
      <c r="BQ231" s="518">
        <v>446.63099999999997</v>
      </c>
      <c r="BR231" s="518">
        <v>473.42885999999999</v>
      </c>
      <c r="BS231" s="518">
        <v>501.83459160000012</v>
      </c>
      <c r="BT231" s="518">
        <v>531.9446670960001</v>
      </c>
      <c r="BU231" s="518">
        <v>563.86134712175999</v>
      </c>
      <c r="BV231" s="518">
        <v>597.69302794906582</v>
      </c>
      <c r="BW231" s="518">
        <v>633.55460962600955</v>
      </c>
      <c r="BX231" s="518">
        <v>671.56788620357008</v>
      </c>
      <c r="BY231" s="518">
        <v>711.86195937578441</v>
      </c>
      <c r="BZ231" s="518">
        <v>754.57367693833146</v>
      </c>
      <c r="CA231" s="518">
        <v>799.84809755463141</v>
      </c>
      <c r="CB231" s="518">
        <v>847.83898340790915</v>
      </c>
      <c r="CC231" s="518">
        <v>898.70932241238381</v>
      </c>
      <c r="CD231" s="518">
        <v>952.63188175712685</v>
      </c>
      <c r="CE231" s="518">
        <v>1009.7897946625544</v>
      </c>
      <c r="CF231" s="518">
        <v>1070.3771823423076</v>
      </c>
      <c r="CG231" s="519">
        <v>1134.5998132828461</v>
      </c>
      <c r="CH231" s="520">
        <v>2.5</v>
      </c>
      <c r="CI231" s="521">
        <v>2.5499999999999998</v>
      </c>
      <c r="CJ231" s="521">
        <v>2.601</v>
      </c>
      <c r="CK231" s="521">
        <v>2.6530200000000002</v>
      </c>
      <c r="CL231" s="521">
        <v>2.7060804000000003</v>
      </c>
      <c r="CM231" s="521">
        <v>2.7602020080000003</v>
      </c>
      <c r="CN231" s="521">
        <v>2.8154060481600003</v>
      </c>
      <c r="CO231" s="521">
        <v>2.8717141691232002</v>
      </c>
      <c r="CP231" s="521">
        <v>2.5</v>
      </c>
      <c r="CQ231" s="521">
        <v>2.5499999999999998</v>
      </c>
      <c r="CR231" s="521">
        <v>2.601</v>
      </c>
      <c r="CS231" s="521">
        <v>2.6530200000000002</v>
      </c>
      <c r="CT231" s="521">
        <v>2.7060804000000003</v>
      </c>
      <c r="CU231" s="521">
        <v>2.7602020080000003</v>
      </c>
      <c r="CV231" s="521">
        <v>2.8154060481600003</v>
      </c>
      <c r="CW231" s="521">
        <v>2.8717141691232002</v>
      </c>
      <c r="CX231" s="521">
        <v>2.5</v>
      </c>
      <c r="CY231" s="521">
        <v>2.5499999999999998</v>
      </c>
      <c r="CZ231" s="521">
        <v>2.601</v>
      </c>
      <c r="DA231" s="522">
        <v>2.6530200000000002</v>
      </c>
      <c r="DB231" s="523">
        <v>-5.9987404692349394E-2</v>
      </c>
      <c r="DC231" s="524">
        <v>4.7765300344770806E-2</v>
      </c>
      <c r="DD231" s="524">
        <v>5.2604912045262547E-2</v>
      </c>
      <c r="DE231" s="524">
        <v>5.7931875373845532E-2</v>
      </c>
      <c r="DF231" s="524">
        <v>6.3794516016894176E-2</v>
      </c>
      <c r="DG231" s="524">
        <v>7.0245678371013004E-2</v>
      </c>
      <c r="DH231" s="524">
        <v>7.7343049022657151E-2</v>
      </c>
      <c r="DI231" s="524">
        <v>8.5149467893158498E-2</v>
      </c>
      <c r="DJ231" s="524">
        <v>-8.3377462559402482E-3</v>
      </c>
      <c r="DK231" s="524">
        <v>1.6013536495171801</v>
      </c>
      <c r="DL231" s="524">
        <v>7.7174151456215201E-3</v>
      </c>
      <c r="DM231" s="524">
        <v>7.7843797500323775E-3</v>
      </c>
      <c r="DN231" s="524">
        <v>7.8419218523843037E-3</v>
      </c>
      <c r="DO231" s="524">
        <v>7.8881924707613904E-3</v>
      </c>
      <c r="DP231" s="524">
        <v>7.9211089858602923E-3</v>
      </c>
      <c r="DQ231" s="524">
        <v>7.9383293907276942E-3</v>
      </c>
      <c r="DR231" s="524">
        <v>-9.3370428627454372E-2</v>
      </c>
      <c r="DS231" s="524">
        <v>0.22394639578448405</v>
      </c>
      <c r="DT231" s="524">
        <v>1.1468730400568394E-2</v>
      </c>
      <c r="DU231" s="525">
        <v>1.1794355580830029E-2</v>
      </c>
      <c r="DV231" s="526">
        <v>3.4</v>
      </c>
      <c r="DW231" s="507">
        <v>1</v>
      </c>
      <c r="DX231" s="509">
        <v>11.51</v>
      </c>
      <c r="DY231" s="507">
        <v>2</v>
      </c>
      <c r="DZ231" s="507">
        <v>15</v>
      </c>
      <c r="EA231" s="507">
        <v>0</v>
      </c>
      <c r="EB231" s="507">
        <v>0</v>
      </c>
      <c r="EC231" s="507">
        <v>111.62500000000001</v>
      </c>
      <c r="ED231" s="507">
        <v>102.18750000000001</v>
      </c>
      <c r="EE231" s="507">
        <v>0</v>
      </c>
      <c r="EF231" s="507">
        <v>25.062499999999996</v>
      </c>
      <c r="EG231" s="507">
        <v>29.3125</v>
      </c>
      <c r="EH231" s="507">
        <v>12.8125</v>
      </c>
      <c r="EI231" s="507">
        <v>16.6875</v>
      </c>
      <c r="EJ231" s="507">
        <v>56.4375</v>
      </c>
      <c r="EK231" s="507">
        <v>10.4375</v>
      </c>
      <c r="EL231" s="507">
        <v>10.4375</v>
      </c>
      <c r="EM231" s="508">
        <v>375</v>
      </c>
    </row>
    <row r="232" spans="2:143" x14ac:dyDescent="0.25">
      <c r="B232" s="506" t="str">
        <f>[1]RONET_Input!J203</f>
        <v>214tt00029</v>
      </c>
      <c r="C232" s="359">
        <f>[1]RONET_Input!B203</f>
        <v>201</v>
      </c>
      <c r="D232" s="397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442">
        <f>[1]RONET_Input!K203</f>
        <v>2.0692651131700002</v>
      </c>
      <c r="Q232" s="398">
        <f>[1]RONET_Input!Y203</f>
        <v>1</v>
      </c>
      <c r="R232" s="398">
        <f>[1]RONET_Input!X203</f>
        <v>3.4</v>
      </c>
      <c r="S232" s="398"/>
      <c r="T232" s="398"/>
      <c r="U232" s="398">
        <f>[1]RONET_Input!AA203</f>
        <v>8</v>
      </c>
      <c r="V232" s="398">
        <f>[1]RONET_Input!AC203</f>
        <v>1</v>
      </c>
      <c r="W232" s="398">
        <f>[1]RONET_Input!AD203</f>
        <v>1</v>
      </c>
      <c r="X232" s="398">
        <f>[1]RONET_Input!AE203</f>
        <v>4</v>
      </c>
      <c r="Y232" s="398">
        <f>[1]RONET_Input!AB203</f>
        <v>1</v>
      </c>
      <c r="Z232" s="438">
        <f>[1]RONET_Input!Z203</f>
        <v>1</v>
      </c>
      <c r="AA232" s="442"/>
      <c r="AB232" s="398"/>
      <c r="AC232" s="438"/>
      <c r="AD232" s="442">
        <f>[1]RONET_Input!AH203</f>
        <v>4</v>
      </c>
      <c r="AE232" s="398">
        <f>[1]RONET_Input!D203</f>
        <v>10.17</v>
      </c>
      <c r="AF232" s="398"/>
      <c r="AG232" s="398"/>
      <c r="AH232" s="398"/>
      <c r="AI232" s="438"/>
      <c r="AJ232" s="442">
        <v>1</v>
      </c>
      <c r="AK232" s="442">
        <f>[1]RONET_Input!AF203</f>
        <v>4</v>
      </c>
      <c r="AL232" s="507"/>
      <c r="AM232" s="507"/>
      <c r="AN232" s="507"/>
      <c r="AO232" s="507"/>
      <c r="AP232" s="507"/>
      <c r="AQ232" s="507"/>
      <c r="AR232" s="507"/>
      <c r="AS232" s="507"/>
      <c r="AT232" s="507"/>
      <c r="AU232" s="507"/>
      <c r="AV232" s="507"/>
      <c r="AW232" s="507"/>
      <c r="AX232" s="508"/>
      <c r="AY232" s="509">
        <f>[1]RONET_Input!AG203</f>
        <v>3</v>
      </c>
      <c r="AZ232" s="359" t="s">
        <v>321</v>
      </c>
      <c r="BA232" s="360" t="s">
        <v>502</v>
      </c>
      <c r="BB232" s="360" t="s">
        <v>443</v>
      </c>
      <c r="BC232" s="510">
        <v>0.10060766980232541</v>
      </c>
      <c r="BD232" s="510">
        <v>4.8620000000000003E-2</v>
      </c>
      <c r="BE232" s="438">
        <v>5</v>
      </c>
      <c r="BF232" s="511">
        <v>1.0145268021059455</v>
      </c>
      <c r="BG232" s="512">
        <v>0.49028362564511913</v>
      </c>
      <c r="BH232" s="512">
        <v>10.083990654979827</v>
      </c>
      <c r="BI232" s="513">
        <v>0</v>
      </c>
      <c r="BJ232" s="514">
        <v>375</v>
      </c>
      <c r="BK232" s="515">
        <v>0.22366666666666665</v>
      </c>
      <c r="BL232" s="512">
        <v>0.28323066236514383</v>
      </c>
      <c r="BM232" s="516">
        <v>6.4108143749999999E-2</v>
      </c>
      <c r="BN232" s="517">
        <v>375</v>
      </c>
      <c r="BO232" s="518">
        <v>397.50000000000011</v>
      </c>
      <c r="BP232" s="518">
        <v>421.34999999999991</v>
      </c>
      <c r="BQ232" s="518">
        <v>446.63099999999997</v>
      </c>
      <c r="BR232" s="518">
        <v>473.42885999999999</v>
      </c>
      <c r="BS232" s="518">
        <v>501.83459160000012</v>
      </c>
      <c r="BT232" s="518">
        <v>531.9446670960001</v>
      </c>
      <c r="BU232" s="518">
        <v>563.86134712175999</v>
      </c>
      <c r="BV232" s="518">
        <v>597.69302794906582</v>
      </c>
      <c r="BW232" s="518">
        <v>633.55460962600955</v>
      </c>
      <c r="BX232" s="518">
        <v>671.56788620357008</v>
      </c>
      <c r="BY232" s="518">
        <v>711.86195937578441</v>
      </c>
      <c r="BZ232" s="518">
        <v>754.57367693833146</v>
      </c>
      <c r="CA232" s="518">
        <v>799.84809755463141</v>
      </c>
      <c r="CB232" s="518">
        <v>847.83898340790915</v>
      </c>
      <c r="CC232" s="518">
        <v>898.70932241238381</v>
      </c>
      <c r="CD232" s="518">
        <v>952.63188175712685</v>
      </c>
      <c r="CE232" s="518">
        <v>1009.7897946625544</v>
      </c>
      <c r="CF232" s="518">
        <v>1070.3771823423076</v>
      </c>
      <c r="CG232" s="519">
        <v>1134.5998132828461</v>
      </c>
      <c r="CH232" s="520">
        <v>10.17</v>
      </c>
      <c r="CI232" s="521">
        <v>10.3734</v>
      </c>
      <c r="CJ232" s="521">
        <v>10.580868000000001</v>
      </c>
      <c r="CK232" s="521">
        <v>10.792485360000001</v>
      </c>
      <c r="CL232" s="521">
        <v>2.5</v>
      </c>
      <c r="CM232" s="521">
        <v>2.5499999999999998</v>
      </c>
      <c r="CN232" s="521">
        <v>2.601</v>
      </c>
      <c r="CO232" s="521">
        <v>2.6530200000000002</v>
      </c>
      <c r="CP232" s="521">
        <v>2.7060804000000003</v>
      </c>
      <c r="CQ232" s="521">
        <v>2.7602020080000003</v>
      </c>
      <c r="CR232" s="521">
        <v>2.8154060481600003</v>
      </c>
      <c r="CS232" s="521">
        <v>2.8717141691232002</v>
      </c>
      <c r="CT232" s="521">
        <v>2.5</v>
      </c>
      <c r="CU232" s="521">
        <v>2.5499999999999998</v>
      </c>
      <c r="CV232" s="521">
        <v>2.601</v>
      </c>
      <c r="CW232" s="521">
        <v>2.6530200000000002</v>
      </c>
      <c r="CX232" s="521">
        <v>2.7060804000000003</v>
      </c>
      <c r="CY232" s="521">
        <v>2.7602020080000003</v>
      </c>
      <c r="CZ232" s="521">
        <v>2.8154060481600003</v>
      </c>
      <c r="DA232" s="522">
        <v>2.8717141691232002</v>
      </c>
      <c r="DB232" s="523">
        <v>0</v>
      </c>
      <c r="DC232" s="524">
        <v>0</v>
      </c>
      <c r="DD232" s="524">
        <v>0</v>
      </c>
      <c r="DE232" s="524">
        <v>0</v>
      </c>
      <c r="DF232" s="524">
        <v>-4.7267310626512515E-2</v>
      </c>
      <c r="DG232" s="524">
        <v>4.8778527698558449E-2</v>
      </c>
      <c r="DH232" s="524">
        <v>5.3725079821710375E-2</v>
      </c>
      <c r="DI232" s="524">
        <v>5.9170788078436121E-2</v>
      </c>
      <c r="DJ232" s="524">
        <v>6.5165546501637445E-2</v>
      </c>
      <c r="DK232" s="524">
        <v>1.4179017862111711</v>
      </c>
      <c r="DL232" s="524">
        <v>6.1985189154291909E-3</v>
      </c>
      <c r="DM232" s="524">
        <v>6.1905455318907454E-3</v>
      </c>
      <c r="DN232" s="524">
        <v>-8.3948332461055819E-2</v>
      </c>
      <c r="DO232" s="524">
        <v>7.7153209957857016E-3</v>
      </c>
      <c r="DP232" s="524">
        <v>7.8214252232233772E-3</v>
      </c>
      <c r="DQ232" s="524">
        <v>7.9216318859843815E-3</v>
      </c>
      <c r="DR232" s="524">
        <v>8.0144342206734942E-3</v>
      </c>
      <c r="DS232" s="524">
        <v>0.19745258792175796</v>
      </c>
      <c r="DT232" s="524">
        <v>9.1428161266536301E-3</v>
      </c>
      <c r="DU232" s="525">
        <v>9.3240037796658015E-3</v>
      </c>
      <c r="DV232" s="526">
        <v>3.4</v>
      </c>
      <c r="DW232" s="507">
        <v>1</v>
      </c>
      <c r="DX232" s="509">
        <v>10.17</v>
      </c>
      <c r="DY232" s="507">
        <v>2</v>
      </c>
      <c r="DZ232" s="507">
        <v>15</v>
      </c>
      <c r="EA232" s="507">
        <v>0</v>
      </c>
      <c r="EB232" s="507">
        <v>0</v>
      </c>
      <c r="EC232" s="507">
        <v>111.62500000000001</v>
      </c>
      <c r="ED232" s="507">
        <v>102.18750000000001</v>
      </c>
      <c r="EE232" s="507">
        <v>0</v>
      </c>
      <c r="EF232" s="507">
        <v>25.062499999999996</v>
      </c>
      <c r="EG232" s="507">
        <v>29.3125</v>
      </c>
      <c r="EH232" s="507">
        <v>12.8125</v>
      </c>
      <c r="EI232" s="507">
        <v>16.6875</v>
      </c>
      <c r="EJ232" s="507">
        <v>56.4375</v>
      </c>
      <c r="EK232" s="507">
        <v>10.4375</v>
      </c>
      <c r="EL232" s="507">
        <v>10.4375</v>
      </c>
      <c r="EM232" s="508">
        <v>375</v>
      </c>
    </row>
    <row r="233" spans="2:143" x14ac:dyDescent="0.25">
      <c r="B233" s="506" t="str">
        <f>[1]RONET_Input!J204</f>
        <v xml:space="preserve">Input VPROMMS: 214tt00046 (52.38 pct); 214tt00047 (47.62 pct); </v>
      </c>
      <c r="C233" s="359">
        <f>[1]RONET_Input!B204</f>
        <v>202</v>
      </c>
      <c r="D233" s="397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442">
        <f>[1]RONET_Input!K204</f>
        <v>0.29069273899199999</v>
      </c>
      <c r="Q233" s="398">
        <f>[1]RONET_Input!Y204</f>
        <v>2</v>
      </c>
      <c r="R233" s="398">
        <f>[1]RONET_Input!X204</f>
        <v>3.5</v>
      </c>
      <c r="S233" s="398"/>
      <c r="T233" s="398"/>
      <c r="U233" s="398">
        <f>[1]RONET_Input!AA204</f>
        <v>8</v>
      </c>
      <c r="V233" s="398">
        <f>[1]RONET_Input!AC204</f>
        <v>1</v>
      </c>
      <c r="W233" s="398">
        <f>[1]RONET_Input!AD204</f>
        <v>1</v>
      </c>
      <c r="X233" s="398">
        <f>[1]RONET_Input!AE204</f>
        <v>4</v>
      </c>
      <c r="Y233" s="398">
        <f>[1]RONET_Input!AB204</f>
        <v>1</v>
      </c>
      <c r="Z233" s="438">
        <f>[1]RONET_Input!Z204</f>
        <v>1</v>
      </c>
      <c r="AA233" s="442"/>
      <c r="AB233" s="398"/>
      <c r="AC233" s="438"/>
      <c r="AD233" s="442">
        <f>[1]RONET_Input!AH204</f>
        <v>4</v>
      </c>
      <c r="AE233" s="398">
        <f>[1]RONET_Input!D204</f>
        <v>9.1349999999999998</v>
      </c>
      <c r="AF233" s="398"/>
      <c r="AG233" s="398"/>
      <c r="AH233" s="398"/>
      <c r="AI233" s="438"/>
      <c r="AJ233" s="442">
        <v>1</v>
      </c>
      <c r="AK233" s="442">
        <f>[1]RONET_Input!AF204</f>
        <v>4</v>
      </c>
      <c r="AL233" s="507"/>
      <c r="AM233" s="507"/>
      <c r="AN233" s="507"/>
      <c r="AO233" s="507"/>
      <c r="AP233" s="507"/>
      <c r="AQ233" s="507"/>
      <c r="AR233" s="507"/>
      <c r="AS233" s="507"/>
      <c r="AT233" s="507"/>
      <c r="AU233" s="507"/>
      <c r="AV233" s="507"/>
      <c r="AW233" s="507"/>
      <c r="AX233" s="508"/>
      <c r="AY233" s="509">
        <f>[1]RONET_Input!AG204</f>
        <v>3</v>
      </c>
      <c r="AZ233" s="359" t="s">
        <v>321</v>
      </c>
      <c r="BA233" s="360" t="s">
        <v>502</v>
      </c>
      <c r="BB233" s="360" t="s">
        <v>443</v>
      </c>
      <c r="BC233" s="510">
        <v>1.45491715865496E-2</v>
      </c>
      <c r="BD233" s="510">
        <v>5.0050000000000004E-2</v>
      </c>
      <c r="BE233" s="438">
        <v>5</v>
      </c>
      <c r="BF233" s="511">
        <v>0.131293994457401</v>
      </c>
      <c r="BG233" s="512">
        <v>0.45165900914028084</v>
      </c>
      <c r="BH233" s="512">
        <v>9.0241560267788383</v>
      </c>
      <c r="BI233" s="513">
        <v>0</v>
      </c>
      <c r="BJ233" s="514">
        <v>375</v>
      </c>
      <c r="BK233" s="515">
        <v>0.22366666666666665</v>
      </c>
      <c r="BL233" s="512">
        <v>3.9788568649530003E-2</v>
      </c>
      <c r="BM233" s="516">
        <v>3.2054071874999999E-2</v>
      </c>
      <c r="BN233" s="517">
        <v>375</v>
      </c>
      <c r="BO233" s="518">
        <v>397.50000000000011</v>
      </c>
      <c r="BP233" s="518">
        <v>421.34999999999991</v>
      </c>
      <c r="BQ233" s="518">
        <v>446.63099999999997</v>
      </c>
      <c r="BR233" s="518">
        <v>473.42885999999999</v>
      </c>
      <c r="BS233" s="518">
        <v>501.83459160000012</v>
      </c>
      <c r="BT233" s="518">
        <v>531.9446670960001</v>
      </c>
      <c r="BU233" s="518">
        <v>563.86134712175999</v>
      </c>
      <c r="BV233" s="518">
        <v>597.69302794906582</v>
      </c>
      <c r="BW233" s="518">
        <v>633.55460962600955</v>
      </c>
      <c r="BX233" s="518">
        <v>671.56788620357008</v>
      </c>
      <c r="BY233" s="518">
        <v>711.86195937578441</v>
      </c>
      <c r="BZ233" s="518">
        <v>754.57367693833146</v>
      </c>
      <c r="CA233" s="518">
        <v>799.84809755463141</v>
      </c>
      <c r="CB233" s="518">
        <v>847.83898340790915</v>
      </c>
      <c r="CC233" s="518">
        <v>898.70932241238381</v>
      </c>
      <c r="CD233" s="518">
        <v>952.63188175712685</v>
      </c>
      <c r="CE233" s="518">
        <v>1009.7897946625544</v>
      </c>
      <c r="CF233" s="518">
        <v>1070.3771823423076</v>
      </c>
      <c r="CG233" s="519">
        <v>1134.5998132828461</v>
      </c>
      <c r="CH233" s="520">
        <v>9.1349999999999998</v>
      </c>
      <c r="CI233" s="521">
        <v>9.3177000000000003</v>
      </c>
      <c r="CJ233" s="521">
        <v>9.504054</v>
      </c>
      <c r="CK233" s="521">
        <v>9.6941350800000006</v>
      </c>
      <c r="CL233" s="521">
        <v>2.5</v>
      </c>
      <c r="CM233" s="521">
        <v>2.5499999999999998</v>
      </c>
      <c r="CN233" s="521">
        <v>2.601</v>
      </c>
      <c r="CO233" s="521">
        <v>2.6530200000000002</v>
      </c>
      <c r="CP233" s="521">
        <v>2.7060804000000003</v>
      </c>
      <c r="CQ233" s="521">
        <v>2.7602020080000003</v>
      </c>
      <c r="CR233" s="521">
        <v>2.8154060481600003</v>
      </c>
      <c r="CS233" s="521">
        <v>2.8717141691232002</v>
      </c>
      <c r="CT233" s="521">
        <v>2.5</v>
      </c>
      <c r="CU233" s="521">
        <v>2.5499999999999998</v>
      </c>
      <c r="CV233" s="521">
        <v>2.601</v>
      </c>
      <c r="CW233" s="521">
        <v>2.6530200000000002</v>
      </c>
      <c r="CX233" s="521">
        <v>2.7060804000000003</v>
      </c>
      <c r="CY233" s="521">
        <v>2.7602020080000003</v>
      </c>
      <c r="CZ233" s="521">
        <v>2.8154060481600003</v>
      </c>
      <c r="DA233" s="522">
        <v>2.8717141691232002</v>
      </c>
      <c r="DB233" s="523">
        <v>0</v>
      </c>
      <c r="DC233" s="524">
        <v>0</v>
      </c>
      <c r="DD233" s="524">
        <v>0</v>
      </c>
      <c r="DE233" s="524">
        <v>0</v>
      </c>
      <c r="DF233" s="524">
        <v>-8.5096408822220027E-3</v>
      </c>
      <c r="DG233" s="524">
        <v>5.2227189889774567E-3</v>
      </c>
      <c r="DH233" s="524">
        <v>5.7662018976156228E-3</v>
      </c>
      <c r="DI233" s="524">
        <v>6.3657748438595736E-3</v>
      </c>
      <c r="DJ233" s="524">
        <v>7.0271892627483158E-3</v>
      </c>
      <c r="DK233" s="524">
        <v>0.19838017166823479</v>
      </c>
      <c r="DL233" s="524">
        <v>5.0022984038770868E-5</v>
      </c>
      <c r="DM233" s="524">
        <v>3.6032303057743909E-5</v>
      </c>
      <c r="DN233" s="524">
        <v>-1.3056119833140797E-2</v>
      </c>
      <c r="DO233" s="524">
        <v>1.8256521775440737E-4</v>
      </c>
      <c r="DP233" s="524">
        <v>1.8023196966873711E-4</v>
      </c>
      <c r="DQ233" s="524">
        <v>1.7642974814555817E-4</v>
      </c>
      <c r="DR233" s="524">
        <v>1.7093795487324592E-4</v>
      </c>
      <c r="DS233" s="524">
        <v>2.6764241758321143E-2</v>
      </c>
      <c r="DT233" s="524">
        <v>2.9042092874938252E-4</v>
      </c>
      <c r="DU233" s="525">
        <v>2.9536064362333664E-4</v>
      </c>
      <c r="DV233" s="526">
        <v>3.5</v>
      </c>
      <c r="DW233" s="507">
        <v>1</v>
      </c>
      <c r="DX233" s="509">
        <v>9.1349999999999998</v>
      </c>
      <c r="DY233" s="507">
        <v>2</v>
      </c>
      <c r="DZ233" s="507">
        <v>15</v>
      </c>
      <c r="EA233" s="507">
        <v>0</v>
      </c>
      <c r="EB233" s="507">
        <v>0</v>
      </c>
      <c r="EC233" s="507">
        <v>111.62500000000001</v>
      </c>
      <c r="ED233" s="507">
        <v>102.18750000000001</v>
      </c>
      <c r="EE233" s="507">
        <v>0</v>
      </c>
      <c r="EF233" s="507">
        <v>25.062499999999996</v>
      </c>
      <c r="EG233" s="507">
        <v>29.3125</v>
      </c>
      <c r="EH233" s="507">
        <v>12.8125</v>
      </c>
      <c r="EI233" s="507">
        <v>16.6875</v>
      </c>
      <c r="EJ233" s="507">
        <v>56.4375</v>
      </c>
      <c r="EK233" s="507">
        <v>10.4375</v>
      </c>
      <c r="EL233" s="507">
        <v>10.4375</v>
      </c>
      <c r="EM233" s="508">
        <v>375</v>
      </c>
    </row>
    <row r="234" spans="2:143" x14ac:dyDescent="0.25">
      <c r="B234" s="506" t="str">
        <f>[1]RONET_Input!J205</f>
        <v xml:space="preserve">Input VPROMMS: 214tt00046 (33.33 pct); 214tt00047 (33.33 pct); 214tt00012 (33.33 pct); </v>
      </c>
      <c r="C234" s="359">
        <f>[1]RONET_Input!B205</f>
        <v>203</v>
      </c>
      <c r="D234" s="397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442">
        <f>[1]RONET_Input!K205</f>
        <v>2.1053056899499999E-2</v>
      </c>
      <c r="Q234" s="398">
        <f>[1]RONET_Input!Y205</f>
        <v>2</v>
      </c>
      <c r="R234" s="398">
        <f>[1]RONET_Input!X205</f>
        <v>3.5</v>
      </c>
      <c r="S234" s="398"/>
      <c r="T234" s="398"/>
      <c r="U234" s="398">
        <f>[1]RONET_Input!AA205</f>
        <v>8</v>
      </c>
      <c r="V234" s="398">
        <f>[1]RONET_Input!AC205</f>
        <v>1</v>
      </c>
      <c r="W234" s="398">
        <f>[1]RONET_Input!AD205</f>
        <v>1</v>
      </c>
      <c r="X234" s="398">
        <f>[1]RONET_Input!AE205</f>
        <v>4</v>
      </c>
      <c r="Y234" s="398">
        <f>[1]RONET_Input!AB205</f>
        <v>1</v>
      </c>
      <c r="Z234" s="438">
        <f>[1]RONET_Input!Z205</f>
        <v>1</v>
      </c>
      <c r="AA234" s="442"/>
      <c r="AB234" s="398"/>
      <c r="AC234" s="438"/>
      <c r="AD234" s="442">
        <f>[1]RONET_Input!AH205</f>
        <v>5</v>
      </c>
      <c r="AE234" s="398">
        <f>[1]RONET_Input!D205</f>
        <v>14.36</v>
      </c>
      <c r="AF234" s="398"/>
      <c r="AG234" s="398"/>
      <c r="AH234" s="398"/>
      <c r="AI234" s="438"/>
      <c r="AJ234" s="442">
        <v>1</v>
      </c>
      <c r="AK234" s="442">
        <f>[1]RONET_Input!AF205</f>
        <v>4</v>
      </c>
      <c r="AL234" s="507"/>
      <c r="AM234" s="507"/>
      <c r="AN234" s="507"/>
      <c r="AO234" s="507"/>
      <c r="AP234" s="507"/>
      <c r="AQ234" s="507"/>
      <c r="AR234" s="507"/>
      <c r="AS234" s="507"/>
      <c r="AT234" s="507"/>
      <c r="AU234" s="507"/>
      <c r="AV234" s="507"/>
      <c r="AW234" s="507"/>
      <c r="AX234" s="508"/>
      <c r="AY234" s="509">
        <f>[1]RONET_Input!AG205</f>
        <v>3</v>
      </c>
      <c r="AZ234" s="359" t="s">
        <v>321</v>
      </c>
      <c r="BA234" s="360" t="s">
        <v>502</v>
      </c>
      <c r="BB234" s="360" t="s">
        <v>443</v>
      </c>
      <c r="BC234" s="510">
        <v>1.0537054978199752E-3</v>
      </c>
      <c r="BD234" s="510">
        <v>5.0050000000000011E-2</v>
      </c>
      <c r="BE234" s="438">
        <v>1</v>
      </c>
      <c r="BF234" s="511">
        <v>1.3474553196647766E-2</v>
      </c>
      <c r="BG234" s="512">
        <v>0.64002834652329188</v>
      </c>
      <c r="BH234" s="512">
        <v>12.78777915131452</v>
      </c>
      <c r="BI234" s="513">
        <v>0</v>
      </c>
      <c r="BJ234" s="514">
        <v>375</v>
      </c>
      <c r="BK234" s="515">
        <v>0.22366666666666665</v>
      </c>
      <c r="BL234" s="512">
        <v>2.8816371631190624E-3</v>
      </c>
      <c r="BM234" s="516">
        <v>3.2054071874999999E-2</v>
      </c>
      <c r="BN234" s="517">
        <v>375</v>
      </c>
      <c r="BO234" s="518">
        <v>397.50000000000011</v>
      </c>
      <c r="BP234" s="518">
        <v>421.34999999999991</v>
      </c>
      <c r="BQ234" s="518">
        <v>446.63099999999997</v>
      </c>
      <c r="BR234" s="518">
        <v>473.42885999999999</v>
      </c>
      <c r="BS234" s="518">
        <v>501.83459160000012</v>
      </c>
      <c r="BT234" s="518">
        <v>531.9446670960001</v>
      </c>
      <c r="BU234" s="518">
        <v>563.86134712175999</v>
      </c>
      <c r="BV234" s="518">
        <v>597.69302794906582</v>
      </c>
      <c r="BW234" s="518">
        <v>633.55460962600955</v>
      </c>
      <c r="BX234" s="518">
        <v>671.56788620357008</v>
      </c>
      <c r="BY234" s="518">
        <v>711.86195937578441</v>
      </c>
      <c r="BZ234" s="518">
        <v>754.57367693833146</v>
      </c>
      <c r="CA234" s="518">
        <v>799.84809755463141</v>
      </c>
      <c r="CB234" s="518">
        <v>847.83898340790915</v>
      </c>
      <c r="CC234" s="518">
        <v>898.70932241238381</v>
      </c>
      <c r="CD234" s="518">
        <v>952.63188175712685</v>
      </c>
      <c r="CE234" s="518">
        <v>1009.7897946625544</v>
      </c>
      <c r="CF234" s="518">
        <v>1070.3771823423076</v>
      </c>
      <c r="CG234" s="519">
        <v>1134.5998132828461</v>
      </c>
      <c r="CH234" s="520">
        <v>2.5</v>
      </c>
      <c r="CI234" s="521">
        <v>2.5499999999999998</v>
      </c>
      <c r="CJ234" s="521">
        <v>2.601</v>
      </c>
      <c r="CK234" s="521">
        <v>2.6530200000000002</v>
      </c>
      <c r="CL234" s="521">
        <v>2.7060804000000003</v>
      </c>
      <c r="CM234" s="521">
        <v>2.7602020080000003</v>
      </c>
      <c r="CN234" s="521">
        <v>2.8154060481600003</v>
      </c>
      <c r="CO234" s="521">
        <v>2.8717141691232002</v>
      </c>
      <c r="CP234" s="521">
        <v>2.5</v>
      </c>
      <c r="CQ234" s="521">
        <v>2.5499999999999998</v>
      </c>
      <c r="CR234" s="521">
        <v>2.601</v>
      </c>
      <c r="CS234" s="521">
        <v>2.6530200000000002</v>
      </c>
      <c r="CT234" s="521">
        <v>2.7060804000000003</v>
      </c>
      <c r="CU234" s="521">
        <v>2.7602020080000003</v>
      </c>
      <c r="CV234" s="521">
        <v>2.8154060481600003</v>
      </c>
      <c r="CW234" s="521">
        <v>2.8717141691232002</v>
      </c>
      <c r="CX234" s="521">
        <v>2.5</v>
      </c>
      <c r="CY234" s="521">
        <v>2.5499999999999998</v>
      </c>
      <c r="CZ234" s="521">
        <v>2.601</v>
      </c>
      <c r="DA234" s="522">
        <v>2.6530200000000002</v>
      </c>
      <c r="DB234" s="523">
        <v>-3.6356493650114901E-4</v>
      </c>
      <c r="DC234" s="524">
        <v>6.5592766106928563E-4</v>
      </c>
      <c r="DD234" s="524">
        <v>7.2245084905473963E-4</v>
      </c>
      <c r="DE234" s="524">
        <v>7.9536617855432024E-4</v>
      </c>
      <c r="DF234" s="524">
        <v>8.7517678430141729E-4</v>
      </c>
      <c r="DG234" s="524">
        <v>9.6239094579001535E-4</v>
      </c>
      <c r="DH234" s="524">
        <v>1.0366911319485315E-3</v>
      </c>
      <c r="DI234" s="524">
        <v>1.0976475892379195E-3</v>
      </c>
      <c r="DJ234" s="524">
        <v>2.1266800592053626E-4</v>
      </c>
      <c r="DK234" s="524">
        <v>1.4372171553312019E-2</v>
      </c>
      <c r="DL234" s="524">
        <v>8.8924245108760319E-6</v>
      </c>
      <c r="DM234" s="524">
        <v>8.4702532081554031E-6</v>
      </c>
      <c r="DN234" s="524">
        <v>7.9259097933016658E-6</v>
      </c>
      <c r="DO234" s="524">
        <v>7.242308341561237E-6</v>
      </c>
      <c r="DP234" s="524">
        <v>6.4003602078580545E-6</v>
      </c>
      <c r="DQ234" s="524">
        <v>5.3787563583690585E-6</v>
      </c>
      <c r="DR234" s="524">
        <v>-9.3970875325135542E-4</v>
      </c>
      <c r="DS234" s="524">
        <v>1.9459159238928675E-3</v>
      </c>
      <c r="DT234" s="524">
        <v>2.9432269611813586E-5</v>
      </c>
      <c r="DU234" s="525">
        <v>3.0732123887480464E-5</v>
      </c>
      <c r="DV234" s="526">
        <v>3.5</v>
      </c>
      <c r="DW234" s="507">
        <v>1</v>
      </c>
      <c r="DX234" s="509">
        <v>14.36</v>
      </c>
      <c r="DY234" s="507">
        <v>2</v>
      </c>
      <c r="DZ234" s="507">
        <v>20</v>
      </c>
      <c r="EA234" s="507">
        <v>0</v>
      </c>
      <c r="EB234" s="507">
        <v>0</v>
      </c>
      <c r="EC234" s="507">
        <v>111.62500000000001</v>
      </c>
      <c r="ED234" s="507">
        <v>102.18750000000001</v>
      </c>
      <c r="EE234" s="507">
        <v>0</v>
      </c>
      <c r="EF234" s="507">
        <v>25.062499999999996</v>
      </c>
      <c r="EG234" s="507">
        <v>29.3125</v>
      </c>
      <c r="EH234" s="507">
        <v>12.8125</v>
      </c>
      <c r="EI234" s="507">
        <v>16.6875</v>
      </c>
      <c r="EJ234" s="507">
        <v>56.4375</v>
      </c>
      <c r="EK234" s="507">
        <v>10.4375</v>
      </c>
      <c r="EL234" s="507">
        <v>10.4375</v>
      </c>
      <c r="EM234" s="508">
        <v>375</v>
      </c>
    </row>
    <row r="235" spans="2:143" x14ac:dyDescent="0.25">
      <c r="B235" s="506" t="str">
        <f>[1]RONET_Input!J206</f>
        <v xml:space="preserve">Input VPROMMS: 212th00034 (56.38 pct); 214tt00012 (43.62 pct); </v>
      </c>
      <c r="C235" s="359">
        <f>[1]RONET_Input!B206</f>
        <v>204</v>
      </c>
      <c r="D235" s="397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442">
        <f>[1]RONET_Input!K206</f>
        <v>4.6241833749600003</v>
      </c>
      <c r="Q235" s="398">
        <f>[1]RONET_Input!Y206</f>
        <v>2</v>
      </c>
      <c r="R235" s="398">
        <f>[1]RONET_Input!X206</f>
        <v>3.5</v>
      </c>
      <c r="S235" s="398"/>
      <c r="T235" s="398"/>
      <c r="U235" s="398">
        <f>[1]RONET_Input!AA206</f>
        <v>8</v>
      </c>
      <c r="V235" s="398">
        <f>[1]RONET_Input!AC206</f>
        <v>1</v>
      </c>
      <c r="W235" s="398">
        <f>[1]RONET_Input!AD206</f>
        <v>1</v>
      </c>
      <c r="X235" s="398">
        <f>[1]RONET_Input!AE206</f>
        <v>4</v>
      </c>
      <c r="Y235" s="398">
        <f>[1]RONET_Input!AB206</f>
        <v>1</v>
      </c>
      <c r="Z235" s="438">
        <f>[1]RONET_Input!Z206</f>
        <v>1</v>
      </c>
      <c r="AA235" s="442"/>
      <c r="AB235" s="398"/>
      <c r="AC235" s="438"/>
      <c r="AD235" s="442">
        <f>[1]RONET_Input!AH206</f>
        <v>3</v>
      </c>
      <c r="AE235" s="398">
        <f>[1]RONET_Input!D206</f>
        <v>7.61</v>
      </c>
      <c r="AF235" s="398"/>
      <c r="AG235" s="398"/>
      <c r="AH235" s="398"/>
      <c r="AI235" s="438"/>
      <c r="AJ235" s="442">
        <v>1</v>
      </c>
      <c r="AK235" s="442">
        <f>[1]RONET_Input!AF206</f>
        <v>4</v>
      </c>
      <c r="AL235" s="507"/>
      <c r="AM235" s="507"/>
      <c r="AN235" s="507"/>
      <c r="AO235" s="507"/>
      <c r="AP235" s="507"/>
      <c r="AQ235" s="507"/>
      <c r="AR235" s="507"/>
      <c r="AS235" s="507"/>
      <c r="AT235" s="507"/>
      <c r="AU235" s="507"/>
      <c r="AV235" s="507"/>
      <c r="AW235" s="507"/>
      <c r="AX235" s="508"/>
      <c r="AY235" s="509">
        <f>[1]RONET_Input!AG206</f>
        <v>3</v>
      </c>
      <c r="AZ235" s="359" t="s">
        <v>321</v>
      </c>
      <c r="BA235" s="360" t="s">
        <v>502</v>
      </c>
      <c r="BB235" s="360" t="s">
        <v>443</v>
      </c>
      <c r="BC235" s="510">
        <v>0.23144037791674801</v>
      </c>
      <c r="BD235" s="510">
        <v>5.0049999999999997E-2</v>
      </c>
      <c r="BE235" s="438">
        <v>5</v>
      </c>
      <c r="BF235" s="511">
        <v>1.9810434069284557</v>
      </c>
      <c r="BG235" s="512">
        <v>0.4284093528072061</v>
      </c>
      <c r="BH235" s="512">
        <v>8.559627428715407</v>
      </c>
      <c r="BI235" s="513">
        <v>0</v>
      </c>
      <c r="BJ235" s="514">
        <v>375</v>
      </c>
      <c r="BK235" s="515">
        <v>0.22366666666666665</v>
      </c>
      <c r="BL235" s="512">
        <v>0.63293509944765014</v>
      </c>
      <c r="BM235" s="516">
        <v>3.2054071874999999E-2</v>
      </c>
      <c r="BN235" s="517">
        <v>375</v>
      </c>
      <c r="BO235" s="518">
        <v>397.50000000000011</v>
      </c>
      <c r="BP235" s="518">
        <v>421.34999999999991</v>
      </c>
      <c r="BQ235" s="518">
        <v>446.63099999999997</v>
      </c>
      <c r="BR235" s="518">
        <v>473.42885999999999</v>
      </c>
      <c r="BS235" s="518">
        <v>501.83459160000012</v>
      </c>
      <c r="BT235" s="518">
        <v>531.9446670960001</v>
      </c>
      <c r="BU235" s="518">
        <v>563.86134712175999</v>
      </c>
      <c r="BV235" s="518">
        <v>597.69302794906582</v>
      </c>
      <c r="BW235" s="518">
        <v>633.55460962600955</v>
      </c>
      <c r="BX235" s="518">
        <v>671.56788620357008</v>
      </c>
      <c r="BY235" s="518">
        <v>711.86195937578441</v>
      </c>
      <c r="BZ235" s="518">
        <v>754.57367693833146</v>
      </c>
      <c r="CA235" s="518">
        <v>799.84809755463141</v>
      </c>
      <c r="CB235" s="518">
        <v>847.83898340790915</v>
      </c>
      <c r="CC235" s="518">
        <v>898.70932241238381</v>
      </c>
      <c r="CD235" s="518">
        <v>952.63188175712685</v>
      </c>
      <c r="CE235" s="518">
        <v>1009.7897946625544</v>
      </c>
      <c r="CF235" s="518">
        <v>1070.3771823423076</v>
      </c>
      <c r="CG235" s="519">
        <v>1134.5998132828461</v>
      </c>
      <c r="CH235" s="520">
        <v>7.61</v>
      </c>
      <c r="CI235" s="521">
        <v>7.7622</v>
      </c>
      <c r="CJ235" s="521">
        <v>7.9174439999999997</v>
      </c>
      <c r="CK235" s="521">
        <v>8.0757928799999998</v>
      </c>
      <c r="CL235" s="521">
        <v>2.5</v>
      </c>
      <c r="CM235" s="521">
        <v>2.5499999999999998</v>
      </c>
      <c r="CN235" s="521">
        <v>2.601</v>
      </c>
      <c r="CO235" s="521">
        <v>2.6530200000000002</v>
      </c>
      <c r="CP235" s="521">
        <v>2.7060804000000003</v>
      </c>
      <c r="CQ235" s="521">
        <v>2.7602020080000003</v>
      </c>
      <c r="CR235" s="521">
        <v>2.8154060481600003</v>
      </c>
      <c r="CS235" s="521">
        <v>2.8717141691232002</v>
      </c>
      <c r="CT235" s="521">
        <v>2.5</v>
      </c>
      <c r="CU235" s="521">
        <v>2.5499999999999998</v>
      </c>
      <c r="CV235" s="521">
        <v>2.601</v>
      </c>
      <c r="CW235" s="521">
        <v>2.6530200000000002</v>
      </c>
      <c r="CX235" s="521">
        <v>2.7060804000000003</v>
      </c>
      <c r="CY235" s="521">
        <v>2.7602020080000003</v>
      </c>
      <c r="CZ235" s="521">
        <v>2.8154060481600003</v>
      </c>
      <c r="DA235" s="522">
        <v>2.8717141691232002</v>
      </c>
      <c r="DB235" s="523">
        <v>0</v>
      </c>
      <c r="DC235" s="524">
        <v>0</v>
      </c>
      <c r="DD235" s="524">
        <v>0</v>
      </c>
      <c r="DE235" s="524">
        <v>0</v>
      </c>
      <c r="DF235" s="524">
        <v>-0.16040830251267529</v>
      </c>
      <c r="DG235" s="524">
        <v>5.5464157998132424E-2</v>
      </c>
      <c r="DH235" s="524">
        <v>6.1271222532771397E-2</v>
      </c>
      <c r="DI235" s="524">
        <v>6.7679767130061685E-2</v>
      </c>
      <c r="DJ235" s="524">
        <v>7.4751682069939485E-2</v>
      </c>
      <c r="DK235" s="524">
        <v>3.1557248210978126</v>
      </c>
      <c r="DL235" s="524">
        <v>7.9573866192894638E-4</v>
      </c>
      <c r="DM235" s="524">
        <v>5.7318245147397473E-4</v>
      </c>
      <c r="DN235" s="524">
        <v>-0.2076897155506755</v>
      </c>
      <c r="DO235" s="524">
        <v>2.904149060321437E-3</v>
      </c>
      <c r="DP235" s="524">
        <v>2.8670330076645545E-3</v>
      </c>
      <c r="DQ235" s="524">
        <v>2.8065493175097878E-3</v>
      </c>
      <c r="DR235" s="524">
        <v>2.7191888308442103E-3</v>
      </c>
      <c r="DS235" s="524">
        <v>0.42575112887716426</v>
      </c>
      <c r="DT235" s="524">
        <v>4.6198595641575579E-3</v>
      </c>
      <c r="DU235" s="525">
        <v>4.6984378852961139E-3</v>
      </c>
      <c r="DV235" s="526">
        <v>3.5</v>
      </c>
      <c r="DW235" s="507">
        <v>1</v>
      </c>
      <c r="DX235" s="509">
        <v>7.61</v>
      </c>
      <c r="DY235" s="507">
        <v>2</v>
      </c>
      <c r="DZ235" s="507">
        <v>10</v>
      </c>
      <c r="EA235" s="507">
        <v>0</v>
      </c>
      <c r="EB235" s="507">
        <v>0</v>
      </c>
      <c r="EC235" s="507">
        <v>111.62500000000001</v>
      </c>
      <c r="ED235" s="507">
        <v>102.18750000000001</v>
      </c>
      <c r="EE235" s="507">
        <v>0</v>
      </c>
      <c r="EF235" s="507">
        <v>25.062499999999996</v>
      </c>
      <c r="EG235" s="507">
        <v>29.3125</v>
      </c>
      <c r="EH235" s="507">
        <v>12.8125</v>
      </c>
      <c r="EI235" s="507">
        <v>16.6875</v>
      </c>
      <c r="EJ235" s="507">
        <v>56.4375</v>
      </c>
      <c r="EK235" s="507">
        <v>10.4375</v>
      </c>
      <c r="EL235" s="507">
        <v>10.4375</v>
      </c>
      <c r="EM235" s="508">
        <v>375</v>
      </c>
    </row>
    <row r="236" spans="2:143" x14ac:dyDescent="0.25">
      <c r="B236" s="506" t="str">
        <f>[1]RONET_Input!J207</f>
        <v xml:space="preserve">Input VPROMMS: 214tt00046 (50.0 pct); 214tt00047 (50.0 pct); </v>
      </c>
      <c r="C236" s="359">
        <f>[1]RONET_Input!B207</f>
        <v>205</v>
      </c>
      <c r="D236" s="397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442">
        <f>[1]RONET_Input!K207</f>
        <v>2.9286211130800002</v>
      </c>
      <c r="Q236" s="398">
        <f>[1]RONET_Input!Y207</f>
        <v>2</v>
      </c>
      <c r="R236" s="398">
        <f>[1]RONET_Input!X207</f>
        <v>3.5</v>
      </c>
      <c r="S236" s="398"/>
      <c r="T236" s="398"/>
      <c r="U236" s="398">
        <f>[1]RONET_Input!AA207</f>
        <v>8</v>
      </c>
      <c r="V236" s="398">
        <f>[1]RONET_Input!AC207</f>
        <v>1</v>
      </c>
      <c r="W236" s="398">
        <f>[1]RONET_Input!AD207</f>
        <v>1</v>
      </c>
      <c r="X236" s="398">
        <f>[1]RONET_Input!AE207</f>
        <v>4</v>
      </c>
      <c r="Y236" s="398">
        <f>[1]RONET_Input!AB207</f>
        <v>1</v>
      </c>
      <c r="Z236" s="438">
        <f>[1]RONET_Input!Z207</f>
        <v>1</v>
      </c>
      <c r="AA236" s="442"/>
      <c r="AB236" s="398"/>
      <c r="AC236" s="438"/>
      <c r="AD236" s="442">
        <f>[1]RONET_Input!AH207</f>
        <v>4</v>
      </c>
      <c r="AE236" s="398">
        <f>[1]RONET_Input!D207</f>
        <v>10.039999999999999</v>
      </c>
      <c r="AF236" s="398"/>
      <c r="AG236" s="398"/>
      <c r="AH236" s="398"/>
      <c r="AI236" s="438"/>
      <c r="AJ236" s="442">
        <v>1</v>
      </c>
      <c r="AK236" s="442">
        <f>[1]RONET_Input!AF207</f>
        <v>4</v>
      </c>
      <c r="AL236" s="507"/>
      <c r="AM236" s="507"/>
      <c r="AN236" s="507"/>
      <c r="AO236" s="507"/>
      <c r="AP236" s="507"/>
      <c r="AQ236" s="507"/>
      <c r="AR236" s="507"/>
      <c r="AS236" s="507"/>
      <c r="AT236" s="507"/>
      <c r="AU236" s="507"/>
      <c r="AV236" s="507"/>
      <c r="AW236" s="507"/>
      <c r="AX236" s="508"/>
      <c r="AY236" s="509">
        <f>[1]RONET_Input!AG207</f>
        <v>3</v>
      </c>
      <c r="AZ236" s="359" t="s">
        <v>321</v>
      </c>
      <c r="BA236" s="360" t="s">
        <v>502</v>
      </c>
      <c r="BB236" s="360" t="s">
        <v>443</v>
      </c>
      <c r="BC236" s="510">
        <v>0.14657748670965401</v>
      </c>
      <c r="BD236" s="510">
        <v>5.0049999999999997E-2</v>
      </c>
      <c r="BE236" s="438">
        <v>5</v>
      </c>
      <c r="BF236" s="511">
        <v>1.3689563800844553</v>
      </c>
      <c r="BG236" s="512">
        <v>0.46744058969264829</v>
      </c>
      <c r="BH236" s="512">
        <v>9.339472321531435</v>
      </c>
      <c r="BI236" s="513">
        <v>0</v>
      </c>
      <c r="BJ236" s="514">
        <v>375</v>
      </c>
      <c r="BK236" s="515">
        <v>0.22366666666666665</v>
      </c>
      <c r="BL236" s="512">
        <v>0.40085501485282499</v>
      </c>
      <c r="BM236" s="516">
        <v>3.2054071874999999E-2</v>
      </c>
      <c r="BN236" s="517">
        <v>375</v>
      </c>
      <c r="BO236" s="518">
        <v>397.50000000000011</v>
      </c>
      <c r="BP236" s="518">
        <v>421.34999999999991</v>
      </c>
      <c r="BQ236" s="518">
        <v>446.63099999999997</v>
      </c>
      <c r="BR236" s="518">
        <v>473.42885999999999</v>
      </c>
      <c r="BS236" s="518">
        <v>501.83459160000012</v>
      </c>
      <c r="BT236" s="518">
        <v>531.9446670960001</v>
      </c>
      <c r="BU236" s="518">
        <v>563.86134712175999</v>
      </c>
      <c r="BV236" s="518">
        <v>597.69302794906582</v>
      </c>
      <c r="BW236" s="518">
        <v>633.55460962600955</v>
      </c>
      <c r="BX236" s="518">
        <v>671.56788620357008</v>
      </c>
      <c r="BY236" s="518">
        <v>711.86195937578441</v>
      </c>
      <c r="BZ236" s="518">
        <v>754.57367693833146</v>
      </c>
      <c r="CA236" s="518">
        <v>799.84809755463141</v>
      </c>
      <c r="CB236" s="518">
        <v>847.83898340790915</v>
      </c>
      <c r="CC236" s="518">
        <v>898.70932241238381</v>
      </c>
      <c r="CD236" s="518">
        <v>952.63188175712685</v>
      </c>
      <c r="CE236" s="518">
        <v>1009.7897946625544</v>
      </c>
      <c r="CF236" s="518">
        <v>1070.3771823423076</v>
      </c>
      <c r="CG236" s="519">
        <v>1134.5998132828461</v>
      </c>
      <c r="CH236" s="520">
        <v>10.039999999999999</v>
      </c>
      <c r="CI236" s="521">
        <v>10.240799999999998</v>
      </c>
      <c r="CJ236" s="521">
        <v>10.445615999999998</v>
      </c>
      <c r="CK236" s="521">
        <v>10.654528319999997</v>
      </c>
      <c r="CL236" s="521">
        <v>2.5</v>
      </c>
      <c r="CM236" s="521">
        <v>2.5499999999999998</v>
      </c>
      <c r="CN236" s="521">
        <v>2.601</v>
      </c>
      <c r="CO236" s="521">
        <v>2.6530200000000002</v>
      </c>
      <c r="CP236" s="521">
        <v>2.7060804000000003</v>
      </c>
      <c r="CQ236" s="521">
        <v>2.7602020080000003</v>
      </c>
      <c r="CR236" s="521">
        <v>2.8154060481600003</v>
      </c>
      <c r="CS236" s="521">
        <v>2.8717141691232002</v>
      </c>
      <c r="CT236" s="521">
        <v>2.5</v>
      </c>
      <c r="CU236" s="521">
        <v>2.5499999999999998</v>
      </c>
      <c r="CV236" s="521">
        <v>2.601</v>
      </c>
      <c r="CW236" s="521">
        <v>2.6530200000000002</v>
      </c>
      <c r="CX236" s="521">
        <v>2.7060804000000003</v>
      </c>
      <c r="CY236" s="521">
        <v>2.7602020080000003</v>
      </c>
      <c r="CZ236" s="521">
        <v>2.8154060481600003</v>
      </c>
      <c r="DA236" s="522">
        <v>2.8717141691232002</v>
      </c>
      <c r="DB236" s="523">
        <v>0</v>
      </c>
      <c r="DC236" s="524">
        <v>0</v>
      </c>
      <c r="DD236" s="524">
        <v>0</v>
      </c>
      <c r="DE236" s="524">
        <v>0</v>
      </c>
      <c r="DF236" s="524">
        <v>-7.4960182208879178E-2</v>
      </c>
      <c r="DG236" s="524">
        <v>6.4492925667734513E-2</v>
      </c>
      <c r="DH236" s="524">
        <v>7.1185491378251309E-2</v>
      </c>
      <c r="DI236" s="524">
        <v>7.8566762023905778E-2</v>
      </c>
      <c r="DJ236" s="524">
        <v>8.6706787994546342E-2</v>
      </c>
      <c r="DK236" s="524">
        <v>1.9986063675983881</v>
      </c>
      <c r="DL236" s="524">
        <v>5.0396293936749714E-4</v>
      </c>
      <c r="DM236" s="524">
        <v>3.6301203756827771E-4</v>
      </c>
      <c r="DN236" s="524">
        <v>-0.13153554619501845</v>
      </c>
      <c r="DO236" s="524">
        <v>1.8392765952242041E-3</v>
      </c>
      <c r="DP236" s="524">
        <v>1.8157699894884027E-3</v>
      </c>
      <c r="DQ236" s="524">
        <v>1.7774640233056416E-3</v>
      </c>
      <c r="DR236" s="524">
        <v>1.7221362508207938E-3</v>
      </c>
      <c r="DS236" s="524">
        <v>0.26963977071045375</v>
      </c>
      <c r="DT236" s="524">
        <v>2.9258827260875142E-3</v>
      </c>
      <c r="DU236" s="525">
        <v>2.9756485142616862E-3</v>
      </c>
      <c r="DV236" s="526">
        <v>3.5</v>
      </c>
      <c r="DW236" s="507">
        <v>1</v>
      </c>
      <c r="DX236" s="509">
        <v>10.039999999999999</v>
      </c>
      <c r="DY236" s="507">
        <v>2</v>
      </c>
      <c r="DZ236" s="507">
        <v>15</v>
      </c>
      <c r="EA236" s="507">
        <v>0</v>
      </c>
      <c r="EB236" s="507">
        <v>0</v>
      </c>
      <c r="EC236" s="507">
        <v>111.62500000000001</v>
      </c>
      <c r="ED236" s="507">
        <v>102.18750000000001</v>
      </c>
      <c r="EE236" s="507">
        <v>0</v>
      </c>
      <c r="EF236" s="507">
        <v>25.062499999999996</v>
      </c>
      <c r="EG236" s="507">
        <v>29.3125</v>
      </c>
      <c r="EH236" s="507">
        <v>12.8125</v>
      </c>
      <c r="EI236" s="507">
        <v>16.6875</v>
      </c>
      <c r="EJ236" s="507">
        <v>56.4375</v>
      </c>
      <c r="EK236" s="507">
        <v>10.4375</v>
      </c>
      <c r="EL236" s="507">
        <v>10.4375</v>
      </c>
      <c r="EM236" s="508">
        <v>375</v>
      </c>
    </row>
    <row r="237" spans="2:143" x14ac:dyDescent="0.25">
      <c r="B237" s="506" t="str">
        <f>[1]RONET_Input!J208</f>
        <v xml:space="preserve">Input VPROMMS: 212th00023 (38.21 pct); 214tt00090 (37.8 pct); 213TT00006 (19.11 pct); 214tt00012 (3.25 pct); 212TH00024 (0.81 pct); 212th00024 (0.81 pct); </v>
      </c>
      <c r="C237" s="359">
        <f>[1]RONET_Input!B208</f>
        <v>206</v>
      </c>
      <c r="D237" s="397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442">
        <f>[1]RONET_Input!K208</f>
        <v>1.87666721052</v>
      </c>
      <c r="Q237" s="398">
        <f>[1]RONET_Input!Y208</f>
        <v>2</v>
      </c>
      <c r="R237" s="398">
        <f>[1]RONET_Input!X208</f>
        <v>3.5</v>
      </c>
      <c r="S237" s="398"/>
      <c r="T237" s="398"/>
      <c r="U237" s="398">
        <f>[1]RONET_Input!AA208</f>
        <v>8</v>
      </c>
      <c r="V237" s="398">
        <f>[1]RONET_Input!AC208</f>
        <v>1</v>
      </c>
      <c r="W237" s="398">
        <f>[1]RONET_Input!AD208</f>
        <v>1</v>
      </c>
      <c r="X237" s="398">
        <f>[1]RONET_Input!AE208</f>
        <v>4</v>
      </c>
      <c r="Y237" s="398">
        <f>[1]RONET_Input!AB208</f>
        <v>1</v>
      </c>
      <c r="Z237" s="438">
        <f>[1]RONET_Input!Z208</f>
        <v>1</v>
      </c>
      <c r="AA237" s="442"/>
      <c r="AB237" s="398"/>
      <c r="AC237" s="438"/>
      <c r="AD237" s="442">
        <f>[1]RONET_Input!AH208</f>
        <v>4</v>
      </c>
      <c r="AE237" s="398">
        <f>[1]RONET_Input!D208</f>
        <v>8.6050000000000004</v>
      </c>
      <c r="AF237" s="398"/>
      <c r="AG237" s="398"/>
      <c r="AH237" s="398"/>
      <c r="AI237" s="438"/>
      <c r="AJ237" s="442">
        <v>1</v>
      </c>
      <c r="AK237" s="442">
        <f>[1]RONET_Input!AF208</f>
        <v>4</v>
      </c>
      <c r="AL237" s="507"/>
      <c r="AM237" s="507"/>
      <c r="AN237" s="507"/>
      <c r="AO237" s="507"/>
      <c r="AP237" s="507"/>
      <c r="AQ237" s="507"/>
      <c r="AR237" s="507"/>
      <c r="AS237" s="507"/>
      <c r="AT237" s="507"/>
      <c r="AU237" s="507"/>
      <c r="AV237" s="507"/>
      <c r="AW237" s="507"/>
      <c r="AX237" s="508"/>
      <c r="AY237" s="509">
        <f>[1]RONET_Input!AG208</f>
        <v>3</v>
      </c>
      <c r="AZ237" s="359" t="s">
        <v>321</v>
      </c>
      <c r="BA237" s="360" t="s">
        <v>502</v>
      </c>
      <c r="BB237" s="360" t="s">
        <v>443</v>
      </c>
      <c r="BC237" s="510">
        <v>9.3927193886526011E-2</v>
      </c>
      <c r="BD237" s="510">
        <v>5.0050000000000004E-2</v>
      </c>
      <c r="BE237" s="438">
        <v>5</v>
      </c>
      <c r="BF237" s="511">
        <v>0.83155170812483414</v>
      </c>
      <c r="BG237" s="512">
        <v>0.44310024892182243</v>
      </c>
      <c r="BH237" s="512">
        <v>8.853151826609837</v>
      </c>
      <c r="BI237" s="513">
        <v>0</v>
      </c>
      <c r="BJ237" s="514">
        <v>375</v>
      </c>
      <c r="BK237" s="515">
        <v>0.22366666666666665</v>
      </c>
      <c r="BL237" s="512">
        <v>0.25686882443992504</v>
      </c>
      <c r="BM237" s="516">
        <v>3.2054071874999999E-2</v>
      </c>
      <c r="BN237" s="517">
        <v>375</v>
      </c>
      <c r="BO237" s="518">
        <v>397.50000000000011</v>
      </c>
      <c r="BP237" s="518">
        <v>421.34999999999991</v>
      </c>
      <c r="BQ237" s="518">
        <v>446.63099999999997</v>
      </c>
      <c r="BR237" s="518">
        <v>473.42885999999999</v>
      </c>
      <c r="BS237" s="518">
        <v>501.83459160000012</v>
      </c>
      <c r="BT237" s="518">
        <v>531.9446670960001</v>
      </c>
      <c r="BU237" s="518">
        <v>563.86134712175999</v>
      </c>
      <c r="BV237" s="518">
        <v>597.69302794906582</v>
      </c>
      <c r="BW237" s="518">
        <v>633.55460962600955</v>
      </c>
      <c r="BX237" s="518">
        <v>671.56788620357008</v>
      </c>
      <c r="BY237" s="518">
        <v>711.86195937578441</v>
      </c>
      <c r="BZ237" s="518">
        <v>754.57367693833146</v>
      </c>
      <c r="CA237" s="518">
        <v>799.84809755463141</v>
      </c>
      <c r="CB237" s="518">
        <v>847.83898340790915</v>
      </c>
      <c r="CC237" s="518">
        <v>898.70932241238381</v>
      </c>
      <c r="CD237" s="518">
        <v>952.63188175712685</v>
      </c>
      <c r="CE237" s="518">
        <v>1009.7897946625544</v>
      </c>
      <c r="CF237" s="518">
        <v>1070.3771823423076</v>
      </c>
      <c r="CG237" s="519">
        <v>1134.5998132828461</v>
      </c>
      <c r="CH237" s="520">
        <v>8.6050000000000004</v>
      </c>
      <c r="CI237" s="521">
        <v>8.7771000000000008</v>
      </c>
      <c r="CJ237" s="521">
        <v>8.9526420000000009</v>
      </c>
      <c r="CK237" s="521">
        <v>9.1316948400000015</v>
      </c>
      <c r="CL237" s="521">
        <v>2.5</v>
      </c>
      <c r="CM237" s="521">
        <v>2.5499999999999998</v>
      </c>
      <c r="CN237" s="521">
        <v>2.601</v>
      </c>
      <c r="CO237" s="521">
        <v>2.6530200000000002</v>
      </c>
      <c r="CP237" s="521">
        <v>2.7060804000000003</v>
      </c>
      <c r="CQ237" s="521">
        <v>2.7602020080000003</v>
      </c>
      <c r="CR237" s="521">
        <v>2.8154060481600003</v>
      </c>
      <c r="CS237" s="521">
        <v>2.8717141691232002</v>
      </c>
      <c r="CT237" s="521">
        <v>2.5</v>
      </c>
      <c r="CU237" s="521">
        <v>2.5499999999999998</v>
      </c>
      <c r="CV237" s="521">
        <v>2.601</v>
      </c>
      <c r="CW237" s="521">
        <v>2.6530200000000002</v>
      </c>
      <c r="CX237" s="521">
        <v>2.7060804000000003</v>
      </c>
      <c r="CY237" s="521">
        <v>2.7602020080000003</v>
      </c>
      <c r="CZ237" s="521">
        <v>2.8154060481600003</v>
      </c>
      <c r="DA237" s="522">
        <v>2.8717141691232002</v>
      </c>
      <c r="DB237" s="523">
        <v>0</v>
      </c>
      <c r="DC237" s="524">
        <v>0</v>
      </c>
      <c r="DD237" s="524">
        <v>0</v>
      </c>
      <c r="DE237" s="524">
        <v>0</v>
      </c>
      <c r="DF237" s="524">
        <v>-5.8678685485224341E-2</v>
      </c>
      <c r="DG237" s="524">
        <v>2.9590910947439514E-2</v>
      </c>
      <c r="DH237" s="524">
        <v>3.2675807870565565E-2</v>
      </c>
      <c r="DI237" s="524">
        <v>3.6079462723448613E-2</v>
      </c>
      <c r="DJ237" s="524">
        <v>3.9834623985741835E-2</v>
      </c>
      <c r="DK237" s="524">
        <v>1.280711601803548</v>
      </c>
      <c r="DL237" s="524">
        <v>3.2294062192075867E-4</v>
      </c>
      <c r="DM237" s="524">
        <v>2.326189567116721E-4</v>
      </c>
      <c r="DN237" s="524">
        <v>-8.4288283472224973E-2</v>
      </c>
      <c r="DO237" s="524">
        <v>1.1786127136480529E-3</v>
      </c>
      <c r="DP237" s="524">
        <v>1.1635496261021561E-3</v>
      </c>
      <c r="DQ237" s="524">
        <v>1.1390030740127122E-3</v>
      </c>
      <c r="DR237" s="524">
        <v>1.1035489089144535E-3</v>
      </c>
      <c r="DS237" s="524">
        <v>0.17278579126688726</v>
      </c>
      <c r="DT237" s="524">
        <v>1.8749124457757005E-3</v>
      </c>
      <c r="DU237" s="525">
        <v>1.9068024784109072E-3</v>
      </c>
      <c r="DV237" s="526">
        <v>3.5</v>
      </c>
      <c r="DW237" s="507">
        <v>1</v>
      </c>
      <c r="DX237" s="509">
        <v>8.6050000000000004</v>
      </c>
      <c r="DY237" s="507">
        <v>2</v>
      </c>
      <c r="DZ237" s="507">
        <v>15</v>
      </c>
      <c r="EA237" s="507">
        <v>0</v>
      </c>
      <c r="EB237" s="507">
        <v>0</v>
      </c>
      <c r="EC237" s="507">
        <v>111.62500000000001</v>
      </c>
      <c r="ED237" s="507">
        <v>102.18750000000001</v>
      </c>
      <c r="EE237" s="507">
        <v>0</v>
      </c>
      <c r="EF237" s="507">
        <v>25.062499999999996</v>
      </c>
      <c r="EG237" s="507">
        <v>29.3125</v>
      </c>
      <c r="EH237" s="507">
        <v>12.8125</v>
      </c>
      <c r="EI237" s="507">
        <v>16.6875</v>
      </c>
      <c r="EJ237" s="507">
        <v>56.4375</v>
      </c>
      <c r="EK237" s="507">
        <v>10.4375</v>
      </c>
      <c r="EL237" s="507">
        <v>10.4375</v>
      </c>
      <c r="EM237" s="508">
        <v>375</v>
      </c>
    </row>
    <row r="238" spans="2:143" x14ac:dyDescent="0.25">
      <c r="B238" s="506" t="str">
        <f>[1]RONET_Input!J209</f>
        <v>212TH00036</v>
      </c>
      <c r="C238" s="359">
        <f>[1]RONET_Input!B209</f>
        <v>207</v>
      </c>
      <c r="D238" s="397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442">
        <f>[1]RONET_Input!K209</f>
        <v>1.68088691377</v>
      </c>
      <c r="Q238" s="398">
        <f>[1]RONET_Input!Y209</f>
        <v>3</v>
      </c>
      <c r="R238" s="398">
        <f>[1]RONET_Input!X209</f>
        <v>4.3</v>
      </c>
      <c r="S238" s="398"/>
      <c r="T238" s="398"/>
      <c r="U238" s="398">
        <f>[1]RONET_Input!AA209</f>
        <v>8</v>
      </c>
      <c r="V238" s="398">
        <f>[1]RONET_Input!AC209</f>
        <v>1</v>
      </c>
      <c r="W238" s="398">
        <f>[1]RONET_Input!AD209</f>
        <v>1</v>
      </c>
      <c r="X238" s="398">
        <f>[1]RONET_Input!AE209</f>
        <v>4</v>
      </c>
      <c r="Y238" s="398">
        <f>[1]RONET_Input!AB209</f>
        <v>1</v>
      </c>
      <c r="Z238" s="438">
        <f>[1]RONET_Input!Z209</f>
        <v>3</v>
      </c>
      <c r="AA238" s="442"/>
      <c r="AB238" s="398"/>
      <c r="AC238" s="438"/>
      <c r="AD238" s="442">
        <f>[1]RONET_Input!AH209</f>
        <v>4</v>
      </c>
      <c r="AE238" s="398">
        <f>[1]RONET_Input!D209</f>
        <v>9.74</v>
      </c>
      <c r="AF238" s="398"/>
      <c r="AG238" s="398"/>
      <c r="AH238" s="398"/>
      <c r="AI238" s="438"/>
      <c r="AJ238" s="442">
        <v>1</v>
      </c>
      <c r="AK238" s="442">
        <f>[1]RONET_Input!AF209</f>
        <v>8</v>
      </c>
      <c r="AL238" s="507"/>
      <c r="AM238" s="507"/>
      <c r="AN238" s="507"/>
      <c r="AO238" s="507"/>
      <c r="AP238" s="507"/>
      <c r="AQ238" s="507"/>
      <c r="AR238" s="507"/>
      <c r="AS238" s="507"/>
      <c r="AT238" s="507"/>
      <c r="AU238" s="507"/>
      <c r="AV238" s="507"/>
      <c r="AW238" s="507"/>
      <c r="AX238" s="508"/>
      <c r="AY238" s="509">
        <f>[1]RONET_Input!AG209</f>
        <v>3</v>
      </c>
      <c r="AZ238" s="359" t="s">
        <v>321</v>
      </c>
      <c r="BA238" s="360" t="s">
        <v>506</v>
      </c>
      <c r="BB238" s="360" t="s">
        <v>447</v>
      </c>
      <c r="BC238" s="510">
        <v>0.1033577363277173</v>
      </c>
      <c r="BD238" s="510">
        <v>6.1490000000000003E-2</v>
      </c>
      <c r="BE238" s="438">
        <v>1</v>
      </c>
      <c r="BF238" s="511">
        <v>3.7054216068789976</v>
      </c>
      <c r="BG238" s="512">
        <v>2.2044443183677611</v>
      </c>
      <c r="BH238" s="512">
        <v>35.850452404744857</v>
      </c>
      <c r="BI238" s="513">
        <v>0</v>
      </c>
      <c r="BJ238" s="514">
        <v>6000</v>
      </c>
      <c r="BK238" s="515">
        <v>0.22366666666666665</v>
      </c>
      <c r="BL238" s="512">
        <v>3.6811423411563</v>
      </c>
      <c r="BM238" s="516">
        <v>0.51286514999999999</v>
      </c>
      <c r="BN238" s="517">
        <v>6000</v>
      </c>
      <c r="BO238" s="518">
        <v>6360.0000000000018</v>
      </c>
      <c r="BP238" s="518">
        <v>6741.5999999999985</v>
      </c>
      <c r="BQ238" s="518">
        <v>7146.0959999999995</v>
      </c>
      <c r="BR238" s="518">
        <v>7574.8617599999998</v>
      </c>
      <c r="BS238" s="518">
        <v>8029.353465600002</v>
      </c>
      <c r="BT238" s="518">
        <v>8511.1146735360016</v>
      </c>
      <c r="BU238" s="518">
        <v>9021.7815539481599</v>
      </c>
      <c r="BV238" s="518">
        <v>9563.0884471850532</v>
      </c>
      <c r="BW238" s="518">
        <v>10136.873754016153</v>
      </c>
      <c r="BX238" s="518">
        <v>10745.086179257121</v>
      </c>
      <c r="BY238" s="518">
        <v>11389.791350012551</v>
      </c>
      <c r="BZ238" s="518">
        <v>12073.178831013303</v>
      </c>
      <c r="CA238" s="518">
        <v>12797.569560874103</v>
      </c>
      <c r="CB238" s="518">
        <v>13565.423734526546</v>
      </c>
      <c r="CC238" s="518">
        <v>14379.349158598141</v>
      </c>
      <c r="CD238" s="518">
        <v>15242.11010811403</v>
      </c>
      <c r="CE238" s="518">
        <v>16156.636714600871</v>
      </c>
      <c r="CF238" s="518">
        <v>17126.034917476922</v>
      </c>
      <c r="CG238" s="519">
        <v>18153.597012525537</v>
      </c>
      <c r="CH238" s="520">
        <v>2</v>
      </c>
      <c r="CI238" s="521">
        <v>2.0499999999999998</v>
      </c>
      <c r="CJ238" s="521">
        <v>2.1012499999999998</v>
      </c>
      <c r="CK238" s="521">
        <v>2.1537812499999998</v>
      </c>
      <c r="CL238" s="521">
        <v>2.20762578125</v>
      </c>
      <c r="CM238" s="521">
        <v>2.2628164257812502</v>
      </c>
      <c r="CN238" s="521">
        <v>2.3193868364257813</v>
      </c>
      <c r="CO238" s="521">
        <v>2.3773715073364259</v>
      </c>
      <c r="CP238" s="521">
        <v>2.5</v>
      </c>
      <c r="CQ238" s="521">
        <v>2.5625</v>
      </c>
      <c r="CR238" s="521">
        <v>2.6265624999999999</v>
      </c>
      <c r="CS238" s="521">
        <v>2.6922265624999997</v>
      </c>
      <c r="CT238" s="521">
        <v>2.7595322265624995</v>
      </c>
      <c r="CU238" s="521">
        <v>2.8285205322265621</v>
      </c>
      <c r="CV238" s="521">
        <v>2.8992335455322262</v>
      </c>
      <c r="CW238" s="521">
        <v>2.9717143841705318</v>
      </c>
      <c r="CX238" s="521">
        <v>2.5</v>
      </c>
      <c r="CY238" s="521">
        <v>2.5625</v>
      </c>
      <c r="CZ238" s="521">
        <v>2.6265624999999999</v>
      </c>
      <c r="DA238" s="522">
        <v>2.6922265624999997</v>
      </c>
      <c r="DB238" s="523">
        <v>0.22964363755892858</v>
      </c>
      <c r="DC238" s="524">
        <v>0.36194221037797991</v>
      </c>
      <c r="DD238" s="524">
        <v>0.40462431159584145</v>
      </c>
      <c r="DE238" s="524">
        <v>0.45225457488933896</v>
      </c>
      <c r="DF238" s="524">
        <v>0.50539949335363099</v>
      </c>
      <c r="DG238" s="524">
        <v>0.56468902529166298</v>
      </c>
      <c r="DH238" s="524">
        <v>0.6308231063462979</v>
      </c>
      <c r="DI238" s="524">
        <v>0.70457854761437355</v>
      </c>
      <c r="DJ238" s="524">
        <v>0.72309971803963213</v>
      </c>
      <c r="DK238" s="524">
        <v>0.30707050821074322</v>
      </c>
      <c r="DL238" s="524">
        <v>9.5827025635220053E-4</v>
      </c>
      <c r="DM238" s="524">
        <v>1.0879574340210141E-3</v>
      </c>
      <c r="DN238" s="524">
        <v>1.2339974586068614E-3</v>
      </c>
      <c r="DO238" s="524">
        <v>1.398365686203551E-3</v>
      </c>
      <c r="DP238" s="524">
        <v>1.5832693452764168E-3</v>
      </c>
      <c r="DQ238" s="524">
        <v>1.7911742123564167E-3</v>
      </c>
      <c r="DR238" s="524">
        <v>-3.9492144317351929E-2</v>
      </c>
      <c r="DS238" s="524">
        <v>9.9559205792838057E-2</v>
      </c>
      <c r="DT238" s="524">
        <v>-2.4566224059263675E-3</v>
      </c>
      <c r="DU238" s="525">
        <v>-2.7913618316324218E-3</v>
      </c>
      <c r="DV238" s="526">
        <v>4.3</v>
      </c>
      <c r="DW238" s="507">
        <v>3</v>
      </c>
      <c r="DX238" s="509">
        <v>9.74</v>
      </c>
      <c r="DY238" s="507">
        <v>6</v>
      </c>
      <c r="DZ238" s="507">
        <v>15</v>
      </c>
      <c r="EA238" s="507">
        <v>0</v>
      </c>
      <c r="EB238" s="507">
        <v>0</v>
      </c>
      <c r="EC238" s="507">
        <v>1786.0000000000002</v>
      </c>
      <c r="ED238" s="507">
        <v>1635.0000000000002</v>
      </c>
      <c r="EE238" s="507">
        <v>0</v>
      </c>
      <c r="EF238" s="507">
        <v>400.99999999999994</v>
      </c>
      <c r="EG238" s="507">
        <v>469</v>
      </c>
      <c r="EH238" s="507">
        <v>205</v>
      </c>
      <c r="EI238" s="507">
        <v>267</v>
      </c>
      <c r="EJ238" s="507">
        <v>903</v>
      </c>
      <c r="EK238" s="507">
        <v>167</v>
      </c>
      <c r="EL238" s="507">
        <v>167</v>
      </c>
      <c r="EM238" s="508">
        <v>6000</v>
      </c>
    </row>
    <row r="239" spans="2:143" x14ac:dyDescent="0.25">
      <c r="B239" s="506" t="str">
        <f>[1]RONET_Input!J210</f>
        <v>214tt00103</v>
      </c>
      <c r="C239" s="359">
        <f>[1]RONET_Input!B210</f>
        <v>208</v>
      </c>
      <c r="D239" s="397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442">
        <f>[1]RONET_Input!K210</f>
        <v>1.58316649789</v>
      </c>
      <c r="Q239" s="398">
        <f>[1]RONET_Input!Y210</f>
        <v>1</v>
      </c>
      <c r="R239" s="398">
        <f>[1]RONET_Input!X210</f>
        <v>3.4</v>
      </c>
      <c r="S239" s="398"/>
      <c r="T239" s="398"/>
      <c r="U239" s="398">
        <f>[1]RONET_Input!AA210</f>
        <v>8</v>
      </c>
      <c r="V239" s="398">
        <f>[1]RONET_Input!AC210</f>
        <v>1</v>
      </c>
      <c r="W239" s="398">
        <f>[1]RONET_Input!AD210</f>
        <v>1</v>
      </c>
      <c r="X239" s="398">
        <f>[1]RONET_Input!AE210</f>
        <v>4</v>
      </c>
      <c r="Y239" s="398">
        <f>[1]RONET_Input!AB210</f>
        <v>1</v>
      </c>
      <c r="Z239" s="438">
        <f>[1]RONET_Input!Z210</f>
        <v>1</v>
      </c>
      <c r="AA239" s="442"/>
      <c r="AB239" s="398"/>
      <c r="AC239" s="438"/>
      <c r="AD239" s="442">
        <f>[1]RONET_Input!AH210</f>
        <v>4</v>
      </c>
      <c r="AE239" s="398">
        <f>[1]RONET_Input!D210</f>
        <v>10.275</v>
      </c>
      <c r="AF239" s="398"/>
      <c r="AG239" s="398"/>
      <c r="AH239" s="398"/>
      <c r="AI239" s="438"/>
      <c r="AJ239" s="442">
        <v>1</v>
      </c>
      <c r="AK239" s="442">
        <f>[1]RONET_Input!AF210</f>
        <v>4</v>
      </c>
      <c r="AL239" s="507"/>
      <c r="AM239" s="507"/>
      <c r="AN239" s="507"/>
      <c r="AO239" s="507"/>
      <c r="AP239" s="507"/>
      <c r="AQ239" s="507"/>
      <c r="AR239" s="507"/>
      <c r="AS239" s="507"/>
      <c r="AT239" s="507"/>
      <c r="AU239" s="507"/>
      <c r="AV239" s="507"/>
      <c r="AW239" s="507"/>
      <c r="AX239" s="508"/>
      <c r="AY239" s="509">
        <f>[1]RONET_Input!AG210</f>
        <v>3</v>
      </c>
      <c r="AZ239" s="359" t="s">
        <v>321</v>
      </c>
      <c r="BA239" s="360" t="s">
        <v>502</v>
      </c>
      <c r="BB239" s="360" t="s">
        <v>443</v>
      </c>
      <c r="BC239" s="510">
        <v>7.6973555127411802E-2</v>
      </c>
      <c r="BD239" s="510">
        <v>4.8620000000000003E-2</v>
      </c>
      <c r="BE239" s="438">
        <v>5</v>
      </c>
      <c r="BF239" s="511">
        <v>0.77927469143675898</v>
      </c>
      <c r="BG239" s="512">
        <v>0.49222535499289211</v>
      </c>
      <c r="BH239" s="512">
        <v>10.123927498825424</v>
      </c>
      <c r="BI239" s="513">
        <v>0</v>
      </c>
      <c r="BJ239" s="514">
        <v>375</v>
      </c>
      <c r="BK239" s="515">
        <v>0.22366666666666665</v>
      </c>
      <c r="BL239" s="512">
        <v>0.21669591439869376</v>
      </c>
      <c r="BM239" s="516">
        <v>6.4108143749999999E-2</v>
      </c>
      <c r="BN239" s="517">
        <v>375</v>
      </c>
      <c r="BO239" s="518">
        <v>397.50000000000011</v>
      </c>
      <c r="BP239" s="518">
        <v>421.34999999999991</v>
      </c>
      <c r="BQ239" s="518">
        <v>446.63099999999997</v>
      </c>
      <c r="BR239" s="518">
        <v>473.42885999999999</v>
      </c>
      <c r="BS239" s="518">
        <v>501.83459160000012</v>
      </c>
      <c r="BT239" s="518">
        <v>531.9446670960001</v>
      </c>
      <c r="BU239" s="518">
        <v>563.86134712175999</v>
      </c>
      <c r="BV239" s="518">
        <v>597.69302794906582</v>
      </c>
      <c r="BW239" s="518">
        <v>633.55460962600955</v>
      </c>
      <c r="BX239" s="518">
        <v>671.56788620357008</v>
      </c>
      <c r="BY239" s="518">
        <v>711.86195937578441</v>
      </c>
      <c r="BZ239" s="518">
        <v>754.57367693833146</v>
      </c>
      <c r="CA239" s="518">
        <v>799.84809755463141</v>
      </c>
      <c r="CB239" s="518">
        <v>847.83898340790915</v>
      </c>
      <c r="CC239" s="518">
        <v>898.70932241238381</v>
      </c>
      <c r="CD239" s="518">
        <v>952.63188175712685</v>
      </c>
      <c r="CE239" s="518">
        <v>1009.7897946625544</v>
      </c>
      <c r="CF239" s="518">
        <v>1070.3771823423076</v>
      </c>
      <c r="CG239" s="519">
        <v>1134.5998132828461</v>
      </c>
      <c r="CH239" s="520">
        <v>10.275</v>
      </c>
      <c r="CI239" s="521">
        <v>10.480500000000001</v>
      </c>
      <c r="CJ239" s="521">
        <v>10.690110000000001</v>
      </c>
      <c r="CK239" s="521">
        <v>10.903912200000001</v>
      </c>
      <c r="CL239" s="521">
        <v>2.5</v>
      </c>
      <c r="CM239" s="521">
        <v>2.5499999999999998</v>
      </c>
      <c r="CN239" s="521">
        <v>2.601</v>
      </c>
      <c r="CO239" s="521">
        <v>2.6530200000000002</v>
      </c>
      <c r="CP239" s="521">
        <v>2.7060804000000003</v>
      </c>
      <c r="CQ239" s="521">
        <v>2.7602020080000003</v>
      </c>
      <c r="CR239" s="521">
        <v>2.8154060481600003</v>
      </c>
      <c r="CS239" s="521">
        <v>2.8717141691232002</v>
      </c>
      <c r="CT239" s="521">
        <v>2.5</v>
      </c>
      <c r="CU239" s="521">
        <v>2.5499999999999998</v>
      </c>
      <c r="CV239" s="521">
        <v>2.601</v>
      </c>
      <c r="CW239" s="521">
        <v>2.6530200000000002</v>
      </c>
      <c r="CX239" s="521">
        <v>2.7060804000000003</v>
      </c>
      <c r="CY239" s="521">
        <v>2.7602020080000003</v>
      </c>
      <c r="CZ239" s="521">
        <v>2.8154060481600003</v>
      </c>
      <c r="DA239" s="522">
        <v>2.8717141691232002</v>
      </c>
      <c r="DB239" s="523">
        <v>0</v>
      </c>
      <c r="DC239" s="524">
        <v>0</v>
      </c>
      <c r="DD239" s="524">
        <v>0</v>
      </c>
      <c r="DE239" s="524">
        <v>0</v>
      </c>
      <c r="DF239" s="524">
        <v>-3.5444481463598215E-2</v>
      </c>
      <c r="DG239" s="524">
        <v>3.8111242115915628E-2</v>
      </c>
      <c r="DH239" s="524">
        <v>4.197534326939617E-2</v>
      </c>
      <c r="DI239" s="524">
        <v>4.6229219410844818E-2</v>
      </c>
      <c r="DJ239" s="524">
        <v>5.0911772803665684E-2</v>
      </c>
      <c r="DK239" s="524">
        <v>1.0848173058835582</v>
      </c>
      <c r="DL239" s="524">
        <v>4.7424022282052947E-3</v>
      </c>
      <c r="DM239" s="524">
        <v>4.7363019012764129E-3</v>
      </c>
      <c r="DN239" s="524">
        <v>-6.4227723485113575E-2</v>
      </c>
      <c r="DO239" s="524">
        <v>5.9028867994024847E-3</v>
      </c>
      <c r="DP239" s="524">
        <v>5.9840656957626526E-3</v>
      </c>
      <c r="DQ239" s="524">
        <v>6.0607324458755163E-3</v>
      </c>
      <c r="DR239" s="524">
        <v>6.1317342456307378E-3</v>
      </c>
      <c r="DS239" s="524">
        <v>0.15106828029421537</v>
      </c>
      <c r="DT239" s="524">
        <v>6.9950438423581063E-3</v>
      </c>
      <c r="DU239" s="525">
        <v>7.1336680429279764E-3</v>
      </c>
      <c r="DV239" s="526">
        <v>3.4</v>
      </c>
      <c r="DW239" s="507">
        <v>1</v>
      </c>
      <c r="DX239" s="509">
        <v>10.275</v>
      </c>
      <c r="DY239" s="507">
        <v>2</v>
      </c>
      <c r="DZ239" s="507">
        <v>15</v>
      </c>
      <c r="EA239" s="507">
        <v>0</v>
      </c>
      <c r="EB239" s="507">
        <v>0</v>
      </c>
      <c r="EC239" s="507">
        <v>111.62500000000001</v>
      </c>
      <c r="ED239" s="507">
        <v>102.18750000000001</v>
      </c>
      <c r="EE239" s="507">
        <v>0</v>
      </c>
      <c r="EF239" s="507">
        <v>25.062499999999996</v>
      </c>
      <c r="EG239" s="507">
        <v>29.3125</v>
      </c>
      <c r="EH239" s="507">
        <v>12.8125</v>
      </c>
      <c r="EI239" s="507">
        <v>16.6875</v>
      </c>
      <c r="EJ239" s="507">
        <v>56.4375</v>
      </c>
      <c r="EK239" s="507">
        <v>10.4375</v>
      </c>
      <c r="EL239" s="507">
        <v>10.4375</v>
      </c>
      <c r="EM239" s="508">
        <v>375</v>
      </c>
    </row>
    <row r="240" spans="2:143" x14ac:dyDescent="0.25">
      <c r="B240" s="506" t="str">
        <f>[1]RONET_Input!J211</f>
        <v xml:space="preserve">Input VPROMMS: 217B_1 (50.41 pct); 217b_1 (49.59 pct); </v>
      </c>
      <c r="C240" s="359">
        <f>[1]RONET_Input!B211</f>
        <v>209</v>
      </c>
      <c r="D240" s="397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442">
        <f>[1]RONET_Input!K211</f>
        <v>3.01411723961</v>
      </c>
      <c r="Q240" s="398">
        <f>[1]RONET_Input!Y211</f>
        <v>2</v>
      </c>
      <c r="R240" s="398">
        <f>[1]RONET_Input!X211</f>
        <v>3.5</v>
      </c>
      <c r="S240" s="398"/>
      <c r="T240" s="398"/>
      <c r="U240" s="398">
        <f>[1]RONET_Input!AA211</f>
        <v>8</v>
      </c>
      <c r="V240" s="398">
        <f>[1]RONET_Input!AC211</f>
        <v>1</v>
      </c>
      <c r="W240" s="398">
        <f>[1]RONET_Input!AD211</f>
        <v>1</v>
      </c>
      <c r="X240" s="398">
        <f>[1]RONET_Input!AE211</f>
        <v>4</v>
      </c>
      <c r="Y240" s="398">
        <f>[1]RONET_Input!AB211</f>
        <v>1</v>
      </c>
      <c r="Z240" s="438">
        <f>[1]RONET_Input!Z211</f>
        <v>1</v>
      </c>
      <c r="AA240" s="442"/>
      <c r="AB240" s="398"/>
      <c r="AC240" s="438"/>
      <c r="AD240" s="442">
        <f>[1]RONET_Input!AH211</f>
        <v>2</v>
      </c>
      <c r="AE240" s="398">
        <f>[1]RONET_Input!D211</f>
        <v>5.72</v>
      </c>
      <c r="AF240" s="398"/>
      <c r="AG240" s="398"/>
      <c r="AH240" s="398"/>
      <c r="AI240" s="438"/>
      <c r="AJ240" s="442">
        <v>1</v>
      </c>
      <c r="AK240" s="442">
        <f>[1]RONET_Input!AF211</f>
        <v>4</v>
      </c>
      <c r="AL240" s="507"/>
      <c r="AM240" s="507"/>
      <c r="AN240" s="507"/>
      <c r="AO240" s="507"/>
      <c r="AP240" s="507"/>
      <c r="AQ240" s="507"/>
      <c r="AR240" s="507"/>
      <c r="AS240" s="507"/>
      <c r="AT240" s="507"/>
      <c r="AU240" s="507"/>
      <c r="AV240" s="507"/>
      <c r="AW240" s="507"/>
      <c r="AX240" s="508"/>
      <c r="AY240" s="509">
        <f>[1]RONET_Input!AG211</f>
        <v>3</v>
      </c>
      <c r="AZ240" s="359" t="s">
        <v>321</v>
      </c>
      <c r="BA240" s="360" t="s">
        <v>502</v>
      </c>
      <c r="BB240" s="360" t="s">
        <v>443</v>
      </c>
      <c r="BC240" s="510">
        <v>0.15085656784248053</v>
      </c>
      <c r="BD240" s="510">
        <v>5.0050000000000011E-2</v>
      </c>
      <c r="BE240" s="438">
        <v>5</v>
      </c>
      <c r="BF240" s="511">
        <v>1.2222530335594979</v>
      </c>
      <c r="BG240" s="512">
        <v>0.40550945314842718</v>
      </c>
      <c r="BH240" s="512">
        <v>8.1020869759925489</v>
      </c>
      <c r="BI240" s="513">
        <v>0</v>
      </c>
      <c r="BJ240" s="514">
        <v>375</v>
      </c>
      <c r="BK240" s="515">
        <v>0.22366666666666665</v>
      </c>
      <c r="BL240" s="512">
        <v>0.41255729717161871</v>
      </c>
      <c r="BM240" s="516">
        <v>3.2054071874999999E-2</v>
      </c>
      <c r="BN240" s="517">
        <v>375</v>
      </c>
      <c r="BO240" s="518">
        <v>397.50000000000011</v>
      </c>
      <c r="BP240" s="518">
        <v>421.34999999999991</v>
      </c>
      <c r="BQ240" s="518">
        <v>446.63099999999997</v>
      </c>
      <c r="BR240" s="518">
        <v>473.42885999999999</v>
      </c>
      <c r="BS240" s="518">
        <v>501.83459160000012</v>
      </c>
      <c r="BT240" s="518">
        <v>531.9446670960001</v>
      </c>
      <c r="BU240" s="518">
        <v>563.86134712175999</v>
      </c>
      <c r="BV240" s="518">
        <v>597.69302794906582</v>
      </c>
      <c r="BW240" s="518">
        <v>633.55460962600955</v>
      </c>
      <c r="BX240" s="518">
        <v>671.56788620357008</v>
      </c>
      <c r="BY240" s="518">
        <v>711.86195937578441</v>
      </c>
      <c r="BZ240" s="518">
        <v>754.57367693833146</v>
      </c>
      <c r="CA240" s="518">
        <v>799.84809755463141</v>
      </c>
      <c r="CB240" s="518">
        <v>847.83898340790915</v>
      </c>
      <c r="CC240" s="518">
        <v>898.70932241238381</v>
      </c>
      <c r="CD240" s="518">
        <v>952.63188175712685</v>
      </c>
      <c r="CE240" s="518">
        <v>1009.7897946625544</v>
      </c>
      <c r="CF240" s="518">
        <v>1070.3771823423076</v>
      </c>
      <c r="CG240" s="519">
        <v>1134.5998132828461</v>
      </c>
      <c r="CH240" s="520">
        <v>5.72</v>
      </c>
      <c r="CI240" s="521">
        <v>5.8343999999999996</v>
      </c>
      <c r="CJ240" s="521">
        <v>5.9510879999999995</v>
      </c>
      <c r="CK240" s="521">
        <v>6.0701097599999994</v>
      </c>
      <c r="CL240" s="521">
        <v>2.5</v>
      </c>
      <c r="CM240" s="521">
        <v>2.5499999999999998</v>
      </c>
      <c r="CN240" s="521">
        <v>2.601</v>
      </c>
      <c r="CO240" s="521">
        <v>2.6530200000000002</v>
      </c>
      <c r="CP240" s="521">
        <v>2.7060804000000003</v>
      </c>
      <c r="CQ240" s="521">
        <v>2.7602020080000003</v>
      </c>
      <c r="CR240" s="521">
        <v>2.8154060481600003</v>
      </c>
      <c r="CS240" s="521">
        <v>2.8717141691232002</v>
      </c>
      <c r="CT240" s="521">
        <v>2.5</v>
      </c>
      <c r="CU240" s="521">
        <v>2.5499999999999998</v>
      </c>
      <c r="CV240" s="521">
        <v>2.601</v>
      </c>
      <c r="CW240" s="521">
        <v>2.6530200000000002</v>
      </c>
      <c r="CX240" s="521">
        <v>2.7060804000000003</v>
      </c>
      <c r="CY240" s="521">
        <v>2.7602020080000003</v>
      </c>
      <c r="CZ240" s="521">
        <v>2.8154060481600003</v>
      </c>
      <c r="DA240" s="522">
        <v>2.8717141691232002</v>
      </c>
      <c r="DB240" s="523">
        <v>0</v>
      </c>
      <c r="DC240" s="524">
        <v>0</v>
      </c>
      <c r="DD240" s="524">
        <v>0</v>
      </c>
      <c r="DE240" s="524">
        <v>0</v>
      </c>
      <c r="DF240" s="524">
        <v>-0.12061914814140323</v>
      </c>
      <c r="DG240" s="524">
        <v>1.8430493332790177E-2</v>
      </c>
      <c r="DH240" s="524">
        <v>2.0385737298891204E-2</v>
      </c>
      <c r="DI240" s="524">
        <v>2.2545191662364572E-2</v>
      </c>
      <c r="DJ240" s="524">
        <v>2.4929950690270208E-2</v>
      </c>
      <c r="DK240" s="524">
        <v>2.0569522909152322</v>
      </c>
      <c r="DL240" s="524">
        <v>5.1867528267413032E-4</v>
      </c>
      <c r="DM240" s="524">
        <v>3.7360955834597753E-4</v>
      </c>
      <c r="DN240" s="524">
        <v>-0.13537550338526605</v>
      </c>
      <c r="DO240" s="524">
        <v>1.8929711560559115E-3</v>
      </c>
      <c r="DP240" s="524">
        <v>1.8687783148321757E-3</v>
      </c>
      <c r="DQ240" s="524">
        <v>1.8293540709325984E-3</v>
      </c>
      <c r="DR240" s="524">
        <v>1.7724110979644991E-3</v>
      </c>
      <c r="DS240" s="524">
        <v>0.27751144651420323</v>
      </c>
      <c r="DT240" s="524">
        <v>3.0112989100534726E-3</v>
      </c>
      <c r="DU240" s="525">
        <v>3.062517526011721E-3</v>
      </c>
      <c r="DV240" s="526">
        <v>3.5</v>
      </c>
      <c r="DW240" s="507">
        <v>1</v>
      </c>
      <c r="DX240" s="509">
        <v>5.72</v>
      </c>
      <c r="DY240" s="507">
        <v>2</v>
      </c>
      <c r="DZ240" s="507">
        <v>5</v>
      </c>
      <c r="EA240" s="507">
        <v>0</v>
      </c>
      <c r="EB240" s="507">
        <v>0</v>
      </c>
      <c r="EC240" s="507">
        <v>111.62500000000001</v>
      </c>
      <c r="ED240" s="507">
        <v>102.18750000000001</v>
      </c>
      <c r="EE240" s="507">
        <v>0</v>
      </c>
      <c r="EF240" s="507">
        <v>25.062499999999996</v>
      </c>
      <c r="EG240" s="507">
        <v>29.3125</v>
      </c>
      <c r="EH240" s="507">
        <v>12.8125</v>
      </c>
      <c r="EI240" s="507">
        <v>16.6875</v>
      </c>
      <c r="EJ240" s="507">
        <v>56.4375</v>
      </c>
      <c r="EK240" s="507">
        <v>10.4375</v>
      </c>
      <c r="EL240" s="507">
        <v>10.4375</v>
      </c>
      <c r="EM240" s="508">
        <v>375</v>
      </c>
    </row>
    <row r="241" spans="2:143" x14ac:dyDescent="0.25">
      <c r="B241" s="506" t="str">
        <f>[1]RONET_Input!J212</f>
        <v xml:space="preserve">Input VPROMMS: 212TH00036 (74.27 pct); 212th00034 (25.73 pct); </v>
      </c>
      <c r="C241" s="359">
        <f>[1]RONET_Input!B212</f>
        <v>210</v>
      </c>
      <c r="D241" s="397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442">
        <f>[1]RONET_Input!K212</f>
        <v>1.9136808566500001</v>
      </c>
      <c r="Q241" s="398">
        <f>[1]RONET_Input!Y212</f>
        <v>2</v>
      </c>
      <c r="R241" s="398">
        <f>[1]RONET_Input!X212</f>
        <v>3.5</v>
      </c>
      <c r="S241" s="398"/>
      <c r="T241" s="398"/>
      <c r="U241" s="398">
        <f>[1]RONET_Input!AA212</f>
        <v>8</v>
      </c>
      <c r="V241" s="398">
        <f>[1]RONET_Input!AC212</f>
        <v>1</v>
      </c>
      <c r="W241" s="398">
        <f>[1]RONET_Input!AD212</f>
        <v>1</v>
      </c>
      <c r="X241" s="398">
        <f>[1]RONET_Input!AE212</f>
        <v>4</v>
      </c>
      <c r="Y241" s="398">
        <f>[1]RONET_Input!AB212</f>
        <v>1</v>
      </c>
      <c r="Z241" s="438">
        <f>[1]RONET_Input!Z212</f>
        <v>1</v>
      </c>
      <c r="AA241" s="442"/>
      <c r="AB241" s="398"/>
      <c r="AC241" s="438"/>
      <c r="AD241" s="442">
        <f>[1]RONET_Input!AH212</f>
        <v>4</v>
      </c>
      <c r="AE241" s="398">
        <f>[1]RONET_Input!D212</f>
        <v>11.195</v>
      </c>
      <c r="AF241" s="398"/>
      <c r="AG241" s="398"/>
      <c r="AH241" s="398"/>
      <c r="AI241" s="438"/>
      <c r="AJ241" s="442">
        <v>1</v>
      </c>
      <c r="AK241" s="442">
        <f>[1]RONET_Input!AF212</f>
        <v>4</v>
      </c>
      <c r="AL241" s="507"/>
      <c r="AM241" s="507"/>
      <c r="AN241" s="507"/>
      <c r="AO241" s="507"/>
      <c r="AP241" s="507"/>
      <c r="AQ241" s="507"/>
      <c r="AR241" s="507"/>
      <c r="AS241" s="507"/>
      <c r="AT241" s="507"/>
      <c r="AU241" s="507"/>
      <c r="AV241" s="507"/>
      <c r="AW241" s="507"/>
      <c r="AX241" s="508"/>
      <c r="AY241" s="509">
        <f>[1]RONET_Input!AG212</f>
        <v>3</v>
      </c>
      <c r="AZ241" s="359" t="s">
        <v>321</v>
      </c>
      <c r="BA241" s="360" t="s">
        <v>502</v>
      </c>
      <c r="BB241" s="360" t="s">
        <v>443</v>
      </c>
      <c r="BC241" s="510">
        <v>9.5779726875332497E-2</v>
      </c>
      <c r="BD241" s="510">
        <v>5.0049999999999997E-2</v>
      </c>
      <c r="BE241" s="438">
        <v>1</v>
      </c>
      <c r="BF241" s="511">
        <v>1.0103252599708377</v>
      </c>
      <c r="BG241" s="512">
        <v>0.52794866837904497</v>
      </c>
      <c r="BH241" s="512">
        <v>10.548424942638263</v>
      </c>
      <c r="BI241" s="513">
        <v>0</v>
      </c>
      <c r="BJ241" s="514">
        <v>375</v>
      </c>
      <c r="BK241" s="515">
        <v>0.22366666666666665</v>
      </c>
      <c r="BL241" s="512">
        <v>0.2619350672539687</v>
      </c>
      <c r="BM241" s="516">
        <v>3.2054071874999999E-2</v>
      </c>
      <c r="BN241" s="517">
        <v>375</v>
      </c>
      <c r="BO241" s="518">
        <v>397.50000000000011</v>
      </c>
      <c r="BP241" s="518">
        <v>421.34999999999991</v>
      </c>
      <c r="BQ241" s="518">
        <v>446.63099999999997</v>
      </c>
      <c r="BR241" s="518">
        <v>473.42885999999999</v>
      </c>
      <c r="BS241" s="518">
        <v>501.83459160000012</v>
      </c>
      <c r="BT241" s="518">
        <v>531.9446670960001</v>
      </c>
      <c r="BU241" s="518">
        <v>563.86134712175999</v>
      </c>
      <c r="BV241" s="518">
        <v>597.69302794906582</v>
      </c>
      <c r="BW241" s="518">
        <v>633.55460962600955</v>
      </c>
      <c r="BX241" s="518">
        <v>671.56788620357008</v>
      </c>
      <c r="BY241" s="518">
        <v>711.86195937578441</v>
      </c>
      <c r="BZ241" s="518">
        <v>754.57367693833146</v>
      </c>
      <c r="CA241" s="518">
        <v>799.84809755463141</v>
      </c>
      <c r="CB241" s="518">
        <v>847.83898340790915</v>
      </c>
      <c r="CC241" s="518">
        <v>898.70932241238381</v>
      </c>
      <c r="CD241" s="518">
        <v>952.63188175712685</v>
      </c>
      <c r="CE241" s="518">
        <v>1009.7897946625544</v>
      </c>
      <c r="CF241" s="518">
        <v>1070.3771823423076</v>
      </c>
      <c r="CG241" s="519">
        <v>1134.5998132828461</v>
      </c>
      <c r="CH241" s="520">
        <v>2.5</v>
      </c>
      <c r="CI241" s="521">
        <v>2.5499999999999998</v>
      </c>
      <c r="CJ241" s="521">
        <v>2.601</v>
      </c>
      <c r="CK241" s="521">
        <v>2.6530200000000002</v>
      </c>
      <c r="CL241" s="521">
        <v>2.7060804000000003</v>
      </c>
      <c r="CM241" s="521">
        <v>2.7602020080000003</v>
      </c>
      <c r="CN241" s="521">
        <v>2.8154060481600003</v>
      </c>
      <c r="CO241" s="521">
        <v>2.8717141691232002</v>
      </c>
      <c r="CP241" s="521">
        <v>2.5</v>
      </c>
      <c r="CQ241" s="521">
        <v>2.5499999999999998</v>
      </c>
      <c r="CR241" s="521">
        <v>2.601</v>
      </c>
      <c r="CS241" s="521">
        <v>2.6530200000000002</v>
      </c>
      <c r="CT241" s="521">
        <v>2.7060804000000003</v>
      </c>
      <c r="CU241" s="521">
        <v>2.7602020080000003</v>
      </c>
      <c r="CV241" s="521">
        <v>2.8154060481600003</v>
      </c>
      <c r="CW241" s="521">
        <v>2.8717141691232002</v>
      </c>
      <c r="CX241" s="521">
        <v>2.5</v>
      </c>
      <c r="CY241" s="521">
        <v>2.5499999999999998</v>
      </c>
      <c r="CZ241" s="521">
        <v>2.601</v>
      </c>
      <c r="DA241" s="522">
        <v>2.6530200000000002</v>
      </c>
      <c r="DB241" s="523">
        <v>-5.4940612969193392E-2</v>
      </c>
      <c r="DC241" s="524">
        <v>3.5561894339760175E-2</v>
      </c>
      <c r="DD241" s="524">
        <v>3.9248746301720233E-2</v>
      </c>
      <c r="DE241" s="524">
        <v>4.3314424993822431E-2</v>
      </c>
      <c r="DF241" s="524">
        <v>4.779726961408029E-2</v>
      </c>
      <c r="DG241" s="524">
        <v>5.2739309304689674E-2</v>
      </c>
      <c r="DH241" s="524">
        <v>5.8186549018713174E-2</v>
      </c>
      <c r="DI241" s="524">
        <v>6.418925231935424E-2</v>
      </c>
      <c r="DJ241" s="524">
        <v>-1.5501340003292063E-2</v>
      </c>
      <c r="DK241" s="524">
        <v>1.3064017117018341</v>
      </c>
      <c r="DL241" s="524">
        <v>8.083036414570921E-4</v>
      </c>
      <c r="DM241" s="524">
        <v>7.6992911256559826E-4</v>
      </c>
      <c r="DN241" s="524">
        <v>7.2044938249973822E-4</v>
      </c>
      <c r="DO241" s="524">
        <v>6.5831137479760438E-4</v>
      </c>
      <c r="DP241" s="524">
        <v>5.817799697170889E-4</v>
      </c>
      <c r="DQ241" s="524">
        <v>4.8891821860974627E-4</v>
      </c>
      <c r="DR241" s="524">
        <v>-8.5417650296963077E-2</v>
      </c>
      <c r="DS241" s="524">
        <v>0.17687987402402444</v>
      </c>
      <c r="DT241" s="524">
        <v>2.6753345698327657E-3</v>
      </c>
      <c r="DU241" s="525">
        <v>2.7934887293761812E-3</v>
      </c>
      <c r="DV241" s="526">
        <v>3.5</v>
      </c>
      <c r="DW241" s="507">
        <v>1</v>
      </c>
      <c r="DX241" s="509">
        <v>11.195</v>
      </c>
      <c r="DY241" s="507">
        <v>2</v>
      </c>
      <c r="DZ241" s="507">
        <v>15</v>
      </c>
      <c r="EA241" s="507">
        <v>0</v>
      </c>
      <c r="EB241" s="507">
        <v>0</v>
      </c>
      <c r="EC241" s="507">
        <v>111.62500000000001</v>
      </c>
      <c r="ED241" s="507">
        <v>102.18750000000001</v>
      </c>
      <c r="EE241" s="507">
        <v>0</v>
      </c>
      <c r="EF241" s="507">
        <v>25.062499999999996</v>
      </c>
      <c r="EG241" s="507">
        <v>29.3125</v>
      </c>
      <c r="EH241" s="507">
        <v>12.8125</v>
      </c>
      <c r="EI241" s="507">
        <v>16.6875</v>
      </c>
      <c r="EJ241" s="507">
        <v>56.4375</v>
      </c>
      <c r="EK241" s="507">
        <v>10.4375</v>
      </c>
      <c r="EL241" s="507">
        <v>10.4375</v>
      </c>
      <c r="EM241" s="508">
        <v>375</v>
      </c>
    </row>
    <row r="242" spans="2:143" x14ac:dyDescent="0.25">
      <c r="B242" s="506" t="str">
        <f>[1]RONET_Input!J213</f>
        <v xml:space="preserve">Input VPROMMS: 212th00023 (40.0 pct); 214tt00012 (39.02 pct); 213TT00006 (20.0 pct); 214tt00092 (0.98 pct); </v>
      </c>
      <c r="C242" s="359">
        <f>[1]RONET_Input!B213</f>
        <v>211</v>
      </c>
      <c r="D242" s="397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442">
        <f>[1]RONET_Input!K213</f>
        <v>3.4622302651400001</v>
      </c>
      <c r="Q242" s="398">
        <f>[1]RONET_Input!Y213</f>
        <v>2</v>
      </c>
      <c r="R242" s="398">
        <f>[1]RONET_Input!X213</f>
        <v>3.5</v>
      </c>
      <c r="S242" s="398"/>
      <c r="T242" s="398"/>
      <c r="U242" s="398">
        <f>[1]RONET_Input!AA213</f>
        <v>8</v>
      </c>
      <c r="V242" s="398">
        <f>[1]RONET_Input!AC213</f>
        <v>1</v>
      </c>
      <c r="W242" s="398">
        <f>[1]RONET_Input!AD213</f>
        <v>1</v>
      </c>
      <c r="X242" s="398">
        <f>[1]RONET_Input!AE213</f>
        <v>4</v>
      </c>
      <c r="Y242" s="398">
        <f>[1]RONET_Input!AB213</f>
        <v>1</v>
      </c>
      <c r="Z242" s="438">
        <f>[1]RONET_Input!Z213</f>
        <v>1</v>
      </c>
      <c r="AA242" s="442"/>
      <c r="AB242" s="398"/>
      <c r="AC242" s="438"/>
      <c r="AD242" s="442">
        <f>[1]RONET_Input!AH213</f>
        <v>4</v>
      </c>
      <c r="AE242" s="398">
        <f>[1]RONET_Input!D213</f>
        <v>9.1199999999999992</v>
      </c>
      <c r="AF242" s="398"/>
      <c r="AG242" s="398"/>
      <c r="AH242" s="398"/>
      <c r="AI242" s="438"/>
      <c r="AJ242" s="442">
        <v>1</v>
      </c>
      <c r="AK242" s="442">
        <f>[1]RONET_Input!AF213</f>
        <v>4</v>
      </c>
      <c r="AL242" s="507"/>
      <c r="AM242" s="507"/>
      <c r="AN242" s="507"/>
      <c r="AO242" s="507"/>
      <c r="AP242" s="507"/>
      <c r="AQ242" s="507"/>
      <c r="AR242" s="507"/>
      <c r="AS242" s="507"/>
      <c r="AT242" s="507"/>
      <c r="AU242" s="507"/>
      <c r="AV242" s="507"/>
      <c r="AW242" s="507"/>
      <c r="AX242" s="508"/>
      <c r="AY242" s="509">
        <f>[1]RONET_Input!AG213</f>
        <v>3</v>
      </c>
      <c r="AZ242" s="359" t="s">
        <v>321</v>
      </c>
      <c r="BA242" s="360" t="s">
        <v>502</v>
      </c>
      <c r="BB242" s="360" t="s">
        <v>443</v>
      </c>
      <c r="BC242" s="510">
        <v>0.17328462477025702</v>
      </c>
      <c r="BD242" s="510">
        <v>5.0050000000000004E-2</v>
      </c>
      <c r="BE242" s="438">
        <v>5</v>
      </c>
      <c r="BF242" s="511">
        <v>1.5628846836426511</v>
      </c>
      <c r="BG242" s="512">
        <v>0.45140980349539334</v>
      </c>
      <c r="BH242" s="512">
        <v>9.0191768930148513</v>
      </c>
      <c r="BI242" s="513">
        <v>0</v>
      </c>
      <c r="BJ242" s="514">
        <v>375</v>
      </c>
      <c r="BK242" s="515">
        <v>0.22366666666666665</v>
      </c>
      <c r="BL242" s="512">
        <v>0.47389276754103754</v>
      </c>
      <c r="BM242" s="516">
        <v>3.2054071874999999E-2</v>
      </c>
      <c r="BN242" s="517">
        <v>375</v>
      </c>
      <c r="BO242" s="518">
        <v>397.50000000000011</v>
      </c>
      <c r="BP242" s="518">
        <v>421.34999999999991</v>
      </c>
      <c r="BQ242" s="518">
        <v>446.63099999999997</v>
      </c>
      <c r="BR242" s="518">
        <v>473.42885999999999</v>
      </c>
      <c r="BS242" s="518">
        <v>501.83459160000012</v>
      </c>
      <c r="BT242" s="518">
        <v>531.9446670960001</v>
      </c>
      <c r="BU242" s="518">
        <v>563.86134712175999</v>
      </c>
      <c r="BV242" s="518">
        <v>597.69302794906582</v>
      </c>
      <c r="BW242" s="518">
        <v>633.55460962600955</v>
      </c>
      <c r="BX242" s="518">
        <v>671.56788620357008</v>
      </c>
      <c r="BY242" s="518">
        <v>711.86195937578441</v>
      </c>
      <c r="BZ242" s="518">
        <v>754.57367693833146</v>
      </c>
      <c r="CA242" s="518">
        <v>799.84809755463141</v>
      </c>
      <c r="CB242" s="518">
        <v>847.83898340790915</v>
      </c>
      <c r="CC242" s="518">
        <v>898.70932241238381</v>
      </c>
      <c r="CD242" s="518">
        <v>952.63188175712685</v>
      </c>
      <c r="CE242" s="518">
        <v>1009.7897946625544</v>
      </c>
      <c r="CF242" s="518">
        <v>1070.3771823423076</v>
      </c>
      <c r="CG242" s="519">
        <v>1134.5998132828461</v>
      </c>
      <c r="CH242" s="520">
        <v>9.1199999999999992</v>
      </c>
      <c r="CI242" s="521">
        <v>9.3023999999999987</v>
      </c>
      <c r="CJ242" s="521">
        <v>9.4884479999999982</v>
      </c>
      <c r="CK242" s="521">
        <v>9.6782169599999985</v>
      </c>
      <c r="CL242" s="521">
        <v>2.5</v>
      </c>
      <c r="CM242" s="521">
        <v>2.5499999999999998</v>
      </c>
      <c r="CN242" s="521">
        <v>2.601</v>
      </c>
      <c r="CO242" s="521">
        <v>2.6530200000000002</v>
      </c>
      <c r="CP242" s="521">
        <v>2.7060804000000003</v>
      </c>
      <c r="CQ242" s="521">
        <v>2.7602020080000003</v>
      </c>
      <c r="CR242" s="521">
        <v>2.8154060481600003</v>
      </c>
      <c r="CS242" s="521">
        <v>2.8717141691232002</v>
      </c>
      <c r="CT242" s="521">
        <v>2.5</v>
      </c>
      <c r="CU242" s="521">
        <v>2.5499999999999998</v>
      </c>
      <c r="CV242" s="521">
        <v>2.601</v>
      </c>
      <c r="CW242" s="521">
        <v>2.6530200000000002</v>
      </c>
      <c r="CX242" s="521">
        <v>2.7060804000000003</v>
      </c>
      <c r="CY242" s="521">
        <v>2.7602020080000003</v>
      </c>
      <c r="CZ242" s="521">
        <v>2.8154060481600003</v>
      </c>
      <c r="DA242" s="522">
        <v>2.8717141691232002</v>
      </c>
      <c r="DB242" s="523">
        <v>0</v>
      </c>
      <c r="DC242" s="524">
        <v>0</v>
      </c>
      <c r="DD242" s="524">
        <v>0</v>
      </c>
      <c r="DE242" s="524">
        <v>0</v>
      </c>
      <c r="DF242" s="524">
        <v>-0.10155317580373691</v>
      </c>
      <c r="DG242" s="524">
        <v>6.1982355974970982E-2</v>
      </c>
      <c r="DH242" s="524">
        <v>6.8432634113900825E-2</v>
      </c>
      <c r="DI242" s="524">
        <v>7.554863595288952E-2</v>
      </c>
      <c r="DJ242" s="524">
        <v>8.3398629447259232E-2</v>
      </c>
      <c r="DK242" s="524">
        <v>2.3627622648405184</v>
      </c>
      <c r="DL242" s="524">
        <v>5.9578746236388369E-4</v>
      </c>
      <c r="DM242" s="524">
        <v>4.2915461391224152E-4</v>
      </c>
      <c r="DN242" s="524">
        <v>-0.1555019688085113</v>
      </c>
      <c r="DO242" s="524">
        <v>2.1744018253190278E-3</v>
      </c>
      <c r="DP242" s="524">
        <v>2.1466122005546762E-3</v>
      </c>
      <c r="DQ242" s="524">
        <v>2.1013266991762869E-3</v>
      </c>
      <c r="DR242" s="524">
        <v>2.0359179347770873E-3</v>
      </c>
      <c r="DS242" s="524">
        <v>0.31876946139247542</v>
      </c>
      <c r="DT242" s="524">
        <v>3.4589929305864908E-3</v>
      </c>
      <c r="DU242" s="525">
        <v>3.5178262898134527E-3</v>
      </c>
      <c r="DV242" s="526">
        <v>3.5</v>
      </c>
      <c r="DW242" s="507">
        <v>1</v>
      </c>
      <c r="DX242" s="509">
        <v>9.1199999999999992</v>
      </c>
      <c r="DY242" s="507">
        <v>2</v>
      </c>
      <c r="DZ242" s="507">
        <v>15</v>
      </c>
      <c r="EA242" s="507">
        <v>0</v>
      </c>
      <c r="EB242" s="507">
        <v>0</v>
      </c>
      <c r="EC242" s="507">
        <v>111.62500000000001</v>
      </c>
      <c r="ED242" s="507">
        <v>102.18750000000001</v>
      </c>
      <c r="EE242" s="507">
        <v>0</v>
      </c>
      <c r="EF242" s="507">
        <v>25.062499999999996</v>
      </c>
      <c r="EG242" s="507">
        <v>29.3125</v>
      </c>
      <c r="EH242" s="507">
        <v>12.8125</v>
      </c>
      <c r="EI242" s="507">
        <v>16.6875</v>
      </c>
      <c r="EJ242" s="507">
        <v>56.4375</v>
      </c>
      <c r="EK242" s="507">
        <v>10.4375</v>
      </c>
      <c r="EL242" s="507">
        <v>10.4375</v>
      </c>
      <c r="EM242" s="508">
        <v>375</v>
      </c>
    </row>
    <row r="243" spans="2:143" x14ac:dyDescent="0.25">
      <c r="B243" s="506" t="str">
        <f>[1]RONET_Input!J214</f>
        <v>214tt00012</v>
      </c>
      <c r="C243" s="359">
        <f>[1]RONET_Input!B214</f>
        <v>212</v>
      </c>
      <c r="D243" s="397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442">
        <f>[1]RONET_Input!K214</f>
        <v>6.5972976545499995E-2</v>
      </c>
      <c r="Q243" s="398">
        <f>[1]RONET_Input!Y214</f>
        <v>1</v>
      </c>
      <c r="R243" s="398">
        <f>[1]RONET_Input!X214</f>
        <v>3.4</v>
      </c>
      <c r="S243" s="398"/>
      <c r="T243" s="398"/>
      <c r="U243" s="398">
        <f>[1]RONET_Input!AA214</f>
        <v>8</v>
      </c>
      <c r="V243" s="398">
        <f>[1]RONET_Input!AC214</f>
        <v>1</v>
      </c>
      <c r="W243" s="398">
        <f>[1]RONET_Input!AD214</f>
        <v>1</v>
      </c>
      <c r="X243" s="398">
        <f>[1]RONET_Input!AE214</f>
        <v>4</v>
      </c>
      <c r="Y243" s="398">
        <f>[1]RONET_Input!AB214</f>
        <v>1</v>
      </c>
      <c r="Z243" s="438">
        <f>[1]RONET_Input!Z214</f>
        <v>1</v>
      </c>
      <c r="AA243" s="442"/>
      <c r="AB243" s="398"/>
      <c r="AC243" s="438"/>
      <c r="AD243" s="442">
        <f>[1]RONET_Input!AH214</f>
        <v>3</v>
      </c>
      <c r="AE243" s="398">
        <f>[1]RONET_Input!D214</f>
        <v>0</v>
      </c>
      <c r="AF243" s="398"/>
      <c r="AG243" s="398"/>
      <c r="AH243" s="398"/>
      <c r="AI243" s="438"/>
      <c r="AJ243" s="442">
        <v>1</v>
      </c>
      <c r="AK243" s="442">
        <f>[1]RONET_Input!AF214</f>
        <v>4</v>
      </c>
      <c r="AL243" s="507"/>
      <c r="AM243" s="507"/>
      <c r="AN243" s="507"/>
      <c r="AO243" s="507"/>
      <c r="AP243" s="507"/>
      <c r="AQ243" s="507"/>
      <c r="AR243" s="507"/>
      <c r="AS243" s="507"/>
      <c r="AT243" s="507"/>
      <c r="AU243" s="507"/>
      <c r="AV243" s="507"/>
      <c r="AW243" s="507"/>
      <c r="AX243" s="508"/>
      <c r="AY243" s="509">
        <f>[1]RONET_Input!AG214</f>
        <v>3</v>
      </c>
      <c r="AZ243" s="359" t="s">
        <v>321</v>
      </c>
      <c r="BA243" s="360" t="s">
        <v>502</v>
      </c>
      <c r="BB243" s="360" t="s">
        <v>443</v>
      </c>
      <c r="BC243" s="510">
        <v>3.2076061196422098E-3</v>
      </c>
      <c r="BD243" s="510">
        <v>4.8620000000000003E-2</v>
      </c>
      <c r="BE243" s="438">
        <v>6</v>
      </c>
      <c r="BF243" s="511">
        <v>2.7303315786996539E-2</v>
      </c>
      <c r="BG243" s="512">
        <v>0.41385605465544051</v>
      </c>
      <c r="BH243" s="512">
        <v>8.5120537773640574</v>
      </c>
      <c r="BI243" s="513">
        <v>0</v>
      </c>
      <c r="BJ243" s="514">
        <v>375</v>
      </c>
      <c r="BK243" s="515">
        <v>0.22366666666666665</v>
      </c>
      <c r="BL243" s="512">
        <v>9.0300511646653134E-3</v>
      </c>
      <c r="BM243" s="516">
        <v>6.4108143749999999E-2</v>
      </c>
      <c r="BN243" s="517">
        <v>375</v>
      </c>
      <c r="BO243" s="518">
        <v>397.50000000000011</v>
      </c>
      <c r="BP243" s="518">
        <v>421.34999999999991</v>
      </c>
      <c r="BQ243" s="518">
        <v>446.63099999999997</v>
      </c>
      <c r="BR243" s="518">
        <v>473.42885999999999</v>
      </c>
      <c r="BS243" s="518">
        <v>501.83459160000012</v>
      </c>
      <c r="BT243" s="518">
        <v>531.9446670960001</v>
      </c>
      <c r="BU243" s="518">
        <v>563.86134712175999</v>
      </c>
      <c r="BV243" s="518">
        <v>597.69302794906582</v>
      </c>
      <c r="BW243" s="518">
        <v>633.55460962600955</v>
      </c>
      <c r="BX243" s="518">
        <v>671.56788620357008</v>
      </c>
      <c r="BY243" s="518">
        <v>711.86195937578441</v>
      </c>
      <c r="BZ243" s="518">
        <v>754.57367693833146</v>
      </c>
      <c r="CA243" s="518">
        <v>799.84809755463141</v>
      </c>
      <c r="CB243" s="518">
        <v>847.83898340790915</v>
      </c>
      <c r="CC243" s="518">
        <v>898.70932241238381</v>
      </c>
      <c r="CD243" s="518">
        <v>952.63188175712685</v>
      </c>
      <c r="CE243" s="518">
        <v>1009.7897946625544</v>
      </c>
      <c r="CF243" s="518">
        <v>1070.3771823423076</v>
      </c>
      <c r="CG243" s="519">
        <v>1134.5998132828461</v>
      </c>
      <c r="CH243" s="520">
        <v>4.5</v>
      </c>
      <c r="CI243" s="521">
        <v>4.59</v>
      </c>
      <c r="CJ243" s="521">
        <v>4.6818</v>
      </c>
      <c r="CK243" s="521">
        <v>4.775436</v>
      </c>
      <c r="CL243" s="521">
        <v>4.8709447199999998</v>
      </c>
      <c r="CM243" s="521">
        <v>2.5</v>
      </c>
      <c r="CN243" s="521">
        <v>2.5499999999999998</v>
      </c>
      <c r="CO243" s="521">
        <v>2.601</v>
      </c>
      <c r="CP243" s="521">
        <v>2.6530200000000002</v>
      </c>
      <c r="CQ243" s="521">
        <v>2.7060804000000003</v>
      </c>
      <c r="CR243" s="521">
        <v>2.7602020080000003</v>
      </c>
      <c r="CS243" s="521">
        <v>2.8154060481600003</v>
      </c>
      <c r="CT243" s="521">
        <v>2.8717141691232002</v>
      </c>
      <c r="CU243" s="521">
        <v>2.5</v>
      </c>
      <c r="CV243" s="521">
        <v>2.5499999999999998</v>
      </c>
      <c r="CW243" s="521">
        <v>2.601</v>
      </c>
      <c r="CX243" s="521">
        <v>2.6530200000000002</v>
      </c>
      <c r="CY243" s="521">
        <v>2.7060804000000003</v>
      </c>
      <c r="CZ243" s="521">
        <v>2.7602020080000003</v>
      </c>
      <c r="DA243" s="522">
        <v>2.8154060481600003</v>
      </c>
      <c r="DB243" s="523">
        <v>0</v>
      </c>
      <c r="DC243" s="524">
        <v>0</v>
      </c>
      <c r="DD243" s="524">
        <v>0</v>
      </c>
      <c r="DE243" s="524">
        <v>0</v>
      </c>
      <c r="DF243" s="524">
        <v>0</v>
      </c>
      <c r="DG243" s="524">
        <v>-2.6728254022259663E-3</v>
      </c>
      <c r="DH243" s="524">
        <v>2.7155127107934482E-4</v>
      </c>
      <c r="DI243" s="524">
        <v>2.9961069831940801E-4</v>
      </c>
      <c r="DJ243" s="524">
        <v>3.3053864390121968E-4</v>
      </c>
      <c r="DK243" s="524">
        <v>4.5210892370924113E-2</v>
      </c>
      <c r="DL243" s="524">
        <v>2.0303017362013117E-4</v>
      </c>
      <c r="DM243" s="524">
        <v>2.0334542124746027E-4</v>
      </c>
      <c r="DN243" s="524">
        <v>2.0323068799076895E-4</v>
      </c>
      <c r="DO243" s="524">
        <v>-2.6677268447312906E-3</v>
      </c>
      <c r="DP243" s="524">
        <v>2.5513071474744624E-4</v>
      </c>
      <c r="DQ243" s="524">
        <v>2.5893640623585873E-4</v>
      </c>
      <c r="DR243" s="524">
        <v>2.6256970628406318E-4</v>
      </c>
      <c r="DS243" s="524">
        <v>6.303042687767265E-3</v>
      </c>
      <c r="DT243" s="524">
        <v>3.0011214054098505E-4</v>
      </c>
      <c r="DU243" s="525">
        <v>3.067964525409559E-4</v>
      </c>
      <c r="DV243" s="526">
        <v>3.4</v>
      </c>
      <c r="DW243" s="507">
        <v>1</v>
      </c>
      <c r="DX243" s="509">
        <v>4.5</v>
      </c>
      <c r="DY243" s="507">
        <v>2</v>
      </c>
      <c r="DZ243" s="507">
        <v>10</v>
      </c>
      <c r="EA243" s="507">
        <v>0</v>
      </c>
      <c r="EB243" s="507">
        <v>0</v>
      </c>
      <c r="EC243" s="507">
        <v>111.62500000000001</v>
      </c>
      <c r="ED243" s="507">
        <v>102.18750000000001</v>
      </c>
      <c r="EE243" s="507">
        <v>0</v>
      </c>
      <c r="EF243" s="507">
        <v>25.062499999999996</v>
      </c>
      <c r="EG243" s="507">
        <v>29.3125</v>
      </c>
      <c r="EH243" s="507">
        <v>12.8125</v>
      </c>
      <c r="EI243" s="507">
        <v>16.6875</v>
      </c>
      <c r="EJ243" s="507">
        <v>56.4375</v>
      </c>
      <c r="EK243" s="507">
        <v>10.4375</v>
      </c>
      <c r="EL243" s="507">
        <v>10.4375</v>
      </c>
      <c r="EM243" s="508">
        <v>375</v>
      </c>
    </row>
    <row r="244" spans="2:143" x14ac:dyDescent="0.25">
      <c r="B244" s="506" t="str">
        <f>[1]RONET_Input!J215</f>
        <v xml:space="preserve">Input VPROMMS: QL45_2 (50.0 pct); ql45_1 (50.0 pct); </v>
      </c>
      <c r="C244" s="359">
        <f>[1]RONET_Input!B215</f>
        <v>213</v>
      </c>
      <c r="D244" s="397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442">
        <f>[1]RONET_Input!K215</f>
        <v>0.157670934909</v>
      </c>
      <c r="Q244" s="398">
        <f>[1]RONET_Input!Y215</f>
        <v>2</v>
      </c>
      <c r="R244" s="398">
        <f>[1]RONET_Input!X215</f>
        <v>3.5</v>
      </c>
      <c r="S244" s="398"/>
      <c r="T244" s="398"/>
      <c r="U244" s="398">
        <f>[1]RONET_Input!AA215</f>
        <v>8</v>
      </c>
      <c r="V244" s="398">
        <f>[1]RONET_Input!AC215</f>
        <v>1</v>
      </c>
      <c r="W244" s="398">
        <f>[1]RONET_Input!AD215</f>
        <v>1</v>
      </c>
      <c r="X244" s="398">
        <f>[1]RONET_Input!AE215</f>
        <v>4</v>
      </c>
      <c r="Y244" s="398">
        <f>[1]RONET_Input!AB215</f>
        <v>1</v>
      </c>
      <c r="Z244" s="438">
        <f>[1]RONET_Input!Z215</f>
        <v>1</v>
      </c>
      <c r="AA244" s="442"/>
      <c r="AB244" s="398"/>
      <c r="AC244" s="438"/>
      <c r="AD244" s="442">
        <f>[1]RONET_Input!AH215</f>
        <v>3</v>
      </c>
      <c r="AE244" s="398">
        <f>[1]RONET_Input!D215</f>
        <v>0</v>
      </c>
      <c r="AF244" s="398"/>
      <c r="AG244" s="398"/>
      <c r="AH244" s="398"/>
      <c r="AI244" s="438"/>
      <c r="AJ244" s="442">
        <v>1</v>
      </c>
      <c r="AK244" s="442">
        <f>[1]RONET_Input!AF215</f>
        <v>4</v>
      </c>
      <c r="AL244" s="507"/>
      <c r="AM244" s="507"/>
      <c r="AN244" s="507"/>
      <c r="AO244" s="507"/>
      <c r="AP244" s="507"/>
      <c r="AQ244" s="507"/>
      <c r="AR244" s="507"/>
      <c r="AS244" s="507"/>
      <c r="AT244" s="507"/>
      <c r="AU244" s="507"/>
      <c r="AV244" s="507"/>
      <c r="AW244" s="507"/>
      <c r="AX244" s="508"/>
      <c r="AY244" s="509">
        <f>[1]RONET_Input!AG215</f>
        <v>3</v>
      </c>
      <c r="AZ244" s="359" t="s">
        <v>321</v>
      </c>
      <c r="BA244" s="360" t="s">
        <v>502</v>
      </c>
      <c r="BB244" s="360" t="s">
        <v>443</v>
      </c>
      <c r="BC244" s="510">
        <v>7.8914302921954515E-3</v>
      </c>
      <c r="BD244" s="510">
        <v>5.0050000000000011E-2</v>
      </c>
      <c r="BE244" s="438">
        <v>6</v>
      </c>
      <c r="BF244" s="511">
        <v>6.2365747801085676E-2</v>
      </c>
      <c r="BG244" s="512">
        <v>0.3955437179152908</v>
      </c>
      <c r="BH244" s="512">
        <v>7.902971386918896</v>
      </c>
      <c r="BI244" s="513">
        <v>0</v>
      </c>
      <c r="BJ244" s="514">
        <v>375</v>
      </c>
      <c r="BK244" s="515">
        <v>0.22366666666666665</v>
      </c>
      <c r="BL244" s="512">
        <v>2.1581209215669375E-2</v>
      </c>
      <c r="BM244" s="516">
        <v>3.2054071874999999E-2</v>
      </c>
      <c r="BN244" s="517">
        <v>375</v>
      </c>
      <c r="BO244" s="518">
        <v>397.50000000000011</v>
      </c>
      <c r="BP244" s="518">
        <v>421.34999999999991</v>
      </c>
      <c r="BQ244" s="518">
        <v>446.63099999999997</v>
      </c>
      <c r="BR244" s="518">
        <v>473.42885999999999</v>
      </c>
      <c r="BS244" s="518">
        <v>501.83459160000012</v>
      </c>
      <c r="BT244" s="518">
        <v>531.9446670960001</v>
      </c>
      <c r="BU244" s="518">
        <v>563.86134712175999</v>
      </c>
      <c r="BV244" s="518">
        <v>597.69302794906582</v>
      </c>
      <c r="BW244" s="518">
        <v>633.55460962600955</v>
      </c>
      <c r="BX244" s="518">
        <v>671.56788620357008</v>
      </c>
      <c r="BY244" s="518">
        <v>711.86195937578441</v>
      </c>
      <c r="BZ244" s="518">
        <v>754.57367693833146</v>
      </c>
      <c r="CA244" s="518">
        <v>799.84809755463141</v>
      </c>
      <c r="CB244" s="518">
        <v>847.83898340790915</v>
      </c>
      <c r="CC244" s="518">
        <v>898.70932241238381</v>
      </c>
      <c r="CD244" s="518">
        <v>952.63188175712685</v>
      </c>
      <c r="CE244" s="518">
        <v>1009.7897946625544</v>
      </c>
      <c r="CF244" s="518">
        <v>1070.3771823423076</v>
      </c>
      <c r="CG244" s="519">
        <v>1134.5998132828461</v>
      </c>
      <c r="CH244" s="520">
        <v>4.5</v>
      </c>
      <c r="CI244" s="521">
        <v>4.59</v>
      </c>
      <c r="CJ244" s="521">
        <v>4.6818</v>
      </c>
      <c r="CK244" s="521">
        <v>4.775436</v>
      </c>
      <c r="CL244" s="521">
        <v>4.8709447199999998</v>
      </c>
      <c r="CM244" s="521">
        <v>2.5</v>
      </c>
      <c r="CN244" s="521">
        <v>2.5499999999999998</v>
      </c>
      <c r="CO244" s="521">
        <v>2.601</v>
      </c>
      <c r="CP244" s="521">
        <v>2.6530200000000002</v>
      </c>
      <c r="CQ244" s="521">
        <v>2.7060804000000003</v>
      </c>
      <c r="CR244" s="521">
        <v>2.7602020080000003</v>
      </c>
      <c r="CS244" s="521">
        <v>2.8154060481600003</v>
      </c>
      <c r="CT244" s="521">
        <v>2.8717141691232002</v>
      </c>
      <c r="CU244" s="521">
        <v>2.5</v>
      </c>
      <c r="CV244" s="521">
        <v>2.5499999999999998</v>
      </c>
      <c r="CW244" s="521">
        <v>2.601</v>
      </c>
      <c r="CX244" s="521">
        <v>2.6530200000000002</v>
      </c>
      <c r="CY244" s="521">
        <v>2.7060804000000003</v>
      </c>
      <c r="CZ244" s="521">
        <v>2.7602020080000003</v>
      </c>
      <c r="DA244" s="522">
        <v>2.8154060481600003</v>
      </c>
      <c r="DB244" s="523">
        <v>0</v>
      </c>
      <c r="DC244" s="524">
        <v>0</v>
      </c>
      <c r="DD244" s="524">
        <v>0</v>
      </c>
      <c r="DE244" s="524">
        <v>0</v>
      </c>
      <c r="DF244" s="524">
        <v>0</v>
      </c>
      <c r="DG244" s="524">
        <v>-6.6643176101358718E-3</v>
      </c>
      <c r="DH244" s="524">
        <v>5.7253757519784391E-4</v>
      </c>
      <c r="DI244" s="524">
        <v>6.3406472619148384E-4</v>
      </c>
      <c r="DJ244" s="524">
        <v>7.0207628031986394E-4</v>
      </c>
      <c r="DK244" s="524">
        <v>0.10761037724525931</v>
      </c>
      <c r="DL244" s="524">
        <v>3.7721559965748358E-5</v>
      </c>
      <c r="DM244" s="524">
        <v>3.1315353472619739E-5</v>
      </c>
      <c r="DN244" s="524">
        <v>2.3641329120280968E-5</v>
      </c>
      <c r="DO244" s="524">
        <v>-7.0722862813562444E-3</v>
      </c>
      <c r="DP244" s="524">
        <v>1.0877301443035919E-4</v>
      </c>
      <c r="DQ244" s="524">
        <v>1.0795701202567787E-4</v>
      </c>
      <c r="DR244" s="524">
        <v>1.0636076938499994E-4</v>
      </c>
      <c r="DS244" s="524">
        <v>1.4532028143904148E-2</v>
      </c>
      <c r="DT244" s="524">
        <v>1.7440113321239362E-4</v>
      </c>
      <c r="DU244" s="525">
        <v>1.7896482750101583E-4</v>
      </c>
      <c r="DV244" s="526">
        <v>3.5</v>
      </c>
      <c r="DW244" s="507">
        <v>1</v>
      </c>
      <c r="DX244" s="509">
        <v>4.5</v>
      </c>
      <c r="DY244" s="507">
        <v>2</v>
      </c>
      <c r="DZ244" s="507">
        <v>10</v>
      </c>
      <c r="EA244" s="507">
        <v>0</v>
      </c>
      <c r="EB244" s="507">
        <v>0</v>
      </c>
      <c r="EC244" s="507">
        <v>111.62500000000001</v>
      </c>
      <c r="ED244" s="507">
        <v>102.18750000000001</v>
      </c>
      <c r="EE244" s="507">
        <v>0</v>
      </c>
      <c r="EF244" s="507">
        <v>25.062499999999996</v>
      </c>
      <c r="EG244" s="507">
        <v>29.3125</v>
      </c>
      <c r="EH244" s="507">
        <v>12.8125</v>
      </c>
      <c r="EI244" s="507">
        <v>16.6875</v>
      </c>
      <c r="EJ244" s="507">
        <v>56.4375</v>
      </c>
      <c r="EK244" s="507">
        <v>10.4375</v>
      </c>
      <c r="EL244" s="507">
        <v>10.4375</v>
      </c>
      <c r="EM244" s="508">
        <v>375</v>
      </c>
    </row>
    <row r="245" spans="2:143" x14ac:dyDescent="0.25">
      <c r="B245" s="506" t="str">
        <f>[1]RONET_Input!J216</f>
        <v>212th00023</v>
      </c>
      <c r="C245" s="359">
        <f>[1]RONET_Input!B216</f>
        <v>214</v>
      </c>
      <c r="D245" s="397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442">
        <f>[1]RONET_Input!K216</f>
        <v>6.1368138755899998E-2</v>
      </c>
      <c r="Q245" s="398">
        <f>[1]RONET_Input!Y216</f>
        <v>3</v>
      </c>
      <c r="R245" s="398">
        <f>[1]RONET_Input!X216</f>
        <v>4.3</v>
      </c>
      <c r="S245" s="398"/>
      <c r="T245" s="398"/>
      <c r="U245" s="398">
        <f>[1]RONET_Input!AA216</f>
        <v>8</v>
      </c>
      <c r="V245" s="398">
        <f>[1]RONET_Input!AC216</f>
        <v>1</v>
      </c>
      <c r="W245" s="398">
        <f>[1]RONET_Input!AD216</f>
        <v>1</v>
      </c>
      <c r="X245" s="398">
        <f>[1]RONET_Input!AE216</f>
        <v>4</v>
      </c>
      <c r="Y245" s="398">
        <f>[1]RONET_Input!AB216</f>
        <v>1</v>
      </c>
      <c r="Z245" s="438">
        <f>[1]RONET_Input!Z216</f>
        <v>3</v>
      </c>
      <c r="AA245" s="442"/>
      <c r="AB245" s="398"/>
      <c r="AC245" s="438"/>
      <c r="AD245" s="442">
        <f>[1]RONET_Input!AH216</f>
        <v>3</v>
      </c>
      <c r="AE245" s="398">
        <f>[1]RONET_Input!D216</f>
        <v>0</v>
      </c>
      <c r="AF245" s="398"/>
      <c r="AG245" s="398"/>
      <c r="AH245" s="398"/>
      <c r="AI245" s="438"/>
      <c r="AJ245" s="442">
        <v>1</v>
      </c>
      <c r="AK245" s="442">
        <f>[1]RONET_Input!AF216</f>
        <v>8</v>
      </c>
      <c r="AL245" s="507"/>
      <c r="AM245" s="507"/>
      <c r="AN245" s="507"/>
      <c r="AO245" s="507"/>
      <c r="AP245" s="507"/>
      <c r="AQ245" s="507"/>
      <c r="AR245" s="507"/>
      <c r="AS245" s="507"/>
      <c r="AT245" s="507"/>
      <c r="AU245" s="507"/>
      <c r="AV245" s="507"/>
      <c r="AW245" s="507"/>
      <c r="AX245" s="508"/>
      <c r="AY245" s="509">
        <f>[1]RONET_Input!AG216</f>
        <v>3</v>
      </c>
      <c r="AZ245" s="359" t="s">
        <v>321</v>
      </c>
      <c r="BA245" s="360" t="s">
        <v>505</v>
      </c>
      <c r="BB245" s="360" t="s">
        <v>446</v>
      </c>
      <c r="BC245" s="510">
        <v>2.5068884681785147E-3</v>
      </c>
      <c r="BD245" s="510">
        <v>4.0849999999999997E-2</v>
      </c>
      <c r="BE245" s="438">
        <v>1</v>
      </c>
      <c r="BF245" s="511">
        <v>3.6857197503668622E-2</v>
      </c>
      <c r="BG245" s="512">
        <v>0.60059174436221807</v>
      </c>
      <c r="BH245" s="512">
        <v>14.702368283040837</v>
      </c>
      <c r="BI245" s="513">
        <v>0</v>
      </c>
      <c r="BJ245" s="514">
        <v>6000</v>
      </c>
      <c r="BK245" s="515">
        <v>0.22366666666666665</v>
      </c>
      <c r="BL245" s="512">
        <v>0.13439622387542102</v>
      </c>
      <c r="BM245" s="516">
        <v>0.51286514999999999</v>
      </c>
      <c r="BN245" s="517">
        <v>6000</v>
      </c>
      <c r="BO245" s="518">
        <v>6360.0000000000018</v>
      </c>
      <c r="BP245" s="518">
        <v>6741.5999999999985</v>
      </c>
      <c r="BQ245" s="518">
        <v>7146.0959999999995</v>
      </c>
      <c r="BR245" s="518">
        <v>7574.8617599999998</v>
      </c>
      <c r="BS245" s="518">
        <v>8029.353465600002</v>
      </c>
      <c r="BT245" s="518">
        <v>8511.1146735360016</v>
      </c>
      <c r="BU245" s="518">
        <v>9021.7815539481599</v>
      </c>
      <c r="BV245" s="518">
        <v>9563.0884471850532</v>
      </c>
      <c r="BW245" s="518">
        <v>10136.873754016153</v>
      </c>
      <c r="BX245" s="518">
        <v>10745.086179257121</v>
      </c>
      <c r="BY245" s="518">
        <v>11389.791350012551</v>
      </c>
      <c r="BZ245" s="518">
        <v>12073.178831013303</v>
      </c>
      <c r="CA245" s="518">
        <v>12797.569560874103</v>
      </c>
      <c r="CB245" s="518">
        <v>13565.423734526546</v>
      </c>
      <c r="CC245" s="518">
        <v>14379.349158598141</v>
      </c>
      <c r="CD245" s="518">
        <v>15242.11010811403</v>
      </c>
      <c r="CE245" s="518">
        <v>16156.636714600871</v>
      </c>
      <c r="CF245" s="518">
        <v>17126.034917476922</v>
      </c>
      <c r="CG245" s="519">
        <v>18153.597012525537</v>
      </c>
      <c r="CH245" s="520">
        <v>2.5</v>
      </c>
      <c r="CI245" s="521">
        <v>2.5625</v>
      </c>
      <c r="CJ245" s="521">
        <v>2.6265624999999999</v>
      </c>
      <c r="CK245" s="521">
        <v>2.6922265624999997</v>
      </c>
      <c r="CL245" s="521">
        <v>2.7595322265624995</v>
      </c>
      <c r="CM245" s="521">
        <v>2.8285205322265621</v>
      </c>
      <c r="CN245" s="521">
        <v>2.8992335455322262</v>
      </c>
      <c r="CO245" s="521">
        <v>2.9717143841705318</v>
      </c>
      <c r="CP245" s="521">
        <v>2.5</v>
      </c>
      <c r="CQ245" s="521">
        <v>2.5625</v>
      </c>
      <c r="CR245" s="521">
        <v>2.6265624999999999</v>
      </c>
      <c r="CS245" s="521">
        <v>2.6922265624999997</v>
      </c>
      <c r="CT245" s="521">
        <v>2.7595322265624995</v>
      </c>
      <c r="CU245" s="521">
        <v>2.8285205322265621</v>
      </c>
      <c r="CV245" s="521">
        <v>2.8992335455322262</v>
      </c>
      <c r="CW245" s="521">
        <v>2.9717143841705318</v>
      </c>
      <c r="CX245" s="521">
        <v>2.5</v>
      </c>
      <c r="CY245" s="521">
        <v>2.5625</v>
      </c>
      <c r="CZ245" s="521">
        <v>2.6265624999999999</v>
      </c>
      <c r="DA245" s="522">
        <v>2.6922265624999997</v>
      </c>
      <c r="DB245" s="523">
        <v>5.8776932159906869E-4</v>
      </c>
      <c r="DC245" s="524">
        <v>3.2223113997330438E-3</v>
      </c>
      <c r="DD245" s="524">
        <v>3.617618770059533E-3</v>
      </c>
      <c r="DE245" s="524">
        <v>4.0598483904406152E-3</v>
      </c>
      <c r="DF245" s="524">
        <v>4.5544488750736828E-3</v>
      </c>
      <c r="DG245" s="524">
        <v>5.1074927005678034E-3</v>
      </c>
      <c r="DH245" s="524">
        <v>5.7257471515478747E-3</v>
      </c>
      <c r="DI245" s="524">
        <v>6.4167533433527324E-3</v>
      </c>
      <c r="DJ245" s="524">
        <v>5.3879357896971375E-3</v>
      </c>
      <c r="DK245" s="524">
        <v>1.1210953813339114E-2</v>
      </c>
      <c r="DL245" s="524">
        <v>3.4985852751731605E-5</v>
      </c>
      <c r="DM245" s="524">
        <v>3.9720651178007382E-5</v>
      </c>
      <c r="DN245" s="524">
        <v>4.5052481903354313E-5</v>
      </c>
      <c r="DO245" s="524">
        <v>5.1053463953731892E-5</v>
      </c>
      <c r="DP245" s="524">
        <v>5.7804181871456972E-5</v>
      </c>
      <c r="DQ245" s="524">
        <v>6.5394659628459362E-5</v>
      </c>
      <c r="DR245" s="524">
        <v>-1.4418336964737155E-3</v>
      </c>
      <c r="DS245" s="524">
        <v>3.6348448580748316E-3</v>
      </c>
      <c r="DT245" s="524">
        <v>-8.9689760472688729E-5</v>
      </c>
      <c r="DU245" s="525">
        <v>-1.0191088930383563E-4</v>
      </c>
      <c r="DV245" s="526">
        <v>4.3</v>
      </c>
      <c r="DW245" s="507">
        <v>3</v>
      </c>
      <c r="DX245" s="509">
        <v>5.5</v>
      </c>
      <c r="DY245" s="507">
        <v>6</v>
      </c>
      <c r="DZ245" s="507">
        <v>10</v>
      </c>
      <c r="EA245" s="507">
        <v>0</v>
      </c>
      <c r="EB245" s="507">
        <v>0</v>
      </c>
      <c r="EC245" s="507">
        <v>1786.0000000000002</v>
      </c>
      <c r="ED245" s="507">
        <v>1635.0000000000002</v>
      </c>
      <c r="EE245" s="507">
        <v>0</v>
      </c>
      <c r="EF245" s="507">
        <v>400.99999999999994</v>
      </c>
      <c r="EG245" s="507">
        <v>469</v>
      </c>
      <c r="EH245" s="507">
        <v>205</v>
      </c>
      <c r="EI245" s="507">
        <v>267</v>
      </c>
      <c r="EJ245" s="507">
        <v>903</v>
      </c>
      <c r="EK245" s="507">
        <v>167</v>
      </c>
      <c r="EL245" s="507">
        <v>167</v>
      </c>
      <c r="EM245" s="508">
        <v>6000</v>
      </c>
    </row>
    <row r="246" spans="2:143" x14ac:dyDescent="0.25">
      <c r="B246" s="506" t="str">
        <f>[1]RONET_Input!J217</f>
        <v>ql45_1</v>
      </c>
      <c r="C246" s="359">
        <f>[1]RONET_Input!B217</f>
        <v>215</v>
      </c>
      <c r="D246" s="397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442">
        <f>[1]RONET_Input!K217</f>
        <v>6.8873664986999986E-3</v>
      </c>
      <c r="Q246" s="398">
        <f>[1]RONET_Input!Y217</f>
        <v>1</v>
      </c>
      <c r="R246" s="398">
        <f>[1]RONET_Input!X217</f>
        <v>3.4</v>
      </c>
      <c r="S246" s="398"/>
      <c r="T246" s="398"/>
      <c r="U246" s="398">
        <f>[1]RONET_Input!AA217</f>
        <v>8</v>
      </c>
      <c r="V246" s="398">
        <f>[1]RONET_Input!AC217</f>
        <v>1</v>
      </c>
      <c r="W246" s="398">
        <f>[1]RONET_Input!AD217</f>
        <v>1</v>
      </c>
      <c r="X246" s="398">
        <f>[1]RONET_Input!AE217</f>
        <v>4</v>
      </c>
      <c r="Y246" s="398">
        <f>[1]RONET_Input!AB217</f>
        <v>1</v>
      </c>
      <c r="Z246" s="438">
        <f>[1]RONET_Input!Z217</f>
        <v>1</v>
      </c>
      <c r="AA246" s="442"/>
      <c r="AB246" s="398"/>
      <c r="AC246" s="438"/>
      <c r="AD246" s="442">
        <f>[1]RONET_Input!AH217</f>
        <v>3</v>
      </c>
      <c r="AE246" s="398">
        <f>[1]RONET_Input!D217</f>
        <v>0</v>
      </c>
      <c r="AF246" s="398"/>
      <c r="AG246" s="398"/>
      <c r="AH246" s="398"/>
      <c r="AI246" s="438"/>
      <c r="AJ246" s="442">
        <v>1</v>
      </c>
      <c r="AK246" s="442">
        <f>[1]RONET_Input!AF217</f>
        <v>4</v>
      </c>
      <c r="AL246" s="507"/>
      <c r="AM246" s="507"/>
      <c r="AN246" s="507"/>
      <c r="AO246" s="507"/>
      <c r="AP246" s="507"/>
      <c r="AQ246" s="507"/>
      <c r="AR246" s="507"/>
      <c r="AS246" s="507"/>
      <c r="AT246" s="507"/>
      <c r="AU246" s="507"/>
      <c r="AV246" s="507"/>
      <c r="AW246" s="507"/>
      <c r="AX246" s="508"/>
      <c r="AY246" s="509">
        <f>[1]RONET_Input!AG217</f>
        <v>3</v>
      </c>
      <c r="AZ246" s="359" t="s">
        <v>321</v>
      </c>
      <c r="BA246" s="360" t="s">
        <v>502</v>
      </c>
      <c r="BB246" s="360" t="s">
        <v>443</v>
      </c>
      <c r="BC246" s="510">
        <v>3.3486375916679396E-4</v>
      </c>
      <c r="BD246" s="510">
        <v>4.8620000000000003E-2</v>
      </c>
      <c r="BE246" s="438">
        <v>6</v>
      </c>
      <c r="BF246" s="511">
        <v>2.8503783261180364E-3</v>
      </c>
      <c r="BG246" s="512">
        <v>0.41385605465544051</v>
      </c>
      <c r="BH246" s="512">
        <v>8.5120537773640574</v>
      </c>
      <c r="BI246" s="513">
        <v>0</v>
      </c>
      <c r="BJ246" s="514">
        <v>375</v>
      </c>
      <c r="BK246" s="515">
        <v>0.22366666666666665</v>
      </c>
      <c r="BL246" s="512">
        <v>9.4270828950956227E-4</v>
      </c>
      <c r="BM246" s="516">
        <v>6.4108143749999999E-2</v>
      </c>
      <c r="BN246" s="517">
        <v>375</v>
      </c>
      <c r="BO246" s="518">
        <v>397.50000000000011</v>
      </c>
      <c r="BP246" s="518">
        <v>421.34999999999991</v>
      </c>
      <c r="BQ246" s="518">
        <v>446.63099999999997</v>
      </c>
      <c r="BR246" s="518">
        <v>473.42885999999999</v>
      </c>
      <c r="BS246" s="518">
        <v>501.83459160000012</v>
      </c>
      <c r="BT246" s="518">
        <v>531.9446670960001</v>
      </c>
      <c r="BU246" s="518">
        <v>563.86134712175999</v>
      </c>
      <c r="BV246" s="518">
        <v>597.69302794906582</v>
      </c>
      <c r="BW246" s="518">
        <v>633.55460962600955</v>
      </c>
      <c r="BX246" s="518">
        <v>671.56788620357008</v>
      </c>
      <c r="BY246" s="518">
        <v>711.86195937578441</v>
      </c>
      <c r="BZ246" s="518">
        <v>754.57367693833146</v>
      </c>
      <c r="CA246" s="518">
        <v>799.84809755463141</v>
      </c>
      <c r="CB246" s="518">
        <v>847.83898340790915</v>
      </c>
      <c r="CC246" s="518">
        <v>898.70932241238381</v>
      </c>
      <c r="CD246" s="518">
        <v>952.63188175712685</v>
      </c>
      <c r="CE246" s="518">
        <v>1009.7897946625544</v>
      </c>
      <c r="CF246" s="518">
        <v>1070.3771823423076</v>
      </c>
      <c r="CG246" s="519">
        <v>1134.5998132828461</v>
      </c>
      <c r="CH246" s="520">
        <v>4.5</v>
      </c>
      <c r="CI246" s="521">
        <v>4.59</v>
      </c>
      <c r="CJ246" s="521">
        <v>4.6818</v>
      </c>
      <c r="CK246" s="521">
        <v>4.775436</v>
      </c>
      <c r="CL246" s="521">
        <v>4.8709447199999998</v>
      </c>
      <c r="CM246" s="521">
        <v>2.5</v>
      </c>
      <c r="CN246" s="521">
        <v>2.5499999999999998</v>
      </c>
      <c r="CO246" s="521">
        <v>2.601</v>
      </c>
      <c r="CP246" s="521">
        <v>2.6530200000000002</v>
      </c>
      <c r="CQ246" s="521">
        <v>2.7060804000000003</v>
      </c>
      <c r="CR246" s="521">
        <v>2.7602020080000003</v>
      </c>
      <c r="CS246" s="521">
        <v>2.8154060481600003</v>
      </c>
      <c r="CT246" s="521">
        <v>2.8717141691232002</v>
      </c>
      <c r="CU246" s="521">
        <v>2.5</v>
      </c>
      <c r="CV246" s="521">
        <v>2.5499999999999998</v>
      </c>
      <c r="CW246" s="521">
        <v>2.601</v>
      </c>
      <c r="CX246" s="521">
        <v>2.6530200000000002</v>
      </c>
      <c r="CY246" s="521">
        <v>2.7060804000000003</v>
      </c>
      <c r="CZ246" s="521">
        <v>2.7602020080000003</v>
      </c>
      <c r="DA246" s="522">
        <v>2.8154060481600003</v>
      </c>
      <c r="DB246" s="523">
        <v>0</v>
      </c>
      <c r="DC246" s="524">
        <v>0</v>
      </c>
      <c r="DD246" s="524">
        <v>0</v>
      </c>
      <c r="DE246" s="524">
        <v>0</v>
      </c>
      <c r="DF246" s="524">
        <v>0</v>
      </c>
      <c r="DG246" s="524">
        <v>-2.7903437280064848E-4</v>
      </c>
      <c r="DH246" s="524">
        <v>2.8349079047864387E-5</v>
      </c>
      <c r="DI246" s="524">
        <v>3.1278392977070408E-5</v>
      </c>
      <c r="DJ246" s="524">
        <v>3.4507170992367103E-5</v>
      </c>
      <c r="DK246" s="524">
        <v>4.7198717080330597E-3</v>
      </c>
      <c r="DL246" s="524">
        <v>2.1195696923756988E-5</v>
      </c>
      <c r="DM246" s="524">
        <v>2.122860776181438E-5</v>
      </c>
      <c r="DN246" s="524">
        <v>2.1216629978943152E-5</v>
      </c>
      <c r="DO246" s="524">
        <v>-2.7850209980162272E-4</v>
      </c>
      <c r="DP246" s="524">
        <v>2.6634825796120385E-5</v>
      </c>
      <c r="DQ246" s="524">
        <v>2.7032127743586943E-5</v>
      </c>
      <c r="DR246" s="524">
        <v>2.7411432579324763E-5</v>
      </c>
      <c r="DS246" s="524">
        <v>6.5801737803454193E-4</v>
      </c>
      <c r="DT246" s="524">
        <v>3.1330741931729581E-5</v>
      </c>
      <c r="DU246" s="525">
        <v>3.2028562599313408E-5</v>
      </c>
      <c r="DV246" s="526">
        <v>3.4</v>
      </c>
      <c r="DW246" s="507">
        <v>1</v>
      </c>
      <c r="DX246" s="509">
        <v>4.5</v>
      </c>
      <c r="DY246" s="507">
        <v>2</v>
      </c>
      <c r="DZ246" s="507">
        <v>10</v>
      </c>
      <c r="EA246" s="507">
        <v>0</v>
      </c>
      <c r="EB246" s="507">
        <v>0</v>
      </c>
      <c r="EC246" s="507">
        <v>111.62500000000001</v>
      </c>
      <c r="ED246" s="507">
        <v>102.18750000000001</v>
      </c>
      <c r="EE246" s="507">
        <v>0</v>
      </c>
      <c r="EF246" s="507">
        <v>25.062499999999996</v>
      </c>
      <c r="EG246" s="507">
        <v>29.3125</v>
      </c>
      <c r="EH246" s="507">
        <v>12.8125</v>
      </c>
      <c r="EI246" s="507">
        <v>16.6875</v>
      </c>
      <c r="EJ246" s="507">
        <v>56.4375</v>
      </c>
      <c r="EK246" s="507">
        <v>10.4375</v>
      </c>
      <c r="EL246" s="507">
        <v>10.4375</v>
      </c>
      <c r="EM246" s="508">
        <v>375</v>
      </c>
    </row>
    <row r="247" spans="2:143" x14ac:dyDescent="0.25">
      <c r="B247" s="506" t="str">
        <f>[1]RONET_Input!J218</f>
        <v xml:space="preserve">Input VPROMMS: QL45_2 (33.33 pct); ql45_1 (33.33 pct); 212th00023 (14.81 pct); 217B_1 (7.41 pct); 214tt00092 (7.41 pct); 213TT00006 (3.7 pct); </v>
      </c>
      <c r="C247" s="359">
        <f>[1]RONET_Input!B218</f>
        <v>216</v>
      </c>
      <c r="D247" s="397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442">
        <f>[1]RONET_Input!K218</f>
        <v>0.40498234013700002</v>
      </c>
      <c r="Q247" s="398">
        <f>[1]RONET_Input!Y218</f>
        <v>2</v>
      </c>
      <c r="R247" s="398">
        <f>[1]RONET_Input!X218</f>
        <v>3.5</v>
      </c>
      <c r="S247" s="398"/>
      <c r="T247" s="398"/>
      <c r="U247" s="398">
        <f>[1]RONET_Input!AA218</f>
        <v>8</v>
      </c>
      <c r="V247" s="398">
        <f>[1]RONET_Input!AC218</f>
        <v>1</v>
      </c>
      <c r="W247" s="398">
        <f>[1]RONET_Input!AD218</f>
        <v>1</v>
      </c>
      <c r="X247" s="398">
        <f>[1]RONET_Input!AE218</f>
        <v>4</v>
      </c>
      <c r="Y247" s="398">
        <f>[1]RONET_Input!AB218</f>
        <v>1</v>
      </c>
      <c r="Z247" s="438">
        <f>[1]RONET_Input!Z218</f>
        <v>1</v>
      </c>
      <c r="AA247" s="442"/>
      <c r="AB247" s="398"/>
      <c r="AC247" s="438"/>
      <c r="AD247" s="442">
        <f>[1]RONET_Input!AH218</f>
        <v>4</v>
      </c>
      <c r="AE247" s="398">
        <f>[1]RONET_Input!D218</f>
        <v>10.02</v>
      </c>
      <c r="AF247" s="398"/>
      <c r="AG247" s="398"/>
      <c r="AH247" s="398"/>
      <c r="AI247" s="438"/>
      <c r="AJ247" s="442">
        <v>1</v>
      </c>
      <c r="AK247" s="442">
        <f>[1]RONET_Input!AF218</f>
        <v>4</v>
      </c>
      <c r="AL247" s="507"/>
      <c r="AM247" s="507"/>
      <c r="AN247" s="507"/>
      <c r="AO247" s="507"/>
      <c r="AP247" s="507"/>
      <c r="AQ247" s="507"/>
      <c r="AR247" s="507"/>
      <c r="AS247" s="507"/>
      <c r="AT247" s="507"/>
      <c r="AU247" s="507"/>
      <c r="AV247" s="507"/>
      <c r="AW247" s="507"/>
      <c r="AX247" s="508"/>
      <c r="AY247" s="509">
        <f>[1]RONET_Input!AG218</f>
        <v>3</v>
      </c>
      <c r="AZ247" s="359" t="s">
        <v>321</v>
      </c>
      <c r="BA247" s="360" t="s">
        <v>502</v>
      </c>
      <c r="BB247" s="360" t="s">
        <v>443</v>
      </c>
      <c r="BC247" s="510">
        <v>2.0269366123856852E-2</v>
      </c>
      <c r="BD247" s="510">
        <v>5.0050000000000004E-2</v>
      </c>
      <c r="BE247" s="438">
        <v>5</v>
      </c>
      <c r="BF247" s="511">
        <v>0.18915756187236421</v>
      </c>
      <c r="BG247" s="512">
        <v>0.46707607499224479</v>
      </c>
      <c r="BH247" s="512">
        <v>9.3321893105343605</v>
      </c>
      <c r="BI247" s="513">
        <v>0</v>
      </c>
      <c r="BJ247" s="514">
        <v>375</v>
      </c>
      <c r="BK247" s="515">
        <v>0.22366666666666665</v>
      </c>
      <c r="BL247" s="512">
        <v>5.5431957806251882E-2</v>
      </c>
      <c r="BM247" s="516">
        <v>3.2054071874999999E-2</v>
      </c>
      <c r="BN247" s="517">
        <v>375</v>
      </c>
      <c r="BO247" s="518">
        <v>397.50000000000011</v>
      </c>
      <c r="BP247" s="518">
        <v>421.34999999999991</v>
      </c>
      <c r="BQ247" s="518">
        <v>446.63099999999997</v>
      </c>
      <c r="BR247" s="518">
        <v>473.42885999999999</v>
      </c>
      <c r="BS247" s="518">
        <v>501.83459160000012</v>
      </c>
      <c r="BT247" s="518">
        <v>531.9446670960001</v>
      </c>
      <c r="BU247" s="518">
        <v>563.86134712175999</v>
      </c>
      <c r="BV247" s="518">
        <v>597.69302794906582</v>
      </c>
      <c r="BW247" s="518">
        <v>633.55460962600955</v>
      </c>
      <c r="BX247" s="518">
        <v>671.56788620357008</v>
      </c>
      <c r="BY247" s="518">
        <v>711.86195937578441</v>
      </c>
      <c r="BZ247" s="518">
        <v>754.57367693833146</v>
      </c>
      <c r="CA247" s="518">
        <v>799.84809755463141</v>
      </c>
      <c r="CB247" s="518">
        <v>847.83898340790915</v>
      </c>
      <c r="CC247" s="518">
        <v>898.70932241238381</v>
      </c>
      <c r="CD247" s="518">
        <v>952.63188175712685</v>
      </c>
      <c r="CE247" s="518">
        <v>1009.7897946625544</v>
      </c>
      <c r="CF247" s="518">
        <v>1070.3771823423076</v>
      </c>
      <c r="CG247" s="519">
        <v>1134.5998132828461</v>
      </c>
      <c r="CH247" s="520">
        <v>10.02</v>
      </c>
      <c r="CI247" s="521">
        <v>10.2204</v>
      </c>
      <c r="CJ247" s="521">
        <v>10.424808000000001</v>
      </c>
      <c r="CK247" s="521">
        <v>10.63330416</v>
      </c>
      <c r="CL247" s="521">
        <v>2.5</v>
      </c>
      <c r="CM247" s="521">
        <v>2.5499999999999998</v>
      </c>
      <c r="CN247" s="521">
        <v>2.601</v>
      </c>
      <c r="CO247" s="521">
        <v>2.6530200000000002</v>
      </c>
      <c r="CP247" s="521">
        <v>2.7060804000000003</v>
      </c>
      <c r="CQ247" s="521">
        <v>2.7602020080000003</v>
      </c>
      <c r="CR247" s="521">
        <v>2.8154060481600003</v>
      </c>
      <c r="CS247" s="521">
        <v>2.8717141691232002</v>
      </c>
      <c r="CT247" s="521">
        <v>2.5</v>
      </c>
      <c r="CU247" s="521">
        <v>2.5499999999999998</v>
      </c>
      <c r="CV247" s="521">
        <v>2.601</v>
      </c>
      <c r="CW247" s="521">
        <v>2.6530200000000002</v>
      </c>
      <c r="CX247" s="521">
        <v>2.7060804000000003</v>
      </c>
      <c r="CY247" s="521">
        <v>2.7602020080000003</v>
      </c>
      <c r="CZ247" s="521">
        <v>2.8154060481600003</v>
      </c>
      <c r="DA247" s="522">
        <v>2.8717141691232002</v>
      </c>
      <c r="DB247" s="523">
        <v>0</v>
      </c>
      <c r="DC247" s="524">
        <v>0</v>
      </c>
      <c r="DD247" s="524">
        <v>0</v>
      </c>
      <c r="DE247" s="524">
        <v>0</v>
      </c>
      <c r="DF247" s="524">
        <v>-1.040023397271795E-2</v>
      </c>
      <c r="DG247" s="524">
        <v>8.8804180283600653E-3</v>
      </c>
      <c r="DH247" s="524">
        <v>9.8020137922902872E-3</v>
      </c>
      <c r="DI247" s="524">
        <v>1.0818455504686277E-2</v>
      </c>
      <c r="DJ247" s="524">
        <v>1.193939294958022E-2</v>
      </c>
      <c r="DK247" s="524">
        <v>0.27637589586024214</v>
      </c>
      <c r="DL247" s="524">
        <v>6.9690165660496461E-5</v>
      </c>
      <c r="DM247" s="524">
        <v>5.0198867929937552E-5</v>
      </c>
      <c r="DN247" s="524">
        <v>-1.8189301808738942E-2</v>
      </c>
      <c r="DO247" s="524">
        <v>2.5434308875474376E-4</v>
      </c>
      <c r="DP247" s="524">
        <v>2.5109249407827966E-4</v>
      </c>
      <c r="DQ247" s="524">
        <v>2.4579538010315732E-4</v>
      </c>
      <c r="DR247" s="524">
        <v>2.381444174451991E-4</v>
      </c>
      <c r="DS247" s="524">
        <v>3.7286948744789966E-2</v>
      </c>
      <c r="DT247" s="524">
        <v>4.0460366419031724E-4</v>
      </c>
      <c r="DU247" s="525">
        <v>4.1148549170415272E-4</v>
      </c>
      <c r="DV247" s="526">
        <v>3.5</v>
      </c>
      <c r="DW247" s="507">
        <v>1</v>
      </c>
      <c r="DX247" s="509">
        <v>10.02</v>
      </c>
      <c r="DY247" s="507">
        <v>2</v>
      </c>
      <c r="DZ247" s="507">
        <v>15</v>
      </c>
      <c r="EA247" s="507">
        <v>0</v>
      </c>
      <c r="EB247" s="507">
        <v>0</v>
      </c>
      <c r="EC247" s="507">
        <v>111.62500000000001</v>
      </c>
      <c r="ED247" s="507">
        <v>102.18750000000001</v>
      </c>
      <c r="EE247" s="507">
        <v>0</v>
      </c>
      <c r="EF247" s="507">
        <v>25.062499999999996</v>
      </c>
      <c r="EG247" s="507">
        <v>29.3125</v>
      </c>
      <c r="EH247" s="507">
        <v>12.8125</v>
      </c>
      <c r="EI247" s="507">
        <v>16.6875</v>
      </c>
      <c r="EJ247" s="507">
        <v>56.4375</v>
      </c>
      <c r="EK247" s="507">
        <v>10.4375</v>
      </c>
      <c r="EL247" s="507">
        <v>10.4375</v>
      </c>
      <c r="EM247" s="508">
        <v>375</v>
      </c>
    </row>
    <row r="248" spans="2:143" x14ac:dyDescent="0.25">
      <c r="B248" s="506">
        <f>[1]RONET_Input!J219</f>
        <v>0</v>
      </c>
      <c r="C248" s="359">
        <f>[1]RONET_Input!B219</f>
        <v>217</v>
      </c>
      <c r="D248" s="397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442">
        <f>[1]RONET_Input!K219</f>
        <v>3.13213308194E-3</v>
      </c>
      <c r="Q248" s="398">
        <f>[1]RONET_Input!Y219</f>
        <v>2</v>
      </c>
      <c r="R248" s="398">
        <f>[1]RONET_Input!X219</f>
        <v>3.5</v>
      </c>
      <c r="S248" s="398"/>
      <c r="T248" s="398"/>
      <c r="U248" s="398">
        <f>[1]RONET_Input!AA219</f>
        <v>8</v>
      </c>
      <c r="V248" s="398">
        <f>[1]RONET_Input!AC219</f>
        <v>1</v>
      </c>
      <c r="W248" s="398">
        <f>[1]RONET_Input!AD219</f>
        <v>1</v>
      </c>
      <c r="X248" s="398">
        <f>[1]RONET_Input!AE219</f>
        <v>4</v>
      </c>
      <c r="Y248" s="398">
        <f>[1]RONET_Input!AB219</f>
        <v>1</v>
      </c>
      <c r="Z248" s="438">
        <f>[1]RONET_Input!Z219</f>
        <v>1</v>
      </c>
      <c r="AA248" s="442"/>
      <c r="AB248" s="398"/>
      <c r="AC248" s="438"/>
      <c r="AD248" s="442">
        <f>[1]RONET_Input!AH219</f>
        <v>3</v>
      </c>
      <c r="AE248" s="398">
        <f>[1]RONET_Input!D219</f>
        <v>0</v>
      </c>
      <c r="AF248" s="398"/>
      <c r="AG248" s="398"/>
      <c r="AH248" s="398"/>
      <c r="AI248" s="438"/>
      <c r="AJ248" s="442">
        <v>1</v>
      </c>
      <c r="AK248" s="442">
        <f>[1]RONET_Input!AF219</f>
        <v>4</v>
      </c>
      <c r="AL248" s="507"/>
      <c r="AM248" s="507"/>
      <c r="AN248" s="507"/>
      <c r="AO248" s="507"/>
      <c r="AP248" s="507"/>
      <c r="AQ248" s="507"/>
      <c r="AR248" s="507"/>
      <c r="AS248" s="507"/>
      <c r="AT248" s="507"/>
      <c r="AU248" s="507"/>
      <c r="AV248" s="507"/>
      <c r="AW248" s="507"/>
      <c r="AX248" s="508"/>
      <c r="AY248" s="509">
        <f>[1]RONET_Input!AG219</f>
        <v>3</v>
      </c>
      <c r="AZ248" s="359" t="s">
        <v>321</v>
      </c>
      <c r="BA248" s="360" t="s">
        <v>502</v>
      </c>
      <c r="BB248" s="360" t="s">
        <v>443</v>
      </c>
      <c r="BC248" s="510">
        <v>1.5676326075109701E-4</v>
      </c>
      <c r="BD248" s="510">
        <v>5.0050000000000004E-2</v>
      </c>
      <c r="BE248" s="438">
        <v>6</v>
      </c>
      <c r="BF248" s="511">
        <v>1.2388955642360256E-3</v>
      </c>
      <c r="BG248" s="512">
        <v>0.39554371791529075</v>
      </c>
      <c r="BH248" s="512">
        <v>7.9029713869188951</v>
      </c>
      <c r="BI248" s="513">
        <v>0</v>
      </c>
      <c r="BJ248" s="514">
        <v>375</v>
      </c>
      <c r="BK248" s="515">
        <v>0.22366666666666665</v>
      </c>
      <c r="BL248" s="512">
        <v>4.2871071559053752E-4</v>
      </c>
      <c r="BM248" s="516">
        <v>3.2054071874999999E-2</v>
      </c>
      <c r="BN248" s="517">
        <v>375</v>
      </c>
      <c r="BO248" s="518">
        <v>397.50000000000011</v>
      </c>
      <c r="BP248" s="518">
        <v>421.34999999999991</v>
      </c>
      <c r="BQ248" s="518">
        <v>446.63099999999997</v>
      </c>
      <c r="BR248" s="518">
        <v>473.42885999999999</v>
      </c>
      <c r="BS248" s="518">
        <v>501.83459160000012</v>
      </c>
      <c r="BT248" s="518">
        <v>531.9446670960001</v>
      </c>
      <c r="BU248" s="518">
        <v>563.86134712175999</v>
      </c>
      <c r="BV248" s="518">
        <v>597.69302794906582</v>
      </c>
      <c r="BW248" s="518">
        <v>633.55460962600955</v>
      </c>
      <c r="BX248" s="518">
        <v>671.56788620357008</v>
      </c>
      <c r="BY248" s="518">
        <v>711.86195937578441</v>
      </c>
      <c r="BZ248" s="518">
        <v>754.57367693833146</v>
      </c>
      <c r="CA248" s="518">
        <v>799.84809755463141</v>
      </c>
      <c r="CB248" s="518">
        <v>847.83898340790915</v>
      </c>
      <c r="CC248" s="518">
        <v>898.70932241238381</v>
      </c>
      <c r="CD248" s="518">
        <v>952.63188175712685</v>
      </c>
      <c r="CE248" s="518">
        <v>1009.7897946625544</v>
      </c>
      <c r="CF248" s="518">
        <v>1070.3771823423076</v>
      </c>
      <c r="CG248" s="519">
        <v>1134.5998132828461</v>
      </c>
      <c r="CH248" s="520">
        <v>4.5</v>
      </c>
      <c r="CI248" s="521">
        <v>4.59</v>
      </c>
      <c r="CJ248" s="521">
        <v>4.6818</v>
      </c>
      <c r="CK248" s="521">
        <v>4.775436</v>
      </c>
      <c r="CL248" s="521">
        <v>4.8709447199999998</v>
      </c>
      <c r="CM248" s="521">
        <v>2.5</v>
      </c>
      <c r="CN248" s="521">
        <v>2.5499999999999998</v>
      </c>
      <c r="CO248" s="521">
        <v>2.601</v>
      </c>
      <c r="CP248" s="521">
        <v>2.6530200000000002</v>
      </c>
      <c r="CQ248" s="521">
        <v>2.7060804000000003</v>
      </c>
      <c r="CR248" s="521">
        <v>2.7602020080000003</v>
      </c>
      <c r="CS248" s="521">
        <v>2.8154060481600003</v>
      </c>
      <c r="CT248" s="521">
        <v>2.8717141691232002</v>
      </c>
      <c r="CU248" s="521">
        <v>2.5</v>
      </c>
      <c r="CV248" s="521">
        <v>2.5499999999999998</v>
      </c>
      <c r="CW248" s="521">
        <v>2.601</v>
      </c>
      <c r="CX248" s="521">
        <v>2.6530200000000002</v>
      </c>
      <c r="CY248" s="521">
        <v>2.7060804000000003</v>
      </c>
      <c r="CZ248" s="521">
        <v>2.7602020080000003</v>
      </c>
      <c r="DA248" s="522">
        <v>2.8154060481600003</v>
      </c>
      <c r="DB248" s="523">
        <v>0</v>
      </c>
      <c r="DC248" s="524">
        <v>0</v>
      </c>
      <c r="DD248" s="524">
        <v>0</v>
      </c>
      <c r="DE248" s="524">
        <v>0</v>
      </c>
      <c r="DF248" s="524">
        <v>0</v>
      </c>
      <c r="DG248" s="524">
        <v>-1.3238666763350568E-4</v>
      </c>
      <c r="DH248" s="524">
        <v>1.1373458785957373E-5</v>
      </c>
      <c r="DI248" s="524">
        <v>1.2595695624826361E-5</v>
      </c>
      <c r="DJ248" s="524">
        <v>1.3946745130320759E-5</v>
      </c>
      <c r="DK248" s="524">
        <v>2.1376801166584627E-3</v>
      </c>
      <c r="DL248" s="524">
        <v>7.4933877914333145E-7</v>
      </c>
      <c r="DM248" s="524">
        <v>6.2207948878370079E-7</v>
      </c>
      <c r="DN248" s="524">
        <v>4.6963499697249634E-7</v>
      </c>
      <c r="DO248" s="524">
        <v>-1.4049096518372879E-4</v>
      </c>
      <c r="DP248" s="524">
        <v>2.1607759040454606E-6</v>
      </c>
      <c r="DQ248" s="524">
        <v>2.144566016483451E-6</v>
      </c>
      <c r="DR248" s="524">
        <v>2.1128566568317034E-6</v>
      </c>
      <c r="DS248" s="524">
        <v>2.8867873538946851E-4</v>
      </c>
      <c r="DT248" s="524">
        <v>3.4644784669896674E-6</v>
      </c>
      <c r="DU248" s="525">
        <v>3.5551362528745724E-6</v>
      </c>
      <c r="DV248" s="526">
        <v>3.5</v>
      </c>
      <c r="DW248" s="507">
        <v>1</v>
      </c>
      <c r="DX248" s="509">
        <v>4.5</v>
      </c>
      <c r="DY248" s="507">
        <v>2</v>
      </c>
      <c r="DZ248" s="507">
        <v>10</v>
      </c>
      <c r="EA248" s="507">
        <v>0</v>
      </c>
      <c r="EB248" s="507">
        <v>0</v>
      </c>
      <c r="EC248" s="507">
        <v>111.62500000000001</v>
      </c>
      <c r="ED248" s="507">
        <v>102.18750000000001</v>
      </c>
      <c r="EE248" s="507">
        <v>0</v>
      </c>
      <c r="EF248" s="507">
        <v>25.062499999999996</v>
      </c>
      <c r="EG248" s="507">
        <v>29.3125</v>
      </c>
      <c r="EH248" s="507">
        <v>12.8125</v>
      </c>
      <c r="EI248" s="507">
        <v>16.6875</v>
      </c>
      <c r="EJ248" s="507">
        <v>56.4375</v>
      </c>
      <c r="EK248" s="507">
        <v>10.4375</v>
      </c>
      <c r="EL248" s="507">
        <v>10.4375</v>
      </c>
      <c r="EM248" s="508">
        <v>375</v>
      </c>
    </row>
    <row r="249" spans="2:143" x14ac:dyDescent="0.25">
      <c r="B249" s="506" t="str">
        <f>[1]RONET_Input!J220</f>
        <v xml:space="preserve">Input VPROMMS: QL45_2 (50.0 pct); ql45_1 (49.14 pct); 213tt00004 (0.86 pct); </v>
      </c>
      <c r="C249" s="359">
        <f>[1]RONET_Input!B220</f>
        <v>218</v>
      </c>
      <c r="D249" s="397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442">
        <f>[1]RONET_Input!K220</f>
        <v>3.2087493881100002</v>
      </c>
      <c r="Q249" s="398">
        <f>[1]RONET_Input!Y220</f>
        <v>2</v>
      </c>
      <c r="R249" s="398">
        <f>[1]RONET_Input!X220</f>
        <v>3.5</v>
      </c>
      <c r="S249" s="398"/>
      <c r="T249" s="398"/>
      <c r="U249" s="398">
        <f>[1]RONET_Input!AA220</f>
        <v>8</v>
      </c>
      <c r="V249" s="398">
        <f>[1]RONET_Input!AC220</f>
        <v>1</v>
      </c>
      <c r="W249" s="398">
        <f>[1]RONET_Input!AD220</f>
        <v>1</v>
      </c>
      <c r="X249" s="398">
        <f>[1]RONET_Input!AE220</f>
        <v>4</v>
      </c>
      <c r="Y249" s="398">
        <f>[1]RONET_Input!AB220</f>
        <v>1</v>
      </c>
      <c r="Z249" s="438">
        <f>[1]RONET_Input!Z220</f>
        <v>1</v>
      </c>
      <c r="AA249" s="442"/>
      <c r="AB249" s="398"/>
      <c r="AC249" s="438"/>
      <c r="AD249" s="442">
        <f>[1]RONET_Input!AH220</f>
        <v>4</v>
      </c>
      <c r="AE249" s="398">
        <f>[1]RONET_Input!D220</f>
        <v>10.06</v>
      </c>
      <c r="AF249" s="398"/>
      <c r="AG249" s="398"/>
      <c r="AH249" s="398"/>
      <c r="AI249" s="438"/>
      <c r="AJ249" s="442">
        <v>1</v>
      </c>
      <c r="AK249" s="442">
        <f>[1]RONET_Input!AF220</f>
        <v>4</v>
      </c>
      <c r="AL249" s="507"/>
      <c r="AM249" s="507"/>
      <c r="AN249" s="507"/>
      <c r="AO249" s="507"/>
      <c r="AP249" s="507"/>
      <c r="AQ249" s="507"/>
      <c r="AR249" s="507"/>
      <c r="AS249" s="507"/>
      <c r="AT249" s="507"/>
      <c r="AU249" s="507"/>
      <c r="AV249" s="507"/>
      <c r="AW249" s="507"/>
      <c r="AX249" s="508"/>
      <c r="AY249" s="509">
        <f>[1]RONET_Input!AG220</f>
        <v>3</v>
      </c>
      <c r="AZ249" s="359" t="s">
        <v>321</v>
      </c>
      <c r="BA249" s="360" t="s">
        <v>502</v>
      </c>
      <c r="BB249" s="360" t="s">
        <v>443</v>
      </c>
      <c r="BC249" s="510">
        <v>0.16059790687490549</v>
      </c>
      <c r="BD249" s="510">
        <v>5.0049999999999997E-2</v>
      </c>
      <c r="BE249" s="438">
        <v>5</v>
      </c>
      <c r="BF249" s="511">
        <v>1.5010716051709869</v>
      </c>
      <c r="BG249" s="512">
        <v>0.46780580955720563</v>
      </c>
      <c r="BH249" s="512">
        <v>9.3467694217223922</v>
      </c>
      <c r="BI249" s="513">
        <v>0</v>
      </c>
      <c r="BJ249" s="514">
        <v>375</v>
      </c>
      <c r="BK249" s="515">
        <v>0.22366666666666665</v>
      </c>
      <c r="BL249" s="512">
        <v>0.43919757249755637</v>
      </c>
      <c r="BM249" s="516">
        <v>3.2054071874999999E-2</v>
      </c>
      <c r="BN249" s="517">
        <v>375</v>
      </c>
      <c r="BO249" s="518">
        <v>397.50000000000011</v>
      </c>
      <c r="BP249" s="518">
        <v>421.34999999999991</v>
      </c>
      <c r="BQ249" s="518">
        <v>446.63099999999997</v>
      </c>
      <c r="BR249" s="518">
        <v>473.42885999999999</v>
      </c>
      <c r="BS249" s="518">
        <v>501.83459160000012</v>
      </c>
      <c r="BT249" s="518">
        <v>531.9446670960001</v>
      </c>
      <c r="BU249" s="518">
        <v>563.86134712175999</v>
      </c>
      <c r="BV249" s="518">
        <v>597.69302794906582</v>
      </c>
      <c r="BW249" s="518">
        <v>633.55460962600955</v>
      </c>
      <c r="BX249" s="518">
        <v>671.56788620357008</v>
      </c>
      <c r="BY249" s="518">
        <v>711.86195937578441</v>
      </c>
      <c r="BZ249" s="518">
        <v>754.57367693833146</v>
      </c>
      <c r="CA249" s="518">
        <v>799.84809755463141</v>
      </c>
      <c r="CB249" s="518">
        <v>847.83898340790915</v>
      </c>
      <c r="CC249" s="518">
        <v>898.70932241238381</v>
      </c>
      <c r="CD249" s="518">
        <v>952.63188175712685</v>
      </c>
      <c r="CE249" s="518">
        <v>1009.7897946625544</v>
      </c>
      <c r="CF249" s="518">
        <v>1070.3771823423076</v>
      </c>
      <c r="CG249" s="519">
        <v>1134.5998132828461</v>
      </c>
      <c r="CH249" s="520">
        <v>10.06</v>
      </c>
      <c r="CI249" s="521">
        <v>10.261200000000001</v>
      </c>
      <c r="CJ249" s="521">
        <v>10.466424</v>
      </c>
      <c r="CK249" s="521">
        <v>10.67575248</v>
      </c>
      <c r="CL249" s="521">
        <v>2.5</v>
      </c>
      <c r="CM249" s="521">
        <v>2.5499999999999998</v>
      </c>
      <c r="CN249" s="521">
        <v>2.601</v>
      </c>
      <c r="CO249" s="521">
        <v>2.6530200000000002</v>
      </c>
      <c r="CP249" s="521">
        <v>2.7060804000000003</v>
      </c>
      <c r="CQ249" s="521">
        <v>2.7602020080000003</v>
      </c>
      <c r="CR249" s="521">
        <v>2.8154060481600003</v>
      </c>
      <c r="CS249" s="521">
        <v>2.8717141691232002</v>
      </c>
      <c r="CT249" s="521">
        <v>2.5</v>
      </c>
      <c r="CU249" s="521">
        <v>2.5499999999999998</v>
      </c>
      <c r="CV249" s="521">
        <v>2.601</v>
      </c>
      <c r="CW249" s="521">
        <v>2.6530200000000002</v>
      </c>
      <c r="CX249" s="521">
        <v>2.7060804000000003</v>
      </c>
      <c r="CY249" s="521">
        <v>2.7602020080000003</v>
      </c>
      <c r="CZ249" s="521">
        <v>2.8154060481600003</v>
      </c>
      <c r="DA249" s="522">
        <v>2.8717141691232002</v>
      </c>
      <c r="DB249" s="523">
        <v>0</v>
      </c>
      <c r="DC249" s="524">
        <v>0</v>
      </c>
      <c r="DD249" s="524">
        <v>0</v>
      </c>
      <c r="DE249" s="524">
        <v>0</v>
      </c>
      <c r="DF249" s="524">
        <v>-8.1857041015784726E-2</v>
      </c>
      <c r="DG249" s="524">
        <v>7.0963002357115001E-2</v>
      </c>
      <c r="DH249" s="524">
        <v>7.8326531323650583E-2</v>
      </c>
      <c r="DI249" s="524">
        <v>8.6447744365480694E-2</v>
      </c>
      <c r="DJ249" s="524">
        <v>9.5403685959850937E-2</v>
      </c>
      <c r="DK249" s="524">
        <v>2.1897769330630705</v>
      </c>
      <c r="DL249" s="524">
        <v>5.5216796945950497E-4</v>
      </c>
      <c r="DM249" s="524">
        <v>3.9773484122657132E-4</v>
      </c>
      <c r="DN249" s="524">
        <v>-0.14411717565065951</v>
      </c>
      <c r="DO249" s="524">
        <v>2.0152069597298983E-3</v>
      </c>
      <c r="DP249" s="524">
        <v>1.989451901680761E-3</v>
      </c>
      <c r="DQ249" s="524">
        <v>1.9474818957278539E-3</v>
      </c>
      <c r="DR249" s="524">
        <v>1.886861914770388E-3</v>
      </c>
      <c r="DS249" s="524">
        <v>0.29543133641052022</v>
      </c>
      <c r="DT249" s="524">
        <v>3.2057490691040913E-3</v>
      </c>
      <c r="DU249" s="525">
        <v>3.2602750511915302E-3</v>
      </c>
      <c r="DV249" s="526">
        <v>3.5</v>
      </c>
      <c r="DW249" s="507">
        <v>1</v>
      </c>
      <c r="DX249" s="509">
        <v>10.06</v>
      </c>
      <c r="DY249" s="507">
        <v>2</v>
      </c>
      <c r="DZ249" s="507">
        <v>15</v>
      </c>
      <c r="EA249" s="507">
        <v>0</v>
      </c>
      <c r="EB249" s="507">
        <v>0</v>
      </c>
      <c r="EC249" s="507">
        <v>111.62500000000001</v>
      </c>
      <c r="ED249" s="507">
        <v>102.18750000000001</v>
      </c>
      <c r="EE249" s="507">
        <v>0</v>
      </c>
      <c r="EF249" s="507">
        <v>25.062499999999996</v>
      </c>
      <c r="EG249" s="507">
        <v>29.3125</v>
      </c>
      <c r="EH249" s="507">
        <v>12.8125</v>
      </c>
      <c r="EI249" s="507">
        <v>16.6875</v>
      </c>
      <c r="EJ249" s="507">
        <v>56.4375</v>
      </c>
      <c r="EK249" s="507">
        <v>10.4375</v>
      </c>
      <c r="EL249" s="507">
        <v>10.4375</v>
      </c>
      <c r="EM249" s="508">
        <v>375</v>
      </c>
    </row>
    <row r="250" spans="2:143" x14ac:dyDescent="0.25">
      <c r="B250" s="506" t="str">
        <f>[1]RONET_Input!J221</f>
        <v xml:space="preserve">Input VPROMMS: 217B_1 (47.62 pct); 217b_1 (47.62 pct); QL45_2 (4.76 pct); </v>
      </c>
      <c r="C250" s="359">
        <f>[1]RONET_Input!B221</f>
        <v>219</v>
      </c>
      <c r="D250" s="397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442">
        <f>[1]RONET_Input!K221</f>
        <v>0.473771331967</v>
      </c>
      <c r="Q250" s="398">
        <f>[1]RONET_Input!Y221</f>
        <v>2</v>
      </c>
      <c r="R250" s="398">
        <f>[1]RONET_Input!X221</f>
        <v>3.5</v>
      </c>
      <c r="S250" s="398"/>
      <c r="T250" s="398"/>
      <c r="U250" s="398">
        <f>[1]RONET_Input!AA221</f>
        <v>8</v>
      </c>
      <c r="V250" s="398">
        <f>[1]RONET_Input!AC221</f>
        <v>1</v>
      </c>
      <c r="W250" s="398">
        <f>[1]RONET_Input!AD221</f>
        <v>1</v>
      </c>
      <c r="X250" s="398">
        <f>[1]RONET_Input!AE221</f>
        <v>4</v>
      </c>
      <c r="Y250" s="398">
        <f>[1]RONET_Input!AB221</f>
        <v>1</v>
      </c>
      <c r="Z250" s="438">
        <f>[1]RONET_Input!Z221</f>
        <v>1</v>
      </c>
      <c r="AA250" s="442"/>
      <c r="AB250" s="398"/>
      <c r="AC250" s="438"/>
      <c r="AD250" s="442">
        <f>[1]RONET_Input!AH221</f>
        <v>3</v>
      </c>
      <c r="AE250" s="398">
        <f>[1]RONET_Input!D221</f>
        <v>7.89</v>
      </c>
      <c r="AF250" s="398"/>
      <c r="AG250" s="398"/>
      <c r="AH250" s="398"/>
      <c r="AI250" s="438"/>
      <c r="AJ250" s="442">
        <v>1</v>
      </c>
      <c r="AK250" s="442">
        <f>[1]RONET_Input!AF221</f>
        <v>4</v>
      </c>
      <c r="AL250" s="507"/>
      <c r="AM250" s="507"/>
      <c r="AN250" s="507"/>
      <c r="AO250" s="507"/>
      <c r="AP250" s="507"/>
      <c r="AQ250" s="507"/>
      <c r="AR250" s="507"/>
      <c r="AS250" s="507"/>
      <c r="AT250" s="507"/>
      <c r="AU250" s="507"/>
      <c r="AV250" s="507"/>
      <c r="AW250" s="507"/>
      <c r="AX250" s="508"/>
      <c r="AY250" s="509">
        <f>[1]RONET_Input!AG221</f>
        <v>3</v>
      </c>
      <c r="AZ250" s="359" t="s">
        <v>321</v>
      </c>
      <c r="BA250" s="360" t="s">
        <v>502</v>
      </c>
      <c r="BB250" s="360" t="s">
        <v>443</v>
      </c>
      <c r="BC250" s="510">
        <v>2.3712255164948348E-2</v>
      </c>
      <c r="BD250" s="510">
        <v>5.0049999999999997E-2</v>
      </c>
      <c r="BE250" s="438">
        <v>5</v>
      </c>
      <c r="BF250" s="511">
        <v>0.20484032420218956</v>
      </c>
      <c r="BG250" s="512">
        <v>0.43236116324669782</v>
      </c>
      <c r="BH250" s="512">
        <v>8.6385846802537039</v>
      </c>
      <c r="BI250" s="513">
        <v>0</v>
      </c>
      <c r="BJ250" s="514">
        <v>375</v>
      </c>
      <c r="BK250" s="515">
        <v>0.22366666666666665</v>
      </c>
      <c r="BL250" s="512">
        <v>6.4847451062983119E-2</v>
      </c>
      <c r="BM250" s="516">
        <v>3.2054071874999999E-2</v>
      </c>
      <c r="BN250" s="517">
        <v>375</v>
      </c>
      <c r="BO250" s="518">
        <v>397.50000000000011</v>
      </c>
      <c r="BP250" s="518">
        <v>421.34999999999991</v>
      </c>
      <c r="BQ250" s="518">
        <v>446.63099999999997</v>
      </c>
      <c r="BR250" s="518">
        <v>473.42885999999999</v>
      </c>
      <c r="BS250" s="518">
        <v>501.83459160000012</v>
      </c>
      <c r="BT250" s="518">
        <v>531.9446670960001</v>
      </c>
      <c r="BU250" s="518">
        <v>563.86134712175999</v>
      </c>
      <c r="BV250" s="518">
        <v>597.69302794906582</v>
      </c>
      <c r="BW250" s="518">
        <v>633.55460962600955</v>
      </c>
      <c r="BX250" s="518">
        <v>671.56788620357008</v>
      </c>
      <c r="BY250" s="518">
        <v>711.86195937578441</v>
      </c>
      <c r="BZ250" s="518">
        <v>754.57367693833146</v>
      </c>
      <c r="CA250" s="518">
        <v>799.84809755463141</v>
      </c>
      <c r="CB250" s="518">
        <v>847.83898340790915</v>
      </c>
      <c r="CC250" s="518">
        <v>898.70932241238381</v>
      </c>
      <c r="CD250" s="518">
        <v>952.63188175712685</v>
      </c>
      <c r="CE250" s="518">
        <v>1009.7897946625544</v>
      </c>
      <c r="CF250" s="518">
        <v>1070.3771823423076</v>
      </c>
      <c r="CG250" s="519">
        <v>1134.5998132828461</v>
      </c>
      <c r="CH250" s="520">
        <v>7.89</v>
      </c>
      <c r="CI250" s="521">
        <v>8.0478000000000005</v>
      </c>
      <c r="CJ250" s="521">
        <v>8.2087560000000011</v>
      </c>
      <c r="CK250" s="521">
        <v>8.3729311200000005</v>
      </c>
      <c r="CL250" s="521">
        <v>2.5</v>
      </c>
      <c r="CM250" s="521">
        <v>2.5499999999999998</v>
      </c>
      <c r="CN250" s="521">
        <v>2.601</v>
      </c>
      <c r="CO250" s="521">
        <v>2.6530200000000002</v>
      </c>
      <c r="CP250" s="521">
        <v>2.7060804000000003</v>
      </c>
      <c r="CQ250" s="521">
        <v>2.7602020080000003</v>
      </c>
      <c r="CR250" s="521">
        <v>2.8154060481600003</v>
      </c>
      <c r="CS250" s="521">
        <v>2.8717141691232002</v>
      </c>
      <c r="CT250" s="521">
        <v>2.5</v>
      </c>
      <c r="CU250" s="521">
        <v>2.5499999999999998</v>
      </c>
      <c r="CV250" s="521">
        <v>2.601</v>
      </c>
      <c r="CW250" s="521">
        <v>2.6530200000000002</v>
      </c>
      <c r="CX250" s="521">
        <v>2.7060804000000003</v>
      </c>
      <c r="CY250" s="521">
        <v>2.7602020080000003</v>
      </c>
      <c r="CZ250" s="521">
        <v>2.8154060481600003</v>
      </c>
      <c r="DA250" s="522">
        <v>2.8717141691232002</v>
      </c>
      <c r="DB250" s="523">
        <v>0</v>
      </c>
      <c r="DC250" s="524">
        <v>0</v>
      </c>
      <c r="DD250" s="524">
        <v>0</v>
      </c>
      <c r="DE250" s="524">
        <v>0</v>
      </c>
      <c r="DF250" s="524">
        <v>-1.5998662144358133E-2</v>
      </c>
      <c r="DG250" s="524">
        <v>6.1634555766099247E-3</v>
      </c>
      <c r="DH250" s="524">
        <v>6.8078976735255273E-3</v>
      </c>
      <c r="DI250" s="524">
        <v>7.519039182341189E-3</v>
      </c>
      <c r="DJ250" s="524">
        <v>8.3037410681905885E-3</v>
      </c>
      <c r="DK250" s="524">
        <v>0.32332021258256566</v>
      </c>
      <c r="DL250" s="524">
        <v>8.1527512036216887E-5</v>
      </c>
      <c r="DM250" s="524">
        <v>5.8725485447969072E-5</v>
      </c>
      <c r="DN250" s="524">
        <v>-2.1278877845786554E-2</v>
      </c>
      <c r="DO250" s="524">
        <v>2.9754498404838126E-4</v>
      </c>
      <c r="DP250" s="524">
        <v>2.9374225386256947E-4</v>
      </c>
      <c r="DQ250" s="524">
        <v>2.875453892221963E-4</v>
      </c>
      <c r="DR250" s="524">
        <v>2.7859485876681467E-4</v>
      </c>
      <c r="DS250" s="524">
        <v>4.3620389387419717E-2</v>
      </c>
      <c r="DT250" s="524">
        <v>4.7332833534749486E-4</v>
      </c>
      <c r="DU250" s="525">
        <v>4.8137908784819106E-4</v>
      </c>
      <c r="DV250" s="526">
        <v>3.5</v>
      </c>
      <c r="DW250" s="507">
        <v>1</v>
      </c>
      <c r="DX250" s="509">
        <v>7.89</v>
      </c>
      <c r="DY250" s="507">
        <v>2</v>
      </c>
      <c r="DZ250" s="507">
        <v>10</v>
      </c>
      <c r="EA250" s="507">
        <v>0</v>
      </c>
      <c r="EB250" s="507">
        <v>0</v>
      </c>
      <c r="EC250" s="507">
        <v>111.62500000000001</v>
      </c>
      <c r="ED250" s="507">
        <v>102.18750000000001</v>
      </c>
      <c r="EE250" s="507">
        <v>0</v>
      </c>
      <c r="EF250" s="507">
        <v>25.062499999999996</v>
      </c>
      <c r="EG250" s="507">
        <v>29.3125</v>
      </c>
      <c r="EH250" s="507">
        <v>12.8125</v>
      </c>
      <c r="EI250" s="507">
        <v>16.6875</v>
      </c>
      <c r="EJ250" s="507">
        <v>56.4375</v>
      </c>
      <c r="EK250" s="507">
        <v>10.4375</v>
      </c>
      <c r="EL250" s="507">
        <v>10.4375</v>
      </c>
      <c r="EM250" s="508">
        <v>375</v>
      </c>
    </row>
    <row r="251" spans="2:143" x14ac:dyDescent="0.25">
      <c r="B251" s="506" t="str">
        <f>[1]RONET_Input!J222</f>
        <v xml:space="preserve">Input VPROMMS: 212th00034 (65.55 pct); 214tt00012 (31.93 pct); 217tt00084 (1.68 pct); 214tt00084 (0.84 pct); </v>
      </c>
      <c r="C251" s="359">
        <f>[1]RONET_Input!B222</f>
        <v>220</v>
      </c>
      <c r="D251" s="397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442">
        <f>[1]RONET_Input!K222</f>
        <v>3.91371298437</v>
      </c>
      <c r="Q251" s="398">
        <f>[1]RONET_Input!Y222</f>
        <v>2</v>
      </c>
      <c r="R251" s="398">
        <f>[1]RONET_Input!X222</f>
        <v>3.5</v>
      </c>
      <c r="S251" s="398"/>
      <c r="T251" s="398"/>
      <c r="U251" s="398">
        <f>[1]RONET_Input!AA222</f>
        <v>8</v>
      </c>
      <c r="V251" s="398">
        <f>[1]RONET_Input!AC222</f>
        <v>1</v>
      </c>
      <c r="W251" s="398">
        <f>[1]RONET_Input!AD222</f>
        <v>1</v>
      </c>
      <c r="X251" s="398">
        <f>[1]RONET_Input!AE222</f>
        <v>4</v>
      </c>
      <c r="Y251" s="398">
        <f>[1]RONET_Input!AB222</f>
        <v>1</v>
      </c>
      <c r="Z251" s="438">
        <f>[1]RONET_Input!Z222</f>
        <v>1</v>
      </c>
      <c r="AA251" s="442"/>
      <c r="AB251" s="398"/>
      <c r="AC251" s="438"/>
      <c r="AD251" s="442">
        <f>[1]RONET_Input!AH222</f>
        <v>3</v>
      </c>
      <c r="AE251" s="398">
        <f>[1]RONET_Input!D222</f>
        <v>7.66</v>
      </c>
      <c r="AF251" s="398"/>
      <c r="AG251" s="398"/>
      <c r="AH251" s="398"/>
      <c r="AI251" s="438"/>
      <c r="AJ251" s="442">
        <v>1</v>
      </c>
      <c r="AK251" s="442">
        <f>[1]RONET_Input!AF222</f>
        <v>4</v>
      </c>
      <c r="AL251" s="507"/>
      <c r="AM251" s="507"/>
      <c r="AN251" s="507"/>
      <c r="AO251" s="507"/>
      <c r="AP251" s="507"/>
      <c r="AQ251" s="507"/>
      <c r="AR251" s="507"/>
      <c r="AS251" s="507"/>
      <c r="AT251" s="507"/>
      <c r="AU251" s="507"/>
      <c r="AV251" s="507"/>
      <c r="AW251" s="507"/>
      <c r="AX251" s="508"/>
      <c r="AY251" s="509">
        <f>[1]RONET_Input!AG222</f>
        <v>3</v>
      </c>
      <c r="AZ251" s="359" t="s">
        <v>321</v>
      </c>
      <c r="BA251" s="360" t="s">
        <v>502</v>
      </c>
      <c r="BB251" s="360" t="s">
        <v>443</v>
      </c>
      <c r="BC251" s="510">
        <v>0.1958813348677185</v>
      </c>
      <c r="BD251" s="510">
        <v>5.0049999999999997E-2</v>
      </c>
      <c r="BE251" s="438">
        <v>5</v>
      </c>
      <c r="BF251" s="511">
        <v>1.6793919824435126</v>
      </c>
      <c r="BG251" s="512">
        <v>0.42910453299728835</v>
      </c>
      <c r="BH251" s="512">
        <v>8.5735171428029648</v>
      </c>
      <c r="BI251" s="513">
        <v>0</v>
      </c>
      <c r="BJ251" s="514">
        <v>375</v>
      </c>
      <c r="BK251" s="515">
        <v>0.22366666666666665</v>
      </c>
      <c r="BL251" s="512">
        <v>0.53568946473564383</v>
      </c>
      <c r="BM251" s="516">
        <v>3.2054071874999999E-2</v>
      </c>
      <c r="BN251" s="517">
        <v>375</v>
      </c>
      <c r="BO251" s="518">
        <v>397.50000000000011</v>
      </c>
      <c r="BP251" s="518">
        <v>421.34999999999991</v>
      </c>
      <c r="BQ251" s="518">
        <v>446.63099999999997</v>
      </c>
      <c r="BR251" s="518">
        <v>473.42885999999999</v>
      </c>
      <c r="BS251" s="518">
        <v>501.83459160000012</v>
      </c>
      <c r="BT251" s="518">
        <v>531.9446670960001</v>
      </c>
      <c r="BU251" s="518">
        <v>563.86134712175999</v>
      </c>
      <c r="BV251" s="518">
        <v>597.69302794906582</v>
      </c>
      <c r="BW251" s="518">
        <v>633.55460962600955</v>
      </c>
      <c r="BX251" s="518">
        <v>671.56788620357008</v>
      </c>
      <c r="BY251" s="518">
        <v>711.86195937578441</v>
      </c>
      <c r="BZ251" s="518">
        <v>754.57367693833146</v>
      </c>
      <c r="CA251" s="518">
        <v>799.84809755463141</v>
      </c>
      <c r="CB251" s="518">
        <v>847.83898340790915</v>
      </c>
      <c r="CC251" s="518">
        <v>898.70932241238381</v>
      </c>
      <c r="CD251" s="518">
        <v>952.63188175712685</v>
      </c>
      <c r="CE251" s="518">
        <v>1009.7897946625544</v>
      </c>
      <c r="CF251" s="518">
        <v>1070.3771823423076</v>
      </c>
      <c r="CG251" s="519">
        <v>1134.5998132828461</v>
      </c>
      <c r="CH251" s="520">
        <v>7.66</v>
      </c>
      <c r="CI251" s="521">
        <v>7.8132000000000001</v>
      </c>
      <c r="CJ251" s="521">
        <v>7.9694640000000003</v>
      </c>
      <c r="CK251" s="521">
        <v>8.1288532799999995</v>
      </c>
      <c r="CL251" s="521">
        <v>2.5</v>
      </c>
      <c r="CM251" s="521">
        <v>2.5499999999999998</v>
      </c>
      <c r="CN251" s="521">
        <v>2.601</v>
      </c>
      <c r="CO251" s="521">
        <v>2.6530200000000002</v>
      </c>
      <c r="CP251" s="521">
        <v>2.7060804000000003</v>
      </c>
      <c r="CQ251" s="521">
        <v>2.7602020080000003</v>
      </c>
      <c r="CR251" s="521">
        <v>2.8154060481600003</v>
      </c>
      <c r="CS251" s="521">
        <v>2.8717141691232002</v>
      </c>
      <c r="CT251" s="521">
        <v>2.5</v>
      </c>
      <c r="CU251" s="521">
        <v>2.5499999999999998</v>
      </c>
      <c r="CV251" s="521">
        <v>2.601</v>
      </c>
      <c r="CW251" s="521">
        <v>2.6530200000000002</v>
      </c>
      <c r="CX251" s="521">
        <v>2.7060804000000003</v>
      </c>
      <c r="CY251" s="521">
        <v>2.7602020080000003</v>
      </c>
      <c r="CZ251" s="521">
        <v>2.8154060481600003</v>
      </c>
      <c r="DA251" s="522">
        <v>2.8717141691232002</v>
      </c>
      <c r="DB251" s="523">
        <v>0</v>
      </c>
      <c r="DC251" s="524">
        <v>0</v>
      </c>
      <c r="DD251" s="524">
        <v>0</v>
      </c>
      <c r="DE251" s="524">
        <v>0</v>
      </c>
      <c r="DF251" s="524">
        <v>-0.13512924583612806</v>
      </c>
      <c r="DG251" s="524">
        <v>4.7641289636376649E-2</v>
      </c>
      <c r="DH251" s="524">
        <v>5.262806029612227E-2</v>
      </c>
      <c r="DI251" s="524">
        <v>5.8131274649217635E-2</v>
      </c>
      <c r="DJ251" s="524">
        <v>6.4204070085046749E-2</v>
      </c>
      <c r="DK251" s="524">
        <v>2.6708718504347888</v>
      </c>
      <c r="DL251" s="524">
        <v>6.7347950563995118E-4</v>
      </c>
      <c r="DM251" s="524">
        <v>4.8511735388656607E-4</v>
      </c>
      <c r="DN251" s="524">
        <v>-0.17577978003041927</v>
      </c>
      <c r="DO251" s="524">
        <v>2.4579487802047773E-3</v>
      </c>
      <c r="DP251" s="524">
        <v>2.4265353250206845E-3</v>
      </c>
      <c r="DQ251" s="524">
        <v>2.3753444910276089E-3</v>
      </c>
      <c r="DR251" s="524">
        <v>2.3014062746421482E-3</v>
      </c>
      <c r="DS251" s="524">
        <v>0.36033772583924728</v>
      </c>
      <c r="DT251" s="524">
        <v>3.9100534940107456E-3</v>
      </c>
      <c r="DU251" s="525">
        <v>3.9765588574002253E-3</v>
      </c>
      <c r="DV251" s="526">
        <v>3.5</v>
      </c>
      <c r="DW251" s="507">
        <v>1</v>
      </c>
      <c r="DX251" s="509">
        <v>7.66</v>
      </c>
      <c r="DY251" s="507">
        <v>2</v>
      </c>
      <c r="DZ251" s="507">
        <v>10</v>
      </c>
      <c r="EA251" s="507">
        <v>0</v>
      </c>
      <c r="EB251" s="507">
        <v>0</v>
      </c>
      <c r="EC251" s="507">
        <v>111.62500000000001</v>
      </c>
      <c r="ED251" s="507">
        <v>102.18750000000001</v>
      </c>
      <c r="EE251" s="507">
        <v>0</v>
      </c>
      <c r="EF251" s="507">
        <v>25.062499999999996</v>
      </c>
      <c r="EG251" s="507">
        <v>29.3125</v>
      </c>
      <c r="EH251" s="507">
        <v>12.8125</v>
      </c>
      <c r="EI251" s="507">
        <v>16.6875</v>
      </c>
      <c r="EJ251" s="507">
        <v>56.4375</v>
      </c>
      <c r="EK251" s="507">
        <v>10.4375</v>
      </c>
      <c r="EL251" s="507">
        <v>10.4375</v>
      </c>
      <c r="EM251" s="508">
        <v>375</v>
      </c>
    </row>
    <row r="252" spans="2:143" x14ac:dyDescent="0.25">
      <c r="B252" s="506" t="str">
        <f>[1]RONET_Input!J223</f>
        <v>212TH00036</v>
      </c>
      <c r="C252" s="359">
        <f>[1]RONET_Input!B223</f>
        <v>221</v>
      </c>
      <c r="D252" s="397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442">
        <f>[1]RONET_Input!K223</f>
        <v>3.225480915309999</v>
      </c>
      <c r="Q252" s="398">
        <f>[1]RONET_Input!Y223</f>
        <v>3</v>
      </c>
      <c r="R252" s="398">
        <f>[1]RONET_Input!X223</f>
        <v>4.3</v>
      </c>
      <c r="S252" s="398"/>
      <c r="T252" s="398"/>
      <c r="U252" s="398">
        <f>[1]RONET_Input!AA223</f>
        <v>8</v>
      </c>
      <c r="V252" s="398">
        <f>[1]RONET_Input!AC223</f>
        <v>1</v>
      </c>
      <c r="W252" s="398">
        <f>[1]RONET_Input!AD223</f>
        <v>1</v>
      </c>
      <c r="X252" s="398">
        <f>[1]RONET_Input!AE223</f>
        <v>4</v>
      </c>
      <c r="Y252" s="398">
        <f>[1]RONET_Input!AB223</f>
        <v>1</v>
      </c>
      <c r="Z252" s="438">
        <f>[1]RONET_Input!Z223</f>
        <v>3</v>
      </c>
      <c r="AA252" s="442"/>
      <c r="AB252" s="398"/>
      <c r="AC252" s="438"/>
      <c r="AD252" s="442">
        <f>[1]RONET_Input!AH223</f>
        <v>4</v>
      </c>
      <c r="AE252" s="398">
        <f>[1]RONET_Input!D223</f>
        <v>9.41</v>
      </c>
      <c r="AF252" s="398"/>
      <c r="AG252" s="398"/>
      <c r="AH252" s="398"/>
      <c r="AI252" s="438"/>
      <c r="AJ252" s="442">
        <v>1</v>
      </c>
      <c r="AK252" s="442">
        <f>[1]RONET_Input!AF223</f>
        <v>8</v>
      </c>
      <c r="AL252" s="507"/>
      <c r="AM252" s="507"/>
      <c r="AN252" s="507"/>
      <c r="AO252" s="507"/>
      <c r="AP252" s="507"/>
      <c r="AQ252" s="507"/>
      <c r="AR252" s="507"/>
      <c r="AS252" s="507"/>
      <c r="AT252" s="507"/>
      <c r="AU252" s="507"/>
      <c r="AV252" s="507"/>
      <c r="AW252" s="507"/>
      <c r="AX252" s="508"/>
      <c r="AY252" s="509">
        <f>[1]RONET_Input!AG223</f>
        <v>3</v>
      </c>
      <c r="AZ252" s="359" t="s">
        <v>321</v>
      </c>
      <c r="BA252" s="360" t="s">
        <v>506</v>
      </c>
      <c r="BB252" s="360" t="s">
        <v>447</v>
      </c>
      <c r="BC252" s="510">
        <v>0.19833482148241185</v>
      </c>
      <c r="BD252" s="510">
        <v>6.1490000000000003E-2</v>
      </c>
      <c r="BE252" s="438">
        <v>1</v>
      </c>
      <c r="BF252" s="511">
        <v>6.6024336800663184</v>
      </c>
      <c r="BG252" s="512">
        <v>2.0469610124578157</v>
      </c>
      <c r="BH252" s="512">
        <v>33.289331801232976</v>
      </c>
      <c r="BI252" s="513">
        <v>0</v>
      </c>
      <c r="BJ252" s="514">
        <v>6000</v>
      </c>
      <c r="BK252" s="515">
        <v>0.22366666666666665</v>
      </c>
      <c r="BL252" s="512">
        <v>7.063803204528897</v>
      </c>
      <c r="BM252" s="516">
        <v>0.51286514999999999</v>
      </c>
      <c r="BN252" s="517">
        <v>6000</v>
      </c>
      <c r="BO252" s="518">
        <v>6360.0000000000018</v>
      </c>
      <c r="BP252" s="518">
        <v>6741.5999999999985</v>
      </c>
      <c r="BQ252" s="518">
        <v>7146.0959999999995</v>
      </c>
      <c r="BR252" s="518">
        <v>7574.8617599999998</v>
      </c>
      <c r="BS252" s="518">
        <v>8029.353465600002</v>
      </c>
      <c r="BT252" s="518">
        <v>8511.1146735360016</v>
      </c>
      <c r="BU252" s="518">
        <v>9021.7815539481599</v>
      </c>
      <c r="BV252" s="518">
        <v>9563.0884471850532</v>
      </c>
      <c r="BW252" s="518">
        <v>10136.873754016153</v>
      </c>
      <c r="BX252" s="518">
        <v>10745.086179257121</v>
      </c>
      <c r="BY252" s="518">
        <v>11389.791350012551</v>
      </c>
      <c r="BZ252" s="518">
        <v>12073.178831013303</v>
      </c>
      <c r="CA252" s="518">
        <v>12797.569560874103</v>
      </c>
      <c r="CB252" s="518">
        <v>13565.423734526546</v>
      </c>
      <c r="CC252" s="518">
        <v>14379.349158598141</v>
      </c>
      <c r="CD252" s="518">
        <v>15242.11010811403</v>
      </c>
      <c r="CE252" s="518">
        <v>16156.636714600871</v>
      </c>
      <c r="CF252" s="518">
        <v>17126.034917476922</v>
      </c>
      <c r="CG252" s="519">
        <v>18153.597012525537</v>
      </c>
      <c r="CH252" s="520">
        <v>2</v>
      </c>
      <c r="CI252" s="521">
        <v>2.0499999999999998</v>
      </c>
      <c r="CJ252" s="521">
        <v>2.1012499999999998</v>
      </c>
      <c r="CK252" s="521">
        <v>2.1537812499999998</v>
      </c>
      <c r="CL252" s="521">
        <v>2.20762578125</v>
      </c>
      <c r="CM252" s="521">
        <v>2.2628164257812502</v>
      </c>
      <c r="CN252" s="521">
        <v>2.3193868364257813</v>
      </c>
      <c r="CO252" s="521">
        <v>2.3773715073364259</v>
      </c>
      <c r="CP252" s="521">
        <v>2.5</v>
      </c>
      <c r="CQ252" s="521">
        <v>2.5625</v>
      </c>
      <c r="CR252" s="521">
        <v>2.6265624999999999</v>
      </c>
      <c r="CS252" s="521">
        <v>2.6922265624999997</v>
      </c>
      <c r="CT252" s="521">
        <v>2.7595322265624995</v>
      </c>
      <c r="CU252" s="521">
        <v>2.8285205322265621</v>
      </c>
      <c r="CV252" s="521">
        <v>2.8992335455322262</v>
      </c>
      <c r="CW252" s="521">
        <v>2.9717143841705318</v>
      </c>
      <c r="CX252" s="521">
        <v>2.5</v>
      </c>
      <c r="CY252" s="521">
        <v>2.5625</v>
      </c>
      <c r="CZ252" s="521">
        <v>2.6265624999999999</v>
      </c>
      <c r="DA252" s="522">
        <v>2.6922265624999997</v>
      </c>
      <c r="DB252" s="523">
        <v>0.39489440326596181</v>
      </c>
      <c r="DC252" s="524">
        <v>0.64350350561153258</v>
      </c>
      <c r="DD252" s="524">
        <v>0.71954604356393359</v>
      </c>
      <c r="DE252" s="524">
        <v>0.80441626169126801</v>
      </c>
      <c r="DF252" s="524">
        <v>0.89912689431954096</v>
      </c>
      <c r="DG252" s="524">
        <v>1.0048050717337853</v>
      </c>
      <c r="DH252" s="524">
        <v>1.1227045195591705</v>
      </c>
      <c r="DI252" s="524">
        <v>1.2542187099601394</v>
      </c>
      <c r="DJ252" s="524">
        <v>1.2786282790911994</v>
      </c>
      <c r="DK252" s="524">
        <v>0.58924253367339929</v>
      </c>
      <c r="DL252" s="524">
        <v>1.8388401969531287E-3</v>
      </c>
      <c r="DM252" s="524">
        <v>2.0876990066129864E-3</v>
      </c>
      <c r="DN252" s="524">
        <v>2.3679375570537786E-3</v>
      </c>
      <c r="DO252" s="524">
        <v>2.6833463908397803E-3</v>
      </c>
      <c r="DP252" s="524">
        <v>3.0381609941443344E-3</v>
      </c>
      <c r="DQ252" s="524">
        <v>3.4371129851882287E-3</v>
      </c>
      <c r="DR252" s="524">
        <v>-7.5782110477968345E-2</v>
      </c>
      <c r="DS252" s="524">
        <v>0.19104576018619923</v>
      </c>
      <c r="DT252" s="524">
        <v>-4.7140522194126788E-3</v>
      </c>
      <c r="DU252" s="525">
        <v>-5.3563890835803818E-3</v>
      </c>
      <c r="DV252" s="526">
        <v>4.3</v>
      </c>
      <c r="DW252" s="507">
        <v>3</v>
      </c>
      <c r="DX252" s="509">
        <v>9.41</v>
      </c>
      <c r="DY252" s="507">
        <v>6</v>
      </c>
      <c r="DZ252" s="507">
        <v>15</v>
      </c>
      <c r="EA252" s="507">
        <v>0</v>
      </c>
      <c r="EB252" s="507">
        <v>0</v>
      </c>
      <c r="EC252" s="507">
        <v>1786.0000000000002</v>
      </c>
      <c r="ED252" s="507">
        <v>1635.0000000000002</v>
      </c>
      <c r="EE252" s="507">
        <v>0</v>
      </c>
      <c r="EF252" s="507">
        <v>400.99999999999994</v>
      </c>
      <c r="EG252" s="507">
        <v>469</v>
      </c>
      <c r="EH252" s="507">
        <v>205</v>
      </c>
      <c r="EI252" s="507">
        <v>267</v>
      </c>
      <c r="EJ252" s="507">
        <v>903</v>
      </c>
      <c r="EK252" s="507">
        <v>167</v>
      </c>
      <c r="EL252" s="507">
        <v>167</v>
      </c>
      <c r="EM252" s="508">
        <v>6000</v>
      </c>
    </row>
    <row r="253" spans="2:143" x14ac:dyDescent="0.25">
      <c r="B253" s="506" t="str">
        <f>[1]RONET_Input!J224</f>
        <v>214tt00100</v>
      </c>
      <c r="C253" s="359">
        <f>[1]RONET_Input!B224</f>
        <v>222</v>
      </c>
      <c r="D253" s="397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442">
        <f>[1]RONET_Input!K224</f>
        <v>0.649885298419</v>
      </c>
      <c r="Q253" s="398">
        <f>[1]RONET_Input!Y224</f>
        <v>1</v>
      </c>
      <c r="R253" s="398">
        <f>[1]RONET_Input!X224</f>
        <v>3.4</v>
      </c>
      <c r="S253" s="398"/>
      <c r="T253" s="398"/>
      <c r="U253" s="398">
        <f>[1]RONET_Input!AA224</f>
        <v>8</v>
      </c>
      <c r="V253" s="398">
        <f>[1]RONET_Input!AC224</f>
        <v>1</v>
      </c>
      <c r="W253" s="398">
        <f>[1]RONET_Input!AD224</f>
        <v>1</v>
      </c>
      <c r="X253" s="398">
        <f>[1]RONET_Input!AE224</f>
        <v>4</v>
      </c>
      <c r="Y253" s="398">
        <f>[1]RONET_Input!AB224</f>
        <v>1</v>
      </c>
      <c r="Z253" s="438">
        <f>[1]RONET_Input!Z224</f>
        <v>1</v>
      </c>
      <c r="AA253" s="442"/>
      <c r="AB253" s="398"/>
      <c r="AC253" s="438"/>
      <c r="AD253" s="442">
        <f>[1]RONET_Input!AH224</f>
        <v>4</v>
      </c>
      <c r="AE253" s="398">
        <f>[1]RONET_Input!D224</f>
        <v>9.1</v>
      </c>
      <c r="AF253" s="398"/>
      <c r="AG253" s="398"/>
      <c r="AH253" s="398"/>
      <c r="AI253" s="438"/>
      <c r="AJ253" s="442">
        <v>1</v>
      </c>
      <c r="AK253" s="442">
        <f>[1]RONET_Input!AF224</f>
        <v>4</v>
      </c>
      <c r="AL253" s="507"/>
      <c r="AM253" s="507"/>
      <c r="AN253" s="507"/>
      <c r="AO253" s="507"/>
      <c r="AP253" s="507"/>
      <c r="AQ253" s="507"/>
      <c r="AR253" s="507"/>
      <c r="AS253" s="507"/>
      <c r="AT253" s="507"/>
      <c r="AU253" s="507"/>
      <c r="AV253" s="507"/>
      <c r="AW253" s="507"/>
      <c r="AX253" s="508"/>
      <c r="AY253" s="509">
        <f>[1]RONET_Input!AG224</f>
        <v>3</v>
      </c>
      <c r="AZ253" s="359" t="s">
        <v>321</v>
      </c>
      <c r="BA253" s="360" t="s">
        <v>502</v>
      </c>
      <c r="BB253" s="360" t="s">
        <v>443</v>
      </c>
      <c r="BC253" s="510">
        <v>3.1597423209131781E-2</v>
      </c>
      <c r="BD253" s="510">
        <v>4.8620000000000003E-2</v>
      </c>
      <c r="BE253" s="438">
        <v>5</v>
      </c>
      <c r="BF253" s="511">
        <v>0.30643556622228801</v>
      </c>
      <c r="BG253" s="512">
        <v>0.47152253938928168</v>
      </c>
      <c r="BH253" s="512">
        <v>9.6981188685578292</v>
      </c>
      <c r="BI253" s="513">
        <v>0</v>
      </c>
      <c r="BJ253" s="514">
        <v>375</v>
      </c>
      <c r="BK253" s="515">
        <v>0.22366666666666665</v>
      </c>
      <c r="BL253" s="512">
        <v>8.895305022110063E-2</v>
      </c>
      <c r="BM253" s="516">
        <v>6.4108143749999999E-2</v>
      </c>
      <c r="BN253" s="517">
        <v>375</v>
      </c>
      <c r="BO253" s="518">
        <v>397.50000000000011</v>
      </c>
      <c r="BP253" s="518">
        <v>421.34999999999991</v>
      </c>
      <c r="BQ253" s="518">
        <v>446.63099999999997</v>
      </c>
      <c r="BR253" s="518">
        <v>473.42885999999999</v>
      </c>
      <c r="BS253" s="518">
        <v>501.83459160000012</v>
      </c>
      <c r="BT253" s="518">
        <v>531.9446670960001</v>
      </c>
      <c r="BU253" s="518">
        <v>563.86134712175999</v>
      </c>
      <c r="BV253" s="518">
        <v>597.69302794906582</v>
      </c>
      <c r="BW253" s="518">
        <v>633.55460962600955</v>
      </c>
      <c r="BX253" s="518">
        <v>671.56788620357008</v>
      </c>
      <c r="BY253" s="518">
        <v>711.86195937578441</v>
      </c>
      <c r="BZ253" s="518">
        <v>754.57367693833146</v>
      </c>
      <c r="CA253" s="518">
        <v>799.84809755463141</v>
      </c>
      <c r="CB253" s="518">
        <v>847.83898340790915</v>
      </c>
      <c r="CC253" s="518">
        <v>898.70932241238381</v>
      </c>
      <c r="CD253" s="518">
        <v>952.63188175712685</v>
      </c>
      <c r="CE253" s="518">
        <v>1009.7897946625544</v>
      </c>
      <c r="CF253" s="518">
        <v>1070.3771823423076</v>
      </c>
      <c r="CG253" s="519">
        <v>1134.5998132828461</v>
      </c>
      <c r="CH253" s="520">
        <v>9.1</v>
      </c>
      <c r="CI253" s="521">
        <v>9.282</v>
      </c>
      <c r="CJ253" s="521">
        <v>9.4676399999999994</v>
      </c>
      <c r="CK253" s="521">
        <v>9.6569927999999994</v>
      </c>
      <c r="CL253" s="521">
        <v>2.5</v>
      </c>
      <c r="CM253" s="521">
        <v>2.5499999999999998</v>
      </c>
      <c r="CN253" s="521">
        <v>2.601</v>
      </c>
      <c r="CO253" s="521">
        <v>2.6530200000000002</v>
      </c>
      <c r="CP253" s="521">
        <v>2.7060804000000003</v>
      </c>
      <c r="CQ253" s="521">
        <v>2.7602020080000003</v>
      </c>
      <c r="CR253" s="521">
        <v>2.8154060481600003</v>
      </c>
      <c r="CS253" s="521">
        <v>2.8717141691232002</v>
      </c>
      <c r="CT253" s="521">
        <v>2.5</v>
      </c>
      <c r="CU253" s="521">
        <v>2.5499999999999998</v>
      </c>
      <c r="CV253" s="521">
        <v>2.601</v>
      </c>
      <c r="CW253" s="521">
        <v>2.6530200000000002</v>
      </c>
      <c r="CX253" s="521">
        <v>2.7060804000000003</v>
      </c>
      <c r="CY253" s="521">
        <v>2.7602020080000003</v>
      </c>
      <c r="CZ253" s="521">
        <v>2.8154060481600003</v>
      </c>
      <c r="DA253" s="522">
        <v>2.8717141691232002</v>
      </c>
      <c r="DB253" s="523">
        <v>0</v>
      </c>
      <c r="DC253" s="524">
        <v>0</v>
      </c>
      <c r="DD253" s="524">
        <v>0</v>
      </c>
      <c r="DE253" s="524">
        <v>0</v>
      </c>
      <c r="DF253" s="524">
        <v>-1.7695891055376764E-2</v>
      </c>
      <c r="DG253" s="524">
        <v>1.2181457869544075E-2</v>
      </c>
      <c r="DH253" s="524">
        <v>1.3418829870946003E-2</v>
      </c>
      <c r="DI253" s="524">
        <v>1.4781344377900761E-2</v>
      </c>
      <c r="DJ253" s="524">
        <v>1.6281614137711758E-2</v>
      </c>
      <c r="DK253" s="524">
        <v>0.44531438702362952</v>
      </c>
      <c r="DL253" s="524">
        <v>1.9467424881765422E-3</v>
      </c>
      <c r="DM253" s="524">
        <v>1.9442383215005216E-3</v>
      </c>
      <c r="DN253" s="524">
        <v>-2.6365295942989461E-2</v>
      </c>
      <c r="DO253" s="524">
        <v>2.423118070194144E-3</v>
      </c>
      <c r="DP253" s="524">
        <v>2.4564417738960065E-3</v>
      </c>
      <c r="DQ253" s="524">
        <v>2.4879132545282123E-3</v>
      </c>
      <c r="DR253" s="524">
        <v>2.5170592893158927E-3</v>
      </c>
      <c r="DS253" s="524">
        <v>6.2013094991271556E-2</v>
      </c>
      <c r="DT253" s="524">
        <v>2.8714453981964067E-3</v>
      </c>
      <c r="DU253" s="525">
        <v>2.9283502342168088E-3</v>
      </c>
      <c r="DV253" s="526">
        <v>3.4</v>
      </c>
      <c r="DW253" s="507">
        <v>1</v>
      </c>
      <c r="DX253" s="509">
        <v>9.1</v>
      </c>
      <c r="DY253" s="507">
        <v>2</v>
      </c>
      <c r="DZ253" s="507">
        <v>15</v>
      </c>
      <c r="EA253" s="507">
        <v>0</v>
      </c>
      <c r="EB253" s="507">
        <v>0</v>
      </c>
      <c r="EC253" s="507">
        <v>111.62500000000001</v>
      </c>
      <c r="ED253" s="507">
        <v>102.18750000000001</v>
      </c>
      <c r="EE253" s="507">
        <v>0</v>
      </c>
      <c r="EF253" s="507">
        <v>25.062499999999996</v>
      </c>
      <c r="EG253" s="507">
        <v>29.3125</v>
      </c>
      <c r="EH253" s="507">
        <v>12.8125</v>
      </c>
      <c r="EI253" s="507">
        <v>16.6875</v>
      </c>
      <c r="EJ253" s="507">
        <v>56.4375</v>
      </c>
      <c r="EK253" s="507">
        <v>10.4375</v>
      </c>
      <c r="EL253" s="507">
        <v>10.4375</v>
      </c>
      <c r="EM253" s="508">
        <v>375</v>
      </c>
    </row>
    <row r="254" spans="2:143" x14ac:dyDescent="0.25">
      <c r="B254" s="506" t="str">
        <f>[1]RONET_Input!J225</f>
        <v>214tt00099</v>
      </c>
      <c r="C254" s="359">
        <f>[1]RONET_Input!B225</f>
        <v>223</v>
      </c>
      <c r="D254" s="397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442">
        <f>[1]RONET_Input!K225</f>
        <v>0.88549709690599998</v>
      </c>
      <c r="Q254" s="398">
        <f>[1]RONET_Input!Y225</f>
        <v>1</v>
      </c>
      <c r="R254" s="398">
        <f>[1]RONET_Input!X225</f>
        <v>3.4</v>
      </c>
      <c r="S254" s="398"/>
      <c r="T254" s="398"/>
      <c r="U254" s="398">
        <f>[1]RONET_Input!AA225</f>
        <v>8</v>
      </c>
      <c r="V254" s="398">
        <f>[1]RONET_Input!AC225</f>
        <v>1</v>
      </c>
      <c r="W254" s="398">
        <f>[1]RONET_Input!AD225</f>
        <v>1</v>
      </c>
      <c r="X254" s="398">
        <f>[1]RONET_Input!AE225</f>
        <v>4</v>
      </c>
      <c r="Y254" s="398">
        <f>[1]RONET_Input!AB225</f>
        <v>1</v>
      </c>
      <c r="Z254" s="438">
        <f>[1]RONET_Input!Z225</f>
        <v>1</v>
      </c>
      <c r="AA254" s="442"/>
      <c r="AB254" s="398"/>
      <c r="AC254" s="438"/>
      <c r="AD254" s="442">
        <f>[1]RONET_Input!AH225</f>
        <v>4</v>
      </c>
      <c r="AE254" s="398">
        <f>[1]RONET_Input!D225</f>
        <v>9.42</v>
      </c>
      <c r="AF254" s="398"/>
      <c r="AG254" s="398"/>
      <c r="AH254" s="398"/>
      <c r="AI254" s="438"/>
      <c r="AJ254" s="442">
        <v>1</v>
      </c>
      <c r="AK254" s="442">
        <f>[1]RONET_Input!AF225</f>
        <v>4</v>
      </c>
      <c r="AL254" s="507"/>
      <c r="AM254" s="507"/>
      <c r="AN254" s="507"/>
      <c r="AO254" s="507"/>
      <c r="AP254" s="507"/>
      <c r="AQ254" s="507"/>
      <c r="AR254" s="507"/>
      <c r="AS254" s="507"/>
      <c r="AT254" s="507"/>
      <c r="AU254" s="507"/>
      <c r="AV254" s="507"/>
      <c r="AW254" s="507"/>
      <c r="AX254" s="508"/>
      <c r="AY254" s="509">
        <f>[1]RONET_Input!AG225</f>
        <v>3</v>
      </c>
      <c r="AZ254" s="359" t="s">
        <v>321</v>
      </c>
      <c r="BA254" s="360" t="s">
        <v>502</v>
      </c>
      <c r="BB254" s="360" t="s">
        <v>443</v>
      </c>
      <c r="BC254" s="510">
        <v>4.3052868851569719E-2</v>
      </c>
      <c r="BD254" s="510">
        <v>4.8619999999999997E-2</v>
      </c>
      <c r="BE254" s="438">
        <v>5</v>
      </c>
      <c r="BF254" s="511">
        <v>0.42232519808358221</v>
      </c>
      <c r="BG254" s="512">
        <v>0.47693572295066955</v>
      </c>
      <c r="BH254" s="512">
        <v>9.8094554288496418</v>
      </c>
      <c r="BI254" s="513">
        <v>0</v>
      </c>
      <c r="BJ254" s="514">
        <v>375</v>
      </c>
      <c r="BK254" s="515">
        <v>0.22366666666666665</v>
      </c>
      <c r="BL254" s="512">
        <v>0.12120241513900877</v>
      </c>
      <c r="BM254" s="516">
        <v>6.4108143749999999E-2</v>
      </c>
      <c r="BN254" s="517">
        <v>375</v>
      </c>
      <c r="BO254" s="518">
        <v>397.50000000000011</v>
      </c>
      <c r="BP254" s="518">
        <v>421.34999999999991</v>
      </c>
      <c r="BQ254" s="518">
        <v>446.63099999999997</v>
      </c>
      <c r="BR254" s="518">
        <v>473.42885999999999</v>
      </c>
      <c r="BS254" s="518">
        <v>501.83459160000012</v>
      </c>
      <c r="BT254" s="518">
        <v>531.9446670960001</v>
      </c>
      <c r="BU254" s="518">
        <v>563.86134712175999</v>
      </c>
      <c r="BV254" s="518">
        <v>597.69302794906582</v>
      </c>
      <c r="BW254" s="518">
        <v>633.55460962600955</v>
      </c>
      <c r="BX254" s="518">
        <v>671.56788620357008</v>
      </c>
      <c r="BY254" s="518">
        <v>711.86195937578441</v>
      </c>
      <c r="BZ254" s="518">
        <v>754.57367693833146</v>
      </c>
      <c r="CA254" s="518">
        <v>799.84809755463141</v>
      </c>
      <c r="CB254" s="518">
        <v>847.83898340790915</v>
      </c>
      <c r="CC254" s="518">
        <v>898.70932241238381</v>
      </c>
      <c r="CD254" s="518">
        <v>952.63188175712685</v>
      </c>
      <c r="CE254" s="518">
        <v>1009.7897946625544</v>
      </c>
      <c r="CF254" s="518">
        <v>1070.3771823423076</v>
      </c>
      <c r="CG254" s="519">
        <v>1134.5998132828461</v>
      </c>
      <c r="CH254" s="520">
        <v>9.42</v>
      </c>
      <c r="CI254" s="521">
        <v>9.6083999999999996</v>
      </c>
      <c r="CJ254" s="521">
        <v>9.8005680000000002</v>
      </c>
      <c r="CK254" s="521">
        <v>9.9965793600000001</v>
      </c>
      <c r="CL254" s="521">
        <v>2.5</v>
      </c>
      <c r="CM254" s="521">
        <v>2.5499999999999998</v>
      </c>
      <c r="CN254" s="521">
        <v>2.601</v>
      </c>
      <c r="CO254" s="521">
        <v>2.6530200000000002</v>
      </c>
      <c r="CP254" s="521">
        <v>2.7060804000000003</v>
      </c>
      <c r="CQ254" s="521">
        <v>2.7602020080000003</v>
      </c>
      <c r="CR254" s="521">
        <v>2.8154060481600003</v>
      </c>
      <c r="CS254" s="521">
        <v>2.8717141691232002</v>
      </c>
      <c r="CT254" s="521">
        <v>2.5</v>
      </c>
      <c r="CU254" s="521">
        <v>2.5499999999999998</v>
      </c>
      <c r="CV254" s="521">
        <v>2.601</v>
      </c>
      <c r="CW254" s="521">
        <v>2.6530200000000002</v>
      </c>
      <c r="CX254" s="521">
        <v>2.7060804000000003</v>
      </c>
      <c r="CY254" s="521">
        <v>2.7602020080000003</v>
      </c>
      <c r="CZ254" s="521">
        <v>2.8154060481600003</v>
      </c>
      <c r="DA254" s="522">
        <v>2.8717141691232002</v>
      </c>
      <c r="DB254" s="523">
        <v>0</v>
      </c>
      <c r="DC254" s="524">
        <v>0</v>
      </c>
      <c r="DD254" s="524">
        <v>0</v>
      </c>
      <c r="DE254" s="524">
        <v>0</v>
      </c>
      <c r="DF254" s="524">
        <v>-2.2990861180246513E-2</v>
      </c>
      <c r="DG254" s="524">
        <v>1.783136027964001E-2</v>
      </c>
      <c r="DH254" s="524">
        <v>1.9641735726984341E-2</v>
      </c>
      <c r="DI254" s="524">
        <v>2.1635125326067761E-2</v>
      </c>
      <c r="DJ254" s="524">
        <v>2.3829948029785053E-2</v>
      </c>
      <c r="DK254" s="524">
        <v>0.60676029736199122</v>
      </c>
      <c r="DL254" s="524">
        <v>2.6525216463544193E-3</v>
      </c>
      <c r="DM254" s="524">
        <v>2.6491096099116873E-3</v>
      </c>
      <c r="DN254" s="524">
        <v>-3.5923866986036376E-2</v>
      </c>
      <c r="DO254" s="524">
        <v>3.3016041782099464E-3</v>
      </c>
      <c r="DP254" s="524">
        <v>3.3470091796123924E-3</v>
      </c>
      <c r="DQ254" s="524">
        <v>3.3898904462035251E-3</v>
      </c>
      <c r="DR254" s="524">
        <v>3.4296031912888492E-3</v>
      </c>
      <c r="DS254" s="524">
        <v>8.4495549781652912E-2</v>
      </c>
      <c r="DT254" s="524">
        <v>3.9124697392179941E-3</v>
      </c>
      <c r="DU254" s="525">
        <v>3.9900050630952699E-3</v>
      </c>
      <c r="DV254" s="526">
        <v>3.4</v>
      </c>
      <c r="DW254" s="507">
        <v>1</v>
      </c>
      <c r="DX254" s="509">
        <v>9.42</v>
      </c>
      <c r="DY254" s="507">
        <v>2</v>
      </c>
      <c r="DZ254" s="507">
        <v>15</v>
      </c>
      <c r="EA254" s="507">
        <v>0</v>
      </c>
      <c r="EB254" s="507">
        <v>0</v>
      </c>
      <c r="EC254" s="507">
        <v>111.62500000000001</v>
      </c>
      <c r="ED254" s="507">
        <v>102.18750000000001</v>
      </c>
      <c r="EE254" s="507">
        <v>0</v>
      </c>
      <c r="EF254" s="507">
        <v>25.062499999999996</v>
      </c>
      <c r="EG254" s="507">
        <v>29.3125</v>
      </c>
      <c r="EH254" s="507">
        <v>12.8125</v>
      </c>
      <c r="EI254" s="507">
        <v>16.6875</v>
      </c>
      <c r="EJ254" s="507">
        <v>56.4375</v>
      </c>
      <c r="EK254" s="507">
        <v>10.4375</v>
      </c>
      <c r="EL254" s="507">
        <v>10.4375</v>
      </c>
      <c r="EM254" s="508">
        <v>375</v>
      </c>
    </row>
    <row r="255" spans="2:143" x14ac:dyDescent="0.25">
      <c r="B255" s="506" t="str">
        <f>[1]RONET_Input!J226</f>
        <v xml:space="preserve">Input VPROMMS: 217b_1 (50.0 pct); 217B_1 (45.83 pct); 214tt00099 (4.17 pct); </v>
      </c>
      <c r="C255" s="359">
        <f>[1]RONET_Input!B226</f>
        <v>224</v>
      </c>
      <c r="D255" s="397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442">
        <f>[1]RONET_Input!K226</f>
        <v>0.54172342329099998</v>
      </c>
      <c r="Q255" s="398">
        <f>[1]RONET_Input!Y226</f>
        <v>2</v>
      </c>
      <c r="R255" s="398">
        <f>[1]RONET_Input!X226</f>
        <v>3.5</v>
      </c>
      <c r="S255" s="398"/>
      <c r="T255" s="398"/>
      <c r="U255" s="398">
        <f>[1]RONET_Input!AA226</f>
        <v>8</v>
      </c>
      <c r="V255" s="398">
        <f>[1]RONET_Input!AC226</f>
        <v>1</v>
      </c>
      <c r="W255" s="398">
        <f>[1]RONET_Input!AD226</f>
        <v>1</v>
      </c>
      <c r="X255" s="398">
        <f>[1]RONET_Input!AE226</f>
        <v>4</v>
      </c>
      <c r="Y255" s="398">
        <f>[1]RONET_Input!AB226</f>
        <v>1</v>
      </c>
      <c r="Z255" s="438">
        <f>[1]RONET_Input!Z226</f>
        <v>1</v>
      </c>
      <c r="AA255" s="442"/>
      <c r="AB255" s="398"/>
      <c r="AC255" s="438"/>
      <c r="AD255" s="442">
        <f>[1]RONET_Input!AH226</f>
        <v>3</v>
      </c>
      <c r="AE255" s="398">
        <f>[1]RONET_Input!D226</f>
        <v>7.3849999999999998</v>
      </c>
      <c r="AF255" s="398"/>
      <c r="AG255" s="398"/>
      <c r="AH255" s="398"/>
      <c r="AI255" s="438"/>
      <c r="AJ255" s="442">
        <v>1</v>
      </c>
      <c r="AK255" s="442">
        <f>[1]RONET_Input!AF226</f>
        <v>4</v>
      </c>
      <c r="AL255" s="507"/>
      <c r="AM255" s="507"/>
      <c r="AN255" s="507"/>
      <c r="AO255" s="507"/>
      <c r="AP255" s="507"/>
      <c r="AQ255" s="507"/>
      <c r="AR255" s="507"/>
      <c r="AS255" s="507"/>
      <c r="AT255" s="507"/>
      <c r="AU255" s="507"/>
      <c r="AV255" s="507"/>
      <c r="AW255" s="507"/>
      <c r="AX255" s="508"/>
      <c r="AY255" s="509">
        <f>[1]RONET_Input!AG226</f>
        <v>3</v>
      </c>
      <c r="AZ255" s="359" t="s">
        <v>321</v>
      </c>
      <c r="BA255" s="360" t="s">
        <v>502</v>
      </c>
      <c r="BB255" s="360" t="s">
        <v>443</v>
      </c>
      <c r="BC255" s="510">
        <v>2.7113257335714552E-2</v>
      </c>
      <c r="BD255" s="510">
        <v>5.0050000000000004E-2</v>
      </c>
      <c r="BE255" s="438">
        <v>5</v>
      </c>
      <c r="BF255" s="511">
        <v>0.23041535584068126</v>
      </c>
      <c r="BG255" s="512">
        <v>0.42533762790040558</v>
      </c>
      <c r="BH255" s="512">
        <v>8.4982543037044067</v>
      </c>
      <c r="BI255" s="513">
        <v>0</v>
      </c>
      <c r="BJ255" s="514">
        <v>375</v>
      </c>
      <c r="BK255" s="515">
        <v>0.22366666666666665</v>
      </c>
      <c r="BL255" s="512">
        <v>7.4148393562955633E-2</v>
      </c>
      <c r="BM255" s="516">
        <v>3.2054071874999999E-2</v>
      </c>
      <c r="BN255" s="517">
        <v>375</v>
      </c>
      <c r="BO255" s="518">
        <v>397.50000000000011</v>
      </c>
      <c r="BP255" s="518">
        <v>421.34999999999991</v>
      </c>
      <c r="BQ255" s="518">
        <v>446.63099999999997</v>
      </c>
      <c r="BR255" s="518">
        <v>473.42885999999999</v>
      </c>
      <c r="BS255" s="518">
        <v>501.83459160000012</v>
      </c>
      <c r="BT255" s="518">
        <v>531.9446670960001</v>
      </c>
      <c r="BU255" s="518">
        <v>563.86134712175999</v>
      </c>
      <c r="BV255" s="518">
        <v>597.69302794906582</v>
      </c>
      <c r="BW255" s="518">
        <v>633.55460962600955</v>
      </c>
      <c r="BX255" s="518">
        <v>671.56788620357008</v>
      </c>
      <c r="BY255" s="518">
        <v>711.86195937578441</v>
      </c>
      <c r="BZ255" s="518">
        <v>754.57367693833146</v>
      </c>
      <c r="CA255" s="518">
        <v>799.84809755463141</v>
      </c>
      <c r="CB255" s="518">
        <v>847.83898340790915</v>
      </c>
      <c r="CC255" s="518">
        <v>898.70932241238381</v>
      </c>
      <c r="CD255" s="518">
        <v>952.63188175712685</v>
      </c>
      <c r="CE255" s="518">
        <v>1009.7897946625544</v>
      </c>
      <c r="CF255" s="518">
        <v>1070.3771823423076</v>
      </c>
      <c r="CG255" s="519">
        <v>1134.5998132828461</v>
      </c>
      <c r="CH255" s="520">
        <v>7.3849999999999998</v>
      </c>
      <c r="CI255" s="521">
        <v>7.5327000000000002</v>
      </c>
      <c r="CJ255" s="521">
        <v>7.6833540000000005</v>
      </c>
      <c r="CK255" s="521">
        <v>7.8370210800000004</v>
      </c>
      <c r="CL255" s="521">
        <v>2.5</v>
      </c>
      <c r="CM255" s="521">
        <v>2.5499999999999998</v>
      </c>
      <c r="CN255" s="521">
        <v>2.601</v>
      </c>
      <c r="CO255" s="521">
        <v>2.6530200000000002</v>
      </c>
      <c r="CP255" s="521">
        <v>2.7060804000000003</v>
      </c>
      <c r="CQ255" s="521">
        <v>2.7602020080000003</v>
      </c>
      <c r="CR255" s="521">
        <v>2.8154060481600003</v>
      </c>
      <c r="CS255" s="521">
        <v>2.8717141691232002</v>
      </c>
      <c r="CT255" s="521">
        <v>2.5</v>
      </c>
      <c r="CU255" s="521">
        <v>2.5499999999999998</v>
      </c>
      <c r="CV255" s="521">
        <v>2.601</v>
      </c>
      <c r="CW255" s="521">
        <v>2.6530200000000002</v>
      </c>
      <c r="CX255" s="521">
        <v>2.7060804000000003</v>
      </c>
      <c r="CY255" s="521">
        <v>2.7602020080000003</v>
      </c>
      <c r="CZ255" s="521">
        <v>2.8154060481600003</v>
      </c>
      <c r="DA255" s="522">
        <v>2.8717141691232002</v>
      </c>
      <c r="DB255" s="523">
        <v>0</v>
      </c>
      <c r="DC255" s="524">
        <v>0</v>
      </c>
      <c r="DD255" s="524">
        <v>0</v>
      </c>
      <c r="DE255" s="524">
        <v>0</v>
      </c>
      <c r="DF255" s="524">
        <v>-1.9179304158593265E-2</v>
      </c>
      <c r="DG255" s="524">
        <v>6.0702659890647173E-3</v>
      </c>
      <c r="DH255" s="524">
        <v>6.7065661886833786E-3</v>
      </c>
      <c r="DI255" s="524">
        <v>7.4088168272158014E-3</v>
      </c>
      <c r="DJ255" s="524">
        <v>8.1838056931957323E-3</v>
      </c>
      <c r="DK255" s="524">
        <v>0.36969339544504398</v>
      </c>
      <c r="DL255" s="524">
        <v>9.3220842910218815E-5</v>
      </c>
      <c r="DM255" s="524">
        <v>6.714836644762523E-5</v>
      </c>
      <c r="DN255" s="524">
        <v>-2.4330865488529446E-2</v>
      </c>
      <c r="DO255" s="524">
        <v>3.4022127652286183E-4</v>
      </c>
      <c r="DP255" s="524">
        <v>3.3587312821775628E-4</v>
      </c>
      <c r="DQ255" s="524">
        <v>3.2878745945701116E-4</v>
      </c>
      <c r="DR255" s="524">
        <v>3.1855317200353561E-4</v>
      </c>
      <c r="DS255" s="524">
        <v>4.9876776136141041E-2</v>
      </c>
      <c r="DT255" s="524">
        <v>5.4121688853669969E-4</v>
      </c>
      <c r="DU255" s="525">
        <v>5.5042234465124684E-4</v>
      </c>
      <c r="DV255" s="526">
        <v>3.5</v>
      </c>
      <c r="DW255" s="507">
        <v>1</v>
      </c>
      <c r="DX255" s="509">
        <v>7.3849999999999998</v>
      </c>
      <c r="DY255" s="507">
        <v>2</v>
      </c>
      <c r="DZ255" s="507">
        <v>10</v>
      </c>
      <c r="EA255" s="507">
        <v>0</v>
      </c>
      <c r="EB255" s="507">
        <v>0</v>
      </c>
      <c r="EC255" s="507">
        <v>111.62500000000001</v>
      </c>
      <c r="ED255" s="507">
        <v>102.18750000000001</v>
      </c>
      <c r="EE255" s="507">
        <v>0</v>
      </c>
      <c r="EF255" s="507">
        <v>25.062499999999996</v>
      </c>
      <c r="EG255" s="507">
        <v>29.3125</v>
      </c>
      <c r="EH255" s="507">
        <v>12.8125</v>
      </c>
      <c r="EI255" s="507">
        <v>16.6875</v>
      </c>
      <c r="EJ255" s="507">
        <v>56.4375</v>
      </c>
      <c r="EK255" s="507">
        <v>10.4375</v>
      </c>
      <c r="EL255" s="507">
        <v>10.4375</v>
      </c>
      <c r="EM255" s="508">
        <v>375</v>
      </c>
    </row>
    <row r="256" spans="2:143" x14ac:dyDescent="0.25">
      <c r="B256" s="506" t="str">
        <f>[1]RONET_Input!J227</f>
        <v>214tt00034</v>
      </c>
      <c r="C256" s="359">
        <f>[1]RONET_Input!B227</f>
        <v>225</v>
      </c>
      <c r="D256" s="397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442">
        <f>[1]RONET_Input!K227</f>
        <v>5.0028009455599998</v>
      </c>
      <c r="Q256" s="398">
        <f>[1]RONET_Input!Y227</f>
        <v>1</v>
      </c>
      <c r="R256" s="398">
        <f>[1]RONET_Input!X227</f>
        <v>3.4</v>
      </c>
      <c r="S256" s="398"/>
      <c r="T256" s="398"/>
      <c r="U256" s="398">
        <f>[1]RONET_Input!AA227</f>
        <v>8</v>
      </c>
      <c r="V256" s="398">
        <f>[1]RONET_Input!AC227</f>
        <v>1</v>
      </c>
      <c r="W256" s="398">
        <f>[1]RONET_Input!AD227</f>
        <v>1</v>
      </c>
      <c r="X256" s="398">
        <f>[1]RONET_Input!AE227</f>
        <v>4</v>
      </c>
      <c r="Y256" s="398">
        <f>[1]RONET_Input!AB227</f>
        <v>1</v>
      </c>
      <c r="Z256" s="438">
        <f>[1]RONET_Input!Z227</f>
        <v>1</v>
      </c>
      <c r="AA256" s="442"/>
      <c r="AB256" s="398"/>
      <c r="AC256" s="438"/>
      <c r="AD256" s="442">
        <f>[1]RONET_Input!AH227</f>
        <v>4</v>
      </c>
      <c r="AE256" s="398">
        <f>[1]RONET_Input!D227</f>
        <v>10.94</v>
      </c>
      <c r="AF256" s="398"/>
      <c r="AG256" s="398"/>
      <c r="AH256" s="398"/>
      <c r="AI256" s="438"/>
      <c r="AJ256" s="442">
        <v>1</v>
      </c>
      <c r="AK256" s="442">
        <f>[1]RONET_Input!AF227</f>
        <v>4</v>
      </c>
      <c r="AL256" s="507"/>
      <c r="AM256" s="507"/>
      <c r="AN256" s="507"/>
      <c r="AO256" s="507"/>
      <c r="AP256" s="507"/>
      <c r="AQ256" s="507"/>
      <c r="AR256" s="507"/>
      <c r="AS256" s="507"/>
      <c r="AT256" s="507"/>
      <c r="AU256" s="507"/>
      <c r="AV256" s="507"/>
      <c r="AW256" s="507"/>
      <c r="AX256" s="508"/>
      <c r="AY256" s="509">
        <f>[1]RONET_Input!AG227</f>
        <v>3</v>
      </c>
      <c r="AZ256" s="359" t="s">
        <v>321</v>
      </c>
      <c r="BA256" s="360" t="s">
        <v>502</v>
      </c>
      <c r="BB256" s="360" t="s">
        <v>443</v>
      </c>
      <c r="BC256" s="510">
        <v>0.24323618197312721</v>
      </c>
      <c r="BD256" s="510">
        <v>4.8620000000000003E-2</v>
      </c>
      <c r="BE256" s="438">
        <v>1</v>
      </c>
      <c r="BF256" s="511">
        <v>2.7191269091243955</v>
      </c>
      <c r="BG256" s="512">
        <v>0.54352090733044822</v>
      </c>
      <c r="BH256" s="512">
        <v>11.178957370021559</v>
      </c>
      <c r="BI256" s="513">
        <v>0</v>
      </c>
      <c r="BJ256" s="514">
        <v>375</v>
      </c>
      <c r="BK256" s="515">
        <v>0.22366666666666665</v>
      </c>
      <c r="BL256" s="512">
        <v>0.6847583794235248</v>
      </c>
      <c r="BM256" s="516">
        <v>6.4108143749999999E-2</v>
      </c>
      <c r="BN256" s="517">
        <v>375</v>
      </c>
      <c r="BO256" s="518">
        <v>397.50000000000011</v>
      </c>
      <c r="BP256" s="518">
        <v>421.34999999999991</v>
      </c>
      <c r="BQ256" s="518">
        <v>446.63099999999997</v>
      </c>
      <c r="BR256" s="518">
        <v>473.42885999999999</v>
      </c>
      <c r="BS256" s="518">
        <v>501.83459160000012</v>
      </c>
      <c r="BT256" s="518">
        <v>531.9446670960001</v>
      </c>
      <c r="BU256" s="518">
        <v>563.86134712175999</v>
      </c>
      <c r="BV256" s="518">
        <v>597.69302794906582</v>
      </c>
      <c r="BW256" s="518">
        <v>633.55460962600955</v>
      </c>
      <c r="BX256" s="518">
        <v>671.56788620357008</v>
      </c>
      <c r="BY256" s="518">
        <v>711.86195937578441</v>
      </c>
      <c r="BZ256" s="518">
        <v>754.57367693833146</v>
      </c>
      <c r="CA256" s="518">
        <v>799.84809755463141</v>
      </c>
      <c r="CB256" s="518">
        <v>847.83898340790915</v>
      </c>
      <c r="CC256" s="518">
        <v>898.70932241238381</v>
      </c>
      <c r="CD256" s="518">
        <v>952.63188175712685</v>
      </c>
      <c r="CE256" s="518">
        <v>1009.7897946625544</v>
      </c>
      <c r="CF256" s="518">
        <v>1070.3771823423076</v>
      </c>
      <c r="CG256" s="519">
        <v>1134.5998132828461</v>
      </c>
      <c r="CH256" s="520">
        <v>2.5</v>
      </c>
      <c r="CI256" s="521">
        <v>2.5499999999999998</v>
      </c>
      <c r="CJ256" s="521">
        <v>2.601</v>
      </c>
      <c r="CK256" s="521">
        <v>2.6530200000000002</v>
      </c>
      <c r="CL256" s="521">
        <v>2.7060804000000003</v>
      </c>
      <c r="CM256" s="521">
        <v>2.7602020080000003</v>
      </c>
      <c r="CN256" s="521">
        <v>2.8154060481600003</v>
      </c>
      <c r="CO256" s="521">
        <v>2.8717141691232002</v>
      </c>
      <c r="CP256" s="521">
        <v>2.5</v>
      </c>
      <c r="CQ256" s="521">
        <v>2.5499999999999998</v>
      </c>
      <c r="CR256" s="521">
        <v>2.601</v>
      </c>
      <c r="CS256" s="521">
        <v>2.6530200000000002</v>
      </c>
      <c r="CT256" s="521">
        <v>2.7060804000000003</v>
      </c>
      <c r="CU256" s="521">
        <v>2.7602020080000003</v>
      </c>
      <c r="CV256" s="521">
        <v>2.8154060481600003</v>
      </c>
      <c r="CW256" s="521">
        <v>2.8717141691232002</v>
      </c>
      <c r="CX256" s="521">
        <v>2.5</v>
      </c>
      <c r="CY256" s="521">
        <v>2.5499999999999998</v>
      </c>
      <c r="CZ256" s="521">
        <v>2.601</v>
      </c>
      <c r="DA256" s="522">
        <v>2.6530200000000002</v>
      </c>
      <c r="DB256" s="523">
        <v>-0.13761107652058491</v>
      </c>
      <c r="DC256" s="524">
        <v>9.2229636850198693E-2</v>
      </c>
      <c r="DD256" s="524">
        <v>0.10158348314620236</v>
      </c>
      <c r="DE256" s="524">
        <v>0.11188142649964178</v>
      </c>
      <c r="DF256" s="524">
        <v>0.12321791367378987</v>
      </c>
      <c r="DG256" s="524">
        <v>0.13569653693934591</v>
      </c>
      <c r="DH256" s="524">
        <v>0.14943080505082534</v>
      </c>
      <c r="DI256" s="524">
        <v>0.16454493760148642</v>
      </c>
      <c r="DJ256" s="524">
        <v>-3.7417578815727381E-2</v>
      </c>
      <c r="DK256" s="524">
        <v>3.4294131972290169</v>
      </c>
      <c r="DL256" s="524">
        <v>1.6527395654838295E-2</v>
      </c>
      <c r="DM256" s="524">
        <v>1.6670805137298905E-2</v>
      </c>
      <c r="DN256" s="524">
        <v>1.6794035658715289E-2</v>
      </c>
      <c r="DO256" s="524">
        <v>1.6893127492274007E-2</v>
      </c>
      <c r="DP256" s="524">
        <v>1.6963620560011328E-2</v>
      </c>
      <c r="DQ256" s="524">
        <v>1.7000499286788262E-2</v>
      </c>
      <c r="DR256" s="524">
        <v>-0.19995944072845306</v>
      </c>
      <c r="DS256" s="524">
        <v>0.47959719916131072</v>
      </c>
      <c r="DT256" s="524">
        <v>2.4561105164389918E-2</v>
      </c>
      <c r="DU256" s="525">
        <v>2.525845474165278E-2</v>
      </c>
      <c r="DV256" s="526">
        <v>3.4</v>
      </c>
      <c r="DW256" s="507">
        <v>1</v>
      </c>
      <c r="DX256" s="509">
        <v>10.94</v>
      </c>
      <c r="DY256" s="507">
        <v>2</v>
      </c>
      <c r="DZ256" s="507">
        <v>15</v>
      </c>
      <c r="EA256" s="507">
        <v>0</v>
      </c>
      <c r="EB256" s="507">
        <v>0</v>
      </c>
      <c r="EC256" s="507">
        <v>111.62500000000001</v>
      </c>
      <c r="ED256" s="507">
        <v>102.18750000000001</v>
      </c>
      <c r="EE256" s="507">
        <v>0</v>
      </c>
      <c r="EF256" s="507">
        <v>25.062499999999996</v>
      </c>
      <c r="EG256" s="507">
        <v>29.3125</v>
      </c>
      <c r="EH256" s="507">
        <v>12.8125</v>
      </c>
      <c r="EI256" s="507">
        <v>16.6875</v>
      </c>
      <c r="EJ256" s="507">
        <v>56.4375</v>
      </c>
      <c r="EK256" s="507">
        <v>10.4375</v>
      </c>
      <c r="EL256" s="507">
        <v>10.4375</v>
      </c>
      <c r="EM256" s="508">
        <v>375</v>
      </c>
    </row>
    <row r="257" spans="2:143" x14ac:dyDescent="0.25">
      <c r="B257" s="506" t="str">
        <f>[1]RONET_Input!J228</f>
        <v xml:space="preserve">Input VPROMMS: 217B_1 (50.0 pct); 214tt00100 (50.0 pct); </v>
      </c>
      <c r="C257" s="359">
        <f>[1]RONET_Input!B228</f>
        <v>226</v>
      </c>
      <c r="D257" s="397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442">
        <f>[1]RONET_Input!K228</f>
        <v>2.0439974469200001E-2</v>
      </c>
      <c r="Q257" s="398">
        <f>[1]RONET_Input!Y228</f>
        <v>2</v>
      </c>
      <c r="R257" s="398">
        <f>[1]RONET_Input!X228</f>
        <v>3.5</v>
      </c>
      <c r="S257" s="398"/>
      <c r="T257" s="398"/>
      <c r="U257" s="398">
        <f>[1]RONET_Input!AA228</f>
        <v>8</v>
      </c>
      <c r="V257" s="398">
        <f>[1]RONET_Input!AC228</f>
        <v>1</v>
      </c>
      <c r="W257" s="398">
        <f>[1]RONET_Input!AD228</f>
        <v>1</v>
      </c>
      <c r="X257" s="398">
        <f>[1]RONET_Input!AE228</f>
        <v>4</v>
      </c>
      <c r="Y257" s="398">
        <f>[1]RONET_Input!AB228</f>
        <v>1</v>
      </c>
      <c r="Z257" s="438">
        <f>[1]RONET_Input!Z228</f>
        <v>1</v>
      </c>
      <c r="AA257" s="442"/>
      <c r="AB257" s="398"/>
      <c r="AC257" s="438"/>
      <c r="AD257" s="442">
        <f>[1]RONET_Input!AH228</f>
        <v>3</v>
      </c>
      <c r="AE257" s="398">
        <f>[1]RONET_Input!D228</f>
        <v>0</v>
      </c>
      <c r="AF257" s="398"/>
      <c r="AG257" s="398"/>
      <c r="AH257" s="398"/>
      <c r="AI257" s="438"/>
      <c r="AJ257" s="442">
        <v>1</v>
      </c>
      <c r="AK257" s="442">
        <f>[1]RONET_Input!AF228</f>
        <v>4</v>
      </c>
      <c r="AL257" s="507"/>
      <c r="AM257" s="507"/>
      <c r="AN257" s="507"/>
      <c r="AO257" s="507"/>
      <c r="AP257" s="507"/>
      <c r="AQ257" s="507"/>
      <c r="AR257" s="507"/>
      <c r="AS257" s="507"/>
      <c r="AT257" s="507"/>
      <c r="AU257" s="507"/>
      <c r="AV257" s="507"/>
      <c r="AW257" s="507"/>
      <c r="AX257" s="508"/>
      <c r="AY257" s="509">
        <f>[1]RONET_Input!AG228</f>
        <v>3</v>
      </c>
      <c r="AZ257" s="359" t="s">
        <v>321</v>
      </c>
      <c r="BA257" s="360" t="s">
        <v>502</v>
      </c>
      <c r="BB257" s="360" t="s">
        <v>443</v>
      </c>
      <c r="BC257" s="510">
        <v>1.0230207221834601E-3</v>
      </c>
      <c r="BD257" s="510">
        <v>5.0050000000000004E-2</v>
      </c>
      <c r="BE257" s="438">
        <v>6</v>
      </c>
      <c r="BF257" s="511">
        <v>8.0849034956409875E-3</v>
      </c>
      <c r="BG257" s="512">
        <v>0.39554371791529064</v>
      </c>
      <c r="BH257" s="512">
        <v>7.9029713869188933</v>
      </c>
      <c r="BI257" s="513">
        <v>0</v>
      </c>
      <c r="BJ257" s="514">
        <v>375</v>
      </c>
      <c r="BK257" s="515">
        <v>0.22366666666666665</v>
      </c>
      <c r="BL257" s="512">
        <v>2.7977215054717499E-3</v>
      </c>
      <c r="BM257" s="516">
        <v>3.2054071874999999E-2</v>
      </c>
      <c r="BN257" s="517">
        <v>375</v>
      </c>
      <c r="BO257" s="518">
        <v>397.50000000000011</v>
      </c>
      <c r="BP257" s="518">
        <v>421.34999999999991</v>
      </c>
      <c r="BQ257" s="518">
        <v>446.63099999999997</v>
      </c>
      <c r="BR257" s="518">
        <v>473.42885999999999</v>
      </c>
      <c r="BS257" s="518">
        <v>501.83459160000012</v>
      </c>
      <c r="BT257" s="518">
        <v>531.9446670960001</v>
      </c>
      <c r="BU257" s="518">
        <v>563.86134712175999</v>
      </c>
      <c r="BV257" s="518">
        <v>597.69302794906582</v>
      </c>
      <c r="BW257" s="518">
        <v>633.55460962600955</v>
      </c>
      <c r="BX257" s="518">
        <v>671.56788620357008</v>
      </c>
      <c r="BY257" s="518">
        <v>711.86195937578441</v>
      </c>
      <c r="BZ257" s="518">
        <v>754.57367693833146</v>
      </c>
      <c r="CA257" s="518">
        <v>799.84809755463141</v>
      </c>
      <c r="CB257" s="518">
        <v>847.83898340790915</v>
      </c>
      <c r="CC257" s="518">
        <v>898.70932241238381</v>
      </c>
      <c r="CD257" s="518">
        <v>952.63188175712685</v>
      </c>
      <c r="CE257" s="518">
        <v>1009.7897946625544</v>
      </c>
      <c r="CF257" s="518">
        <v>1070.3771823423076</v>
      </c>
      <c r="CG257" s="519">
        <v>1134.5998132828461</v>
      </c>
      <c r="CH257" s="520">
        <v>4.5</v>
      </c>
      <c r="CI257" s="521">
        <v>4.59</v>
      </c>
      <c r="CJ257" s="521">
        <v>4.6818</v>
      </c>
      <c r="CK257" s="521">
        <v>4.775436</v>
      </c>
      <c r="CL257" s="521">
        <v>4.8709447199999998</v>
      </c>
      <c r="CM257" s="521">
        <v>2.5</v>
      </c>
      <c r="CN257" s="521">
        <v>2.5499999999999998</v>
      </c>
      <c r="CO257" s="521">
        <v>2.601</v>
      </c>
      <c r="CP257" s="521">
        <v>2.6530200000000002</v>
      </c>
      <c r="CQ257" s="521">
        <v>2.7060804000000003</v>
      </c>
      <c r="CR257" s="521">
        <v>2.7602020080000003</v>
      </c>
      <c r="CS257" s="521">
        <v>2.8154060481600003</v>
      </c>
      <c r="CT257" s="521">
        <v>2.8717141691232002</v>
      </c>
      <c r="CU257" s="521">
        <v>2.5</v>
      </c>
      <c r="CV257" s="521">
        <v>2.5499999999999998</v>
      </c>
      <c r="CW257" s="521">
        <v>2.601</v>
      </c>
      <c r="CX257" s="521">
        <v>2.6530200000000002</v>
      </c>
      <c r="CY257" s="521">
        <v>2.7060804000000003</v>
      </c>
      <c r="CZ257" s="521">
        <v>2.7602020080000003</v>
      </c>
      <c r="DA257" s="522">
        <v>2.8154060481600003</v>
      </c>
      <c r="DB257" s="523">
        <v>0</v>
      </c>
      <c r="DC257" s="524">
        <v>0</v>
      </c>
      <c r="DD257" s="524">
        <v>0</v>
      </c>
      <c r="DE257" s="524">
        <v>0</v>
      </c>
      <c r="DF257" s="524">
        <v>0</v>
      </c>
      <c r="DG257" s="524">
        <v>-8.6394161285614172E-4</v>
      </c>
      <c r="DH257" s="524">
        <v>7.4222008174530153E-5</v>
      </c>
      <c r="DI257" s="524">
        <v>8.2198198562431161E-5</v>
      </c>
      <c r="DJ257" s="524">
        <v>9.101500700462806E-5</v>
      </c>
      <c r="DK257" s="524">
        <v>1.3950277930320866E-2</v>
      </c>
      <c r="DL257" s="524">
        <v>4.8901068740621334E-6</v>
      </c>
      <c r="DM257" s="524">
        <v>4.0596259915865254E-6</v>
      </c>
      <c r="DN257" s="524">
        <v>3.0647891059647041E-6</v>
      </c>
      <c r="DO257" s="524">
        <v>-9.168294150930633E-4</v>
      </c>
      <c r="DP257" s="524">
        <v>1.4100998634768592E-5</v>
      </c>
      <c r="DQ257" s="524">
        <v>1.3995214595825638E-5</v>
      </c>
      <c r="DR257" s="524">
        <v>1.3788282615363658E-5</v>
      </c>
      <c r="DS257" s="524">
        <v>1.8838873785998059E-3</v>
      </c>
      <c r="DT257" s="524">
        <v>2.2608825858223738E-5</v>
      </c>
      <c r="DU257" s="525">
        <v>2.3200449132344727E-5</v>
      </c>
      <c r="DV257" s="526">
        <v>3.5</v>
      </c>
      <c r="DW257" s="507">
        <v>1</v>
      </c>
      <c r="DX257" s="509">
        <v>4.5</v>
      </c>
      <c r="DY257" s="507">
        <v>2</v>
      </c>
      <c r="DZ257" s="507">
        <v>10</v>
      </c>
      <c r="EA257" s="507">
        <v>0</v>
      </c>
      <c r="EB257" s="507">
        <v>0</v>
      </c>
      <c r="EC257" s="507">
        <v>111.62500000000001</v>
      </c>
      <c r="ED257" s="507">
        <v>102.18750000000001</v>
      </c>
      <c r="EE257" s="507">
        <v>0</v>
      </c>
      <c r="EF257" s="507">
        <v>25.062499999999996</v>
      </c>
      <c r="EG257" s="507">
        <v>29.3125</v>
      </c>
      <c r="EH257" s="507">
        <v>12.8125</v>
      </c>
      <c r="EI257" s="507">
        <v>16.6875</v>
      </c>
      <c r="EJ257" s="507">
        <v>56.4375</v>
      </c>
      <c r="EK257" s="507">
        <v>10.4375</v>
      </c>
      <c r="EL257" s="507">
        <v>10.4375</v>
      </c>
      <c r="EM257" s="508">
        <v>375</v>
      </c>
    </row>
    <row r="258" spans="2:143" x14ac:dyDescent="0.25">
      <c r="B258" s="506" t="str">
        <f>[1]RONET_Input!J229</f>
        <v>214tt00100</v>
      </c>
      <c r="C258" s="359">
        <f>[1]RONET_Input!B229</f>
        <v>227</v>
      </c>
      <c r="D258" s="397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442">
        <f>[1]RONET_Input!K229</f>
        <v>0.26177339019599999</v>
      </c>
      <c r="Q258" s="398">
        <f>[1]RONET_Input!Y229</f>
        <v>1</v>
      </c>
      <c r="R258" s="398">
        <f>[1]RONET_Input!X229</f>
        <v>3.4</v>
      </c>
      <c r="S258" s="398"/>
      <c r="T258" s="398"/>
      <c r="U258" s="398">
        <f>[1]RONET_Input!AA229</f>
        <v>8</v>
      </c>
      <c r="V258" s="398">
        <f>[1]RONET_Input!AC229</f>
        <v>1</v>
      </c>
      <c r="W258" s="398">
        <f>[1]RONET_Input!AD229</f>
        <v>1</v>
      </c>
      <c r="X258" s="398">
        <f>[1]RONET_Input!AE229</f>
        <v>4</v>
      </c>
      <c r="Y258" s="398">
        <f>[1]RONET_Input!AB229</f>
        <v>1</v>
      </c>
      <c r="Z258" s="438">
        <f>[1]RONET_Input!Z229</f>
        <v>1</v>
      </c>
      <c r="AA258" s="442"/>
      <c r="AB258" s="398"/>
      <c r="AC258" s="438"/>
      <c r="AD258" s="442">
        <f>[1]RONET_Input!AH229</f>
        <v>4</v>
      </c>
      <c r="AE258" s="398">
        <f>[1]RONET_Input!D229</f>
        <v>10.039999999999999</v>
      </c>
      <c r="AF258" s="398"/>
      <c r="AG258" s="398"/>
      <c r="AH258" s="398"/>
      <c r="AI258" s="438"/>
      <c r="AJ258" s="442">
        <v>1</v>
      </c>
      <c r="AK258" s="442">
        <f>[1]RONET_Input!AF229</f>
        <v>4</v>
      </c>
      <c r="AL258" s="507"/>
      <c r="AM258" s="507"/>
      <c r="AN258" s="507"/>
      <c r="AO258" s="507"/>
      <c r="AP258" s="507"/>
      <c r="AQ258" s="507"/>
      <c r="AR258" s="507"/>
      <c r="AS258" s="507"/>
      <c r="AT258" s="507"/>
      <c r="AU258" s="507"/>
      <c r="AV258" s="507"/>
      <c r="AW258" s="507"/>
      <c r="AX258" s="508"/>
      <c r="AY258" s="509">
        <f>[1]RONET_Input!AG229</f>
        <v>3</v>
      </c>
      <c r="AZ258" s="359" t="s">
        <v>321</v>
      </c>
      <c r="BA258" s="360" t="s">
        <v>502</v>
      </c>
      <c r="BB258" s="360" t="s">
        <v>443</v>
      </c>
      <c r="BC258" s="510">
        <v>1.272742223132952E-2</v>
      </c>
      <c r="BD258" s="510">
        <v>4.8620000000000003E-2</v>
      </c>
      <c r="BE258" s="438">
        <v>5</v>
      </c>
      <c r="BF258" s="511">
        <v>0.12772034476711433</v>
      </c>
      <c r="BG258" s="512">
        <v>0.48790423148619155</v>
      </c>
      <c r="BH258" s="512">
        <v>10.035052066766589</v>
      </c>
      <c r="BI258" s="513">
        <v>0</v>
      </c>
      <c r="BJ258" s="514">
        <v>375</v>
      </c>
      <c r="BK258" s="515">
        <v>0.22366666666666665</v>
      </c>
      <c r="BL258" s="512">
        <v>3.5830232783077509E-2</v>
      </c>
      <c r="BM258" s="516">
        <v>6.4108143749999999E-2</v>
      </c>
      <c r="BN258" s="517">
        <v>375</v>
      </c>
      <c r="BO258" s="518">
        <v>397.50000000000011</v>
      </c>
      <c r="BP258" s="518">
        <v>421.34999999999991</v>
      </c>
      <c r="BQ258" s="518">
        <v>446.63099999999997</v>
      </c>
      <c r="BR258" s="518">
        <v>473.42885999999999</v>
      </c>
      <c r="BS258" s="518">
        <v>501.83459160000012</v>
      </c>
      <c r="BT258" s="518">
        <v>531.9446670960001</v>
      </c>
      <c r="BU258" s="518">
        <v>563.86134712175999</v>
      </c>
      <c r="BV258" s="518">
        <v>597.69302794906582</v>
      </c>
      <c r="BW258" s="518">
        <v>633.55460962600955</v>
      </c>
      <c r="BX258" s="518">
        <v>671.56788620357008</v>
      </c>
      <c r="BY258" s="518">
        <v>711.86195937578441</v>
      </c>
      <c r="BZ258" s="518">
        <v>754.57367693833146</v>
      </c>
      <c r="CA258" s="518">
        <v>799.84809755463141</v>
      </c>
      <c r="CB258" s="518">
        <v>847.83898340790915</v>
      </c>
      <c r="CC258" s="518">
        <v>898.70932241238381</v>
      </c>
      <c r="CD258" s="518">
        <v>952.63188175712685</v>
      </c>
      <c r="CE258" s="518">
        <v>1009.7897946625544</v>
      </c>
      <c r="CF258" s="518">
        <v>1070.3771823423076</v>
      </c>
      <c r="CG258" s="519">
        <v>1134.5998132828461</v>
      </c>
      <c r="CH258" s="520">
        <v>10.039999999999999</v>
      </c>
      <c r="CI258" s="521">
        <v>10.240799999999998</v>
      </c>
      <c r="CJ258" s="521">
        <v>10.445615999999998</v>
      </c>
      <c r="CK258" s="521">
        <v>10.654528319999997</v>
      </c>
      <c r="CL258" s="521">
        <v>2.5</v>
      </c>
      <c r="CM258" s="521">
        <v>2.5499999999999998</v>
      </c>
      <c r="CN258" s="521">
        <v>2.601</v>
      </c>
      <c r="CO258" s="521">
        <v>2.6530200000000002</v>
      </c>
      <c r="CP258" s="521">
        <v>2.7060804000000003</v>
      </c>
      <c r="CQ258" s="521">
        <v>2.7602020080000003</v>
      </c>
      <c r="CR258" s="521">
        <v>2.8154060481600003</v>
      </c>
      <c r="CS258" s="521">
        <v>2.8717141691232002</v>
      </c>
      <c r="CT258" s="521">
        <v>2.5</v>
      </c>
      <c r="CU258" s="521">
        <v>2.5499999999999998</v>
      </c>
      <c r="CV258" s="521">
        <v>2.601</v>
      </c>
      <c r="CW258" s="521">
        <v>2.6530200000000002</v>
      </c>
      <c r="CX258" s="521">
        <v>2.7060804000000003</v>
      </c>
      <c r="CY258" s="521">
        <v>2.7602020080000003</v>
      </c>
      <c r="CZ258" s="521">
        <v>2.8154060481600003</v>
      </c>
      <c r="DA258" s="522">
        <v>2.8717141691232002</v>
      </c>
      <c r="DB258" s="523">
        <v>0</v>
      </c>
      <c r="DC258" s="524">
        <v>0</v>
      </c>
      <c r="DD258" s="524">
        <v>0</v>
      </c>
      <c r="DE258" s="524">
        <v>0</v>
      </c>
      <c r="DF258" s="524">
        <v>-6.1252562400459509E-3</v>
      </c>
      <c r="DG258" s="524">
        <v>6.0104018610547781E-3</v>
      </c>
      <c r="DH258" s="524">
        <v>6.6200381600139344E-3</v>
      </c>
      <c r="DI258" s="524">
        <v>7.2912188893274991E-3</v>
      </c>
      <c r="DJ258" s="524">
        <v>8.0301059258814679E-3</v>
      </c>
      <c r="DK258" s="524">
        <v>0.17937235551845351</v>
      </c>
      <c r="DL258" s="524">
        <v>7.8414665204507711E-4</v>
      </c>
      <c r="DM258" s="524">
        <v>7.8313797528012027E-4</v>
      </c>
      <c r="DN258" s="524">
        <v>-1.061992465333083E-2</v>
      </c>
      <c r="DO258" s="524">
        <v>9.7603043740644019E-4</v>
      </c>
      <c r="DP258" s="524">
        <v>9.8945320433644485E-4</v>
      </c>
      <c r="DQ258" s="524">
        <v>1.0021298969768583E-3</v>
      </c>
      <c r="DR258" s="524">
        <v>1.0138699014910491E-3</v>
      </c>
      <c r="DS258" s="524">
        <v>2.4978835729786895E-2</v>
      </c>
      <c r="DT258" s="524">
        <v>1.1566164036595147E-3</v>
      </c>
      <c r="DU258" s="525">
        <v>1.1795376358828616E-3</v>
      </c>
      <c r="DV258" s="526">
        <v>3.4</v>
      </c>
      <c r="DW258" s="507">
        <v>1</v>
      </c>
      <c r="DX258" s="509">
        <v>10.039999999999999</v>
      </c>
      <c r="DY258" s="507">
        <v>2</v>
      </c>
      <c r="DZ258" s="507">
        <v>15</v>
      </c>
      <c r="EA258" s="507">
        <v>0</v>
      </c>
      <c r="EB258" s="507">
        <v>0</v>
      </c>
      <c r="EC258" s="507">
        <v>111.62500000000001</v>
      </c>
      <c r="ED258" s="507">
        <v>102.18750000000001</v>
      </c>
      <c r="EE258" s="507">
        <v>0</v>
      </c>
      <c r="EF258" s="507">
        <v>25.062499999999996</v>
      </c>
      <c r="EG258" s="507">
        <v>29.3125</v>
      </c>
      <c r="EH258" s="507">
        <v>12.8125</v>
      </c>
      <c r="EI258" s="507">
        <v>16.6875</v>
      </c>
      <c r="EJ258" s="507">
        <v>56.4375</v>
      </c>
      <c r="EK258" s="507">
        <v>10.4375</v>
      </c>
      <c r="EL258" s="507">
        <v>10.4375</v>
      </c>
      <c r="EM258" s="508">
        <v>375</v>
      </c>
    </row>
    <row r="259" spans="2:143" x14ac:dyDescent="0.25">
      <c r="B259" s="506" t="str">
        <f>[1]RONET_Input!J230</f>
        <v xml:space="preserve">Input VPROMMS: 217b_1 (50.0 pct); 217B_1 (50.0 pct); </v>
      </c>
      <c r="C259" s="359">
        <f>[1]RONET_Input!B230</f>
        <v>228</v>
      </c>
      <c r="D259" s="397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442">
        <f>[1]RONET_Input!K230</f>
        <v>0.53732056668799999</v>
      </c>
      <c r="Q259" s="398">
        <f>[1]RONET_Input!Y230</f>
        <v>2</v>
      </c>
      <c r="R259" s="398">
        <f>[1]RONET_Input!X230</f>
        <v>3.5</v>
      </c>
      <c r="S259" s="398"/>
      <c r="T259" s="398"/>
      <c r="U259" s="398">
        <f>[1]RONET_Input!AA230</f>
        <v>8</v>
      </c>
      <c r="V259" s="398">
        <f>[1]RONET_Input!AC230</f>
        <v>1</v>
      </c>
      <c r="W259" s="398">
        <f>[1]RONET_Input!AD230</f>
        <v>1</v>
      </c>
      <c r="X259" s="398">
        <f>[1]RONET_Input!AE230</f>
        <v>4</v>
      </c>
      <c r="Y259" s="398">
        <f>[1]RONET_Input!AB230</f>
        <v>1</v>
      </c>
      <c r="Z259" s="438">
        <f>[1]RONET_Input!Z230</f>
        <v>1</v>
      </c>
      <c r="AA259" s="442"/>
      <c r="AB259" s="398"/>
      <c r="AC259" s="438"/>
      <c r="AD259" s="442">
        <f>[1]RONET_Input!AH230</f>
        <v>4</v>
      </c>
      <c r="AE259" s="398">
        <f>[1]RONET_Input!D230</f>
        <v>9.5950000000000006</v>
      </c>
      <c r="AF259" s="398"/>
      <c r="AG259" s="398"/>
      <c r="AH259" s="398"/>
      <c r="AI259" s="438"/>
      <c r="AJ259" s="442">
        <v>1</v>
      </c>
      <c r="AK259" s="442">
        <f>[1]RONET_Input!AF230</f>
        <v>4</v>
      </c>
      <c r="AL259" s="507"/>
      <c r="AM259" s="507"/>
      <c r="AN259" s="507"/>
      <c r="AO259" s="507"/>
      <c r="AP259" s="507"/>
      <c r="AQ259" s="507"/>
      <c r="AR259" s="507"/>
      <c r="AS259" s="507"/>
      <c r="AT259" s="507"/>
      <c r="AU259" s="507"/>
      <c r="AV259" s="507"/>
      <c r="AW259" s="507"/>
      <c r="AX259" s="508"/>
      <c r="AY259" s="509">
        <f>[1]RONET_Input!AG230</f>
        <v>3</v>
      </c>
      <c r="AZ259" s="359" t="s">
        <v>321</v>
      </c>
      <c r="BA259" s="360" t="s">
        <v>502</v>
      </c>
      <c r="BB259" s="360" t="s">
        <v>443</v>
      </c>
      <c r="BC259" s="510">
        <v>2.6892894362734402E-2</v>
      </c>
      <c r="BD259" s="510">
        <v>5.0050000000000004E-2</v>
      </c>
      <c r="BE259" s="438">
        <v>5</v>
      </c>
      <c r="BF259" s="511">
        <v>0.24689758518621935</v>
      </c>
      <c r="BG259" s="512">
        <v>0.45949773839493219</v>
      </c>
      <c r="BH259" s="512">
        <v>9.1807739939047384</v>
      </c>
      <c r="BI259" s="513">
        <v>0</v>
      </c>
      <c r="BJ259" s="514">
        <v>375</v>
      </c>
      <c r="BK259" s="515">
        <v>0.22366666666666665</v>
      </c>
      <c r="BL259" s="512">
        <v>7.3545752565419995E-2</v>
      </c>
      <c r="BM259" s="516">
        <v>3.2054071874999999E-2</v>
      </c>
      <c r="BN259" s="517">
        <v>375</v>
      </c>
      <c r="BO259" s="518">
        <v>397.50000000000011</v>
      </c>
      <c r="BP259" s="518">
        <v>421.34999999999991</v>
      </c>
      <c r="BQ259" s="518">
        <v>446.63099999999997</v>
      </c>
      <c r="BR259" s="518">
        <v>473.42885999999999</v>
      </c>
      <c r="BS259" s="518">
        <v>501.83459160000012</v>
      </c>
      <c r="BT259" s="518">
        <v>531.9446670960001</v>
      </c>
      <c r="BU259" s="518">
        <v>563.86134712175999</v>
      </c>
      <c r="BV259" s="518">
        <v>597.69302794906582</v>
      </c>
      <c r="BW259" s="518">
        <v>633.55460962600955</v>
      </c>
      <c r="BX259" s="518">
        <v>671.56788620357008</v>
      </c>
      <c r="BY259" s="518">
        <v>711.86195937578441</v>
      </c>
      <c r="BZ259" s="518">
        <v>754.57367693833146</v>
      </c>
      <c r="CA259" s="518">
        <v>799.84809755463141</v>
      </c>
      <c r="CB259" s="518">
        <v>847.83898340790915</v>
      </c>
      <c r="CC259" s="518">
        <v>898.70932241238381</v>
      </c>
      <c r="CD259" s="518">
        <v>952.63188175712685</v>
      </c>
      <c r="CE259" s="518">
        <v>1009.7897946625544</v>
      </c>
      <c r="CF259" s="518">
        <v>1070.3771823423076</v>
      </c>
      <c r="CG259" s="519">
        <v>1134.5998132828461</v>
      </c>
      <c r="CH259" s="520">
        <v>9.5950000000000006</v>
      </c>
      <c r="CI259" s="521">
        <v>9.786900000000001</v>
      </c>
      <c r="CJ259" s="521">
        <v>9.9826380000000015</v>
      </c>
      <c r="CK259" s="521">
        <v>10.182290760000001</v>
      </c>
      <c r="CL259" s="521">
        <v>2.5</v>
      </c>
      <c r="CM259" s="521">
        <v>2.5499999999999998</v>
      </c>
      <c r="CN259" s="521">
        <v>2.601</v>
      </c>
      <c r="CO259" s="521">
        <v>2.6530200000000002</v>
      </c>
      <c r="CP259" s="521">
        <v>2.7060804000000003</v>
      </c>
      <c r="CQ259" s="521">
        <v>2.7602020080000003</v>
      </c>
      <c r="CR259" s="521">
        <v>2.8154060481600003</v>
      </c>
      <c r="CS259" s="521">
        <v>2.8717141691232002</v>
      </c>
      <c r="CT259" s="521">
        <v>2.5</v>
      </c>
      <c r="CU259" s="521">
        <v>2.5499999999999998</v>
      </c>
      <c r="CV259" s="521">
        <v>2.601</v>
      </c>
      <c r="CW259" s="521">
        <v>2.6530200000000002</v>
      </c>
      <c r="CX259" s="521">
        <v>2.7060804000000003</v>
      </c>
      <c r="CY259" s="521">
        <v>2.7602020080000003</v>
      </c>
      <c r="CZ259" s="521">
        <v>2.8154060481600003</v>
      </c>
      <c r="DA259" s="522">
        <v>2.8717141691232002</v>
      </c>
      <c r="DB259" s="523">
        <v>0</v>
      </c>
      <c r="DC259" s="524">
        <v>0</v>
      </c>
      <c r="DD259" s="524">
        <v>0</v>
      </c>
      <c r="DE259" s="524">
        <v>0</v>
      </c>
      <c r="DF259" s="524">
        <v>-1.4747914976064737E-2</v>
      </c>
      <c r="DG259" s="524">
        <v>1.0735896879914997E-2</v>
      </c>
      <c r="DH259" s="524">
        <v>1.1851484865313115E-2</v>
      </c>
      <c r="DI259" s="524">
        <v>1.3082062525875328E-2</v>
      </c>
      <c r="DJ259" s="524">
        <v>1.4439384447777634E-2</v>
      </c>
      <c r="DK259" s="524">
        <v>0.36668871272829473</v>
      </c>
      <c r="DL259" s="524">
        <v>9.2463190598905676E-5</v>
      </c>
      <c r="DM259" s="524">
        <v>6.6602618163741356E-5</v>
      </c>
      <c r="DN259" s="524">
        <v>-2.4133116402617547E-2</v>
      </c>
      <c r="DO259" s="524">
        <v>3.3745612842438211E-4</v>
      </c>
      <c r="DP259" s="524">
        <v>3.3314331969043487E-4</v>
      </c>
      <c r="DQ259" s="524">
        <v>3.261152396957373E-4</v>
      </c>
      <c r="DR259" s="524">
        <v>3.159641314037509E-4</v>
      </c>
      <c r="DS259" s="524">
        <v>4.9471402685952612E-2</v>
      </c>
      <c r="DT259" s="524">
        <v>5.3681814879444345E-4</v>
      </c>
      <c r="DU259" s="525">
        <v>5.4594878757321941E-4</v>
      </c>
      <c r="DV259" s="526">
        <v>3.5</v>
      </c>
      <c r="DW259" s="507">
        <v>1</v>
      </c>
      <c r="DX259" s="509">
        <v>9.5950000000000006</v>
      </c>
      <c r="DY259" s="507">
        <v>2</v>
      </c>
      <c r="DZ259" s="507">
        <v>15</v>
      </c>
      <c r="EA259" s="507">
        <v>0</v>
      </c>
      <c r="EB259" s="507">
        <v>0</v>
      </c>
      <c r="EC259" s="507">
        <v>111.62500000000001</v>
      </c>
      <c r="ED259" s="507">
        <v>102.18750000000001</v>
      </c>
      <c r="EE259" s="507">
        <v>0</v>
      </c>
      <c r="EF259" s="507">
        <v>25.062499999999996</v>
      </c>
      <c r="EG259" s="507">
        <v>29.3125</v>
      </c>
      <c r="EH259" s="507">
        <v>12.8125</v>
      </c>
      <c r="EI259" s="507">
        <v>16.6875</v>
      </c>
      <c r="EJ259" s="507">
        <v>56.4375</v>
      </c>
      <c r="EK259" s="507">
        <v>10.4375</v>
      </c>
      <c r="EL259" s="507">
        <v>10.4375</v>
      </c>
      <c r="EM259" s="508">
        <v>375</v>
      </c>
    </row>
    <row r="260" spans="2:143" x14ac:dyDescent="0.25">
      <c r="B260" s="506" t="str">
        <f>[1]RONET_Input!J231</f>
        <v>214tt00093</v>
      </c>
      <c r="C260" s="359">
        <f>[1]RONET_Input!B231</f>
        <v>229</v>
      </c>
      <c r="D260" s="397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442">
        <f>[1]RONET_Input!K231</f>
        <v>4.3559539648700003</v>
      </c>
      <c r="Q260" s="398">
        <f>[1]RONET_Input!Y231</f>
        <v>1</v>
      </c>
      <c r="R260" s="398">
        <f>[1]RONET_Input!X231</f>
        <v>3.4</v>
      </c>
      <c r="S260" s="398"/>
      <c r="T260" s="398"/>
      <c r="U260" s="398">
        <f>[1]RONET_Input!AA231</f>
        <v>8</v>
      </c>
      <c r="V260" s="398">
        <f>[1]RONET_Input!AC231</f>
        <v>1</v>
      </c>
      <c r="W260" s="398">
        <f>[1]RONET_Input!AD231</f>
        <v>1</v>
      </c>
      <c r="X260" s="398">
        <f>[1]RONET_Input!AE231</f>
        <v>4</v>
      </c>
      <c r="Y260" s="398">
        <f>[1]RONET_Input!AB231</f>
        <v>1</v>
      </c>
      <c r="Z260" s="438">
        <f>[1]RONET_Input!Z231</f>
        <v>1</v>
      </c>
      <c r="AA260" s="442"/>
      <c r="AB260" s="398"/>
      <c r="AC260" s="438"/>
      <c r="AD260" s="442">
        <f>[1]RONET_Input!AH231</f>
        <v>3</v>
      </c>
      <c r="AE260" s="398">
        <f>[1]RONET_Input!D231</f>
        <v>7.68</v>
      </c>
      <c r="AF260" s="398"/>
      <c r="AG260" s="398"/>
      <c r="AH260" s="398"/>
      <c r="AI260" s="438"/>
      <c r="AJ260" s="442">
        <v>1</v>
      </c>
      <c r="AK260" s="442">
        <f>[1]RONET_Input!AF231</f>
        <v>4</v>
      </c>
      <c r="AL260" s="507"/>
      <c r="AM260" s="507"/>
      <c r="AN260" s="507"/>
      <c r="AO260" s="507"/>
      <c r="AP260" s="507"/>
      <c r="AQ260" s="507"/>
      <c r="AR260" s="507"/>
      <c r="AS260" s="507"/>
      <c r="AT260" s="507"/>
      <c r="AU260" s="507"/>
      <c r="AV260" s="507"/>
      <c r="AW260" s="507"/>
      <c r="AX260" s="508"/>
      <c r="AY260" s="509">
        <f>[1]RONET_Input!AG231</f>
        <v>3</v>
      </c>
      <c r="AZ260" s="359" t="s">
        <v>321</v>
      </c>
      <c r="BA260" s="360" t="s">
        <v>502</v>
      </c>
      <c r="BB260" s="360" t="s">
        <v>443</v>
      </c>
      <c r="BC260" s="510">
        <v>0.21178648177197942</v>
      </c>
      <c r="BD260" s="510">
        <v>4.8620000000000003E-2</v>
      </c>
      <c r="BE260" s="438">
        <v>5</v>
      </c>
      <c r="BF260" s="511">
        <v>1.9582971425955529</v>
      </c>
      <c r="BG260" s="512">
        <v>0.44956791517744987</v>
      </c>
      <c r="BH260" s="512">
        <v>9.2465634549043578</v>
      </c>
      <c r="BI260" s="513">
        <v>0</v>
      </c>
      <c r="BJ260" s="514">
        <v>375</v>
      </c>
      <c r="BK260" s="515">
        <v>0.22366666666666665</v>
      </c>
      <c r="BL260" s="512">
        <v>0.59622119894158121</v>
      </c>
      <c r="BM260" s="516">
        <v>6.4108143749999999E-2</v>
      </c>
      <c r="BN260" s="517">
        <v>375</v>
      </c>
      <c r="BO260" s="518">
        <v>397.50000000000011</v>
      </c>
      <c r="BP260" s="518">
        <v>421.34999999999991</v>
      </c>
      <c r="BQ260" s="518">
        <v>446.63099999999997</v>
      </c>
      <c r="BR260" s="518">
        <v>473.42885999999999</v>
      </c>
      <c r="BS260" s="518">
        <v>501.83459160000012</v>
      </c>
      <c r="BT260" s="518">
        <v>531.9446670960001</v>
      </c>
      <c r="BU260" s="518">
        <v>563.86134712175999</v>
      </c>
      <c r="BV260" s="518">
        <v>597.69302794906582</v>
      </c>
      <c r="BW260" s="518">
        <v>633.55460962600955</v>
      </c>
      <c r="BX260" s="518">
        <v>671.56788620357008</v>
      </c>
      <c r="BY260" s="518">
        <v>711.86195937578441</v>
      </c>
      <c r="BZ260" s="518">
        <v>754.57367693833146</v>
      </c>
      <c r="CA260" s="518">
        <v>799.84809755463141</v>
      </c>
      <c r="CB260" s="518">
        <v>847.83898340790915</v>
      </c>
      <c r="CC260" s="518">
        <v>898.70932241238381</v>
      </c>
      <c r="CD260" s="518">
        <v>952.63188175712685</v>
      </c>
      <c r="CE260" s="518">
        <v>1009.7897946625544</v>
      </c>
      <c r="CF260" s="518">
        <v>1070.3771823423076</v>
      </c>
      <c r="CG260" s="519">
        <v>1134.5998132828461</v>
      </c>
      <c r="CH260" s="520">
        <v>7.68</v>
      </c>
      <c r="CI260" s="521">
        <v>7.8335999999999997</v>
      </c>
      <c r="CJ260" s="521">
        <v>7.990272</v>
      </c>
      <c r="CK260" s="521">
        <v>8.1500774400000005</v>
      </c>
      <c r="CL260" s="521">
        <v>2.5</v>
      </c>
      <c r="CM260" s="521">
        <v>2.5499999999999998</v>
      </c>
      <c r="CN260" s="521">
        <v>2.601</v>
      </c>
      <c r="CO260" s="521">
        <v>2.6530200000000002</v>
      </c>
      <c r="CP260" s="521">
        <v>2.7060804000000003</v>
      </c>
      <c r="CQ260" s="521">
        <v>2.7602020080000003</v>
      </c>
      <c r="CR260" s="521">
        <v>2.8154060481600003</v>
      </c>
      <c r="CS260" s="521">
        <v>2.8717141691232002</v>
      </c>
      <c r="CT260" s="521">
        <v>2.5</v>
      </c>
      <c r="CU260" s="521">
        <v>2.5499999999999998</v>
      </c>
      <c r="CV260" s="521">
        <v>2.601</v>
      </c>
      <c r="CW260" s="521">
        <v>2.6530200000000002</v>
      </c>
      <c r="CX260" s="521">
        <v>2.7060804000000003</v>
      </c>
      <c r="CY260" s="521">
        <v>2.7602020080000003</v>
      </c>
      <c r="CZ260" s="521">
        <v>2.8154060481600003</v>
      </c>
      <c r="DA260" s="522">
        <v>2.8717141691232002</v>
      </c>
      <c r="DB260" s="523">
        <v>0</v>
      </c>
      <c r="DC260" s="524">
        <v>0</v>
      </c>
      <c r="DD260" s="524">
        <v>0</v>
      </c>
      <c r="DE260" s="524">
        <v>0</v>
      </c>
      <c r="DF260" s="524">
        <v>-0.14096325083836148</v>
      </c>
      <c r="DG260" s="524">
        <v>5.7038374977316453E-2</v>
      </c>
      <c r="DH260" s="524">
        <v>6.2848798629800362E-2</v>
      </c>
      <c r="DI260" s="524">
        <v>6.924768525231062E-2</v>
      </c>
      <c r="DJ260" s="524">
        <v>7.6294445157295887E-2</v>
      </c>
      <c r="DK260" s="524">
        <v>2.98478666079719</v>
      </c>
      <c r="DL260" s="524">
        <v>1.3048334345434454E-2</v>
      </c>
      <c r="DM260" s="524">
        <v>1.3031549791625241E-2</v>
      </c>
      <c r="DN260" s="524">
        <v>-0.1767173617824962</v>
      </c>
      <c r="DO260" s="524">
        <v>1.6241313337735042E-2</v>
      </c>
      <c r="DP260" s="524">
        <v>1.6464670474167109E-2</v>
      </c>
      <c r="DQ260" s="524">
        <v>1.6675612806873796E-2</v>
      </c>
      <c r="DR260" s="524">
        <v>1.6870968489026361E-2</v>
      </c>
      <c r="DS260" s="524">
        <v>0.41565209685191407</v>
      </c>
      <c r="DT260" s="524">
        <v>1.9246294688631482E-2</v>
      </c>
      <c r="DU260" s="525">
        <v>1.9627707911374581E-2</v>
      </c>
      <c r="DV260" s="526">
        <v>3.4</v>
      </c>
      <c r="DW260" s="507">
        <v>1</v>
      </c>
      <c r="DX260" s="509">
        <v>7.68</v>
      </c>
      <c r="DY260" s="507">
        <v>2</v>
      </c>
      <c r="DZ260" s="507">
        <v>10</v>
      </c>
      <c r="EA260" s="507">
        <v>0</v>
      </c>
      <c r="EB260" s="507">
        <v>0</v>
      </c>
      <c r="EC260" s="507">
        <v>111.62500000000001</v>
      </c>
      <c r="ED260" s="507">
        <v>102.18750000000001</v>
      </c>
      <c r="EE260" s="507">
        <v>0</v>
      </c>
      <c r="EF260" s="507">
        <v>25.062499999999996</v>
      </c>
      <c r="EG260" s="507">
        <v>29.3125</v>
      </c>
      <c r="EH260" s="507">
        <v>12.8125</v>
      </c>
      <c r="EI260" s="507">
        <v>16.6875</v>
      </c>
      <c r="EJ260" s="507">
        <v>56.4375</v>
      </c>
      <c r="EK260" s="507">
        <v>10.4375</v>
      </c>
      <c r="EL260" s="507">
        <v>10.4375</v>
      </c>
      <c r="EM260" s="508">
        <v>375</v>
      </c>
    </row>
    <row r="261" spans="2:143" x14ac:dyDescent="0.25">
      <c r="B261" s="506" t="str">
        <f>[1]RONET_Input!J232</f>
        <v>214tt00100</v>
      </c>
      <c r="C261" s="359">
        <f>[1]RONET_Input!B232</f>
        <v>230</v>
      </c>
      <c r="D261" s="397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442">
        <f>[1]RONET_Input!K232</f>
        <v>1.40938642852</v>
      </c>
      <c r="Q261" s="398">
        <f>[1]RONET_Input!Y232</f>
        <v>1</v>
      </c>
      <c r="R261" s="398">
        <f>[1]RONET_Input!X232</f>
        <v>3.4</v>
      </c>
      <c r="S261" s="398"/>
      <c r="T261" s="398"/>
      <c r="U261" s="398">
        <f>[1]RONET_Input!AA232</f>
        <v>8</v>
      </c>
      <c r="V261" s="398">
        <f>[1]RONET_Input!AC232</f>
        <v>1</v>
      </c>
      <c r="W261" s="398">
        <f>[1]RONET_Input!AD232</f>
        <v>1</v>
      </c>
      <c r="X261" s="398">
        <f>[1]RONET_Input!AE232</f>
        <v>4</v>
      </c>
      <c r="Y261" s="398">
        <f>[1]RONET_Input!AB232</f>
        <v>1</v>
      </c>
      <c r="Z261" s="438">
        <f>[1]RONET_Input!Z232</f>
        <v>1</v>
      </c>
      <c r="AA261" s="442"/>
      <c r="AB261" s="398"/>
      <c r="AC261" s="438"/>
      <c r="AD261" s="442">
        <f>[1]RONET_Input!AH232</f>
        <v>4</v>
      </c>
      <c r="AE261" s="398">
        <f>[1]RONET_Input!D232</f>
        <v>9.0299999999999994</v>
      </c>
      <c r="AF261" s="398"/>
      <c r="AG261" s="398"/>
      <c r="AH261" s="398"/>
      <c r="AI261" s="438"/>
      <c r="AJ261" s="442">
        <v>1</v>
      </c>
      <c r="AK261" s="442">
        <f>[1]RONET_Input!AF232</f>
        <v>4</v>
      </c>
      <c r="AL261" s="507"/>
      <c r="AM261" s="507"/>
      <c r="AN261" s="507"/>
      <c r="AO261" s="507"/>
      <c r="AP261" s="507"/>
      <c r="AQ261" s="507"/>
      <c r="AR261" s="507"/>
      <c r="AS261" s="507"/>
      <c r="AT261" s="507"/>
      <c r="AU261" s="507"/>
      <c r="AV261" s="507"/>
      <c r="AW261" s="507"/>
      <c r="AX261" s="508"/>
      <c r="AY261" s="509">
        <f>[1]RONET_Input!AG232</f>
        <v>3</v>
      </c>
      <c r="AZ261" s="359" t="s">
        <v>321</v>
      </c>
      <c r="BA261" s="360" t="s">
        <v>502</v>
      </c>
      <c r="BB261" s="360" t="s">
        <v>443</v>
      </c>
      <c r="BC261" s="510">
        <v>6.8524368154642398E-2</v>
      </c>
      <c r="BD261" s="510">
        <v>4.8620000000000003E-2</v>
      </c>
      <c r="BE261" s="438">
        <v>5</v>
      </c>
      <c r="BF261" s="511">
        <v>0.66292052594820727</v>
      </c>
      <c r="BG261" s="512">
        <v>0.47036108233590818</v>
      </c>
      <c r="BH261" s="512">
        <v>9.6742304059216</v>
      </c>
      <c r="BI261" s="513">
        <v>0</v>
      </c>
      <c r="BJ261" s="514">
        <v>375</v>
      </c>
      <c r="BK261" s="515">
        <v>0.22366666666666665</v>
      </c>
      <c r="BL261" s="512">
        <v>0.19290976740367499</v>
      </c>
      <c r="BM261" s="516">
        <v>6.4108143749999999E-2</v>
      </c>
      <c r="BN261" s="517">
        <v>375</v>
      </c>
      <c r="BO261" s="518">
        <v>397.50000000000011</v>
      </c>
      <c r="BP261" s="518">
        <v>421.34999999999991</v>
      </c>
      <c r="BQ261" s="518">
        <v>446.63099999999997</v>
      </c>
      <c r="BR261" s="518">
        <v>473.42885999999999</v>
      </c>
      <c r="BS261" s="518">
        <v>501.83459160000012</v>
      </c>
      <c r="BT261" s="518">
        <v>531.9446670960001</v>
      </c>
      <c r="BU261" s="518">
        <v>563.86134712175999</v>
      </c>
      <c r="BV261" s="518">
        <v>597.69302794906582</v>
      </c>
      <c r="BW261" s="518">
        <v>633.55460962600955</v>
      </c>
      <c r="BX261" s="518">
        <v>671.56788620357008</v>
      </c>
      <c r="BY261" s="518">
        <v>711.86195937578441</v>
      </c>
      <c r="BZ261" s="518">
        <v>754.57367693833146</v>
      </c>
      <c r="CA261" s="518">
        <v>799.84809755463141</v>
      </c>
      <c r="CB261" s="518">
        <v>847.83898340790915</v>
      </c>
      <c r="CC261" s="518">
        <v>898.70932241238381</v>
      </c>
      <c r="CD261" s="518">
        <v>952.63188175712685</v>
      </c>
      <c r="CE261" s="518">
        <v>1009.7897946625544</v>
      </c>
      <c r="CF261" s="518">
        <v>1070.3771823423076</v>
      </c>
      <c r="CG261" s="519">
        <v>1134.5998132828461</v>
      </c>
      <c r="CH261" s="520">
        <v>9.0299999999999994</v>
      </c>
      <c r="CI261" s="521">
        <v>9.2105999999999995</v>
      </c>
      <c r="CJ261" s="521">
        <v>9.3948119999999999</v>
      </c>
      <c r="CK261" s="521">
        <v>9.5827082400000005</v>
      </c>
      <c r="CL261" s="521">
        <v>2.5</v>
      </c>
      <c r="CM261" s="521">
        <v>2.5499999999999998</v>
      </c>
      <c r="CN261" s="521">
        <v>2.601</v>
      </c>
      <c r="CO261" s="521">
        <v>2.6530200000000002</v>
      </c>
      <c r="CP261" s="521">
        <v>2.7060804000000003</v>
      </c>
      <c r="CQ261" s="521">
        <v>2.7602020080000003</v>
      </c>
      <c r="CR261" s="521">
        <v>2.8154060481600003</v>
      </c>
      <c r="CS261" s="521">
        <v>2.8717141691232002</v>
      </c>
      <c r="CT261" s="521">
        <v>2.5</v>
      </c>
      <c r="CU261" s="521">
        <v>2.5499999999999998</v>
      </c>
      <c r="CV261" s="521">
        <v>2.601</v>
      </c>
      <c r="CW261" s="521">
        <v>2.6530200000000002</v>
      </c>
      <c r="CX261" s="521">
        <v>2.7060804000000003</v>
      </c>
      <c r="CY261" s="521">
        <v>2.7602020080000003</v>
      </c>
      <c r="CZ261" s="521">
        <v>2.8154060481600003</v>
      </c>
      <c r="DA261" s="522">
        <v>2.8717141691232002</v>
      </c>
      <c r="DB261" s="523">
        <v>0</v>
      </c>
      <c r="DC261" s="524">
        <v>0</v>
      </c>
      <c r="DD261" s="524">
        <v>0</v>
      </c>
      <c r="DE261" s="524">
        <v>0</v>
      </c>
      <c r="DF261" s="524">
        <v>-3.8759194866843066E-2</v>
      </c>
      <c r="DG261" s="524">
        <v>2.5996296336596711E-2</v>
      </c>
      <c r="DH261" s="524">
        <v>2.8637254698648584E-2</v>
      </c>
      <c r="DI261" s="524">
        <v>3.154532962080428E-2</v>
      </c>
      <c r="DJ261" s="524">
        <v>3.4747449299412564E-2</v>
      </c>
      <c r="DK261" s="524">
        <v>0.96573973133819258</v>
      </c>
      <c r="DL261" s="524">
        <v>4.2218410684685681E-3</v>
      </c>
      <c r="DM261" s="524">
        <v>4.2164103585624613E-3</v>
      </c>
      <c r="DN261" s="524">
        <v>-5.7177613305548824E-2</v>
      </c>
      <c r="DO261" s="524">
        <v>5.2549422661833933E-3</v>
      </c>
      <c r="DP261" s="524">
        <v>5.3272103661998749E-3</v>
      </c>
      <c r="DQ261" s="524">
        <v>5.3954616065285399E-3</v>
      </c>
      <c r="DR261" s="524">
        <v>5.4586697233683923E-3</v>
      </c>
      <c r="DS261" s="524">
        <v>0.13448590802691174</v>
      </c>
      <c r="DT261" s="524">
        <v>6.2272160707426694E-3</v>
      </c>
      <c r="DU261" s="525">
        <v>6.3506238533151405E-3</v>
      </c>
      <c r="DV261" s="526">
        <v>3.4</v>
      </c>
      <c r="DW261" s="507">
        <v>1</v>
      </c>
      <c r="DX261" s="509">
        <v>9.0299999999999994</v>
      </c>
      <c r="DY261" s="507">
        <v>2</v>
      </c>
      <c r="DZ261" s="507">
        <v>15</v>
      </c>
      <c r="EA261" s="507">
        <v>0</v>
      </c>
      <c r="EB261" s="507">
        <v>0</v>
      </c>
      <c r="EC261" s="507">
        <v>111.62500000000001</v>
      </c>
      <c r="ED261" s="507">
        <v>102.18750000000001</v>
      </c>
      <c r="EE261" s="507">
        <v>0</v>
      </c>
      <c r="EF261" s="507">
        <v>25.062499999999996</v>
      </c>
      <c r="EG261" s="507">
        <v>29.3125</v>
      </c>
      <c r="EH261" s="507">
        <v>12.8125</v>
      </c>
      <c r="EI261" s="507">
        <v>16.6875</v>
      </c>
      <c r="EJ261" s="507">
        <v>56.4375</v>
      </c>
      <c r="EK261" s="507">
        <v>10.4375</v>
      </c>
      <c r="EL261" s="507">
        <v>10.4375</v>
      </c>
      <c r="EM261" s="508">
        <v>375</v>
      </c>
    </row>
    <row r="262" spans="2:143" x14ac:dyDescent="0.25">
      <c r="B262" s="506" t="str">
        <f>[1]RONET_Input!J233</f>
        <v>214tt00100</v>
      </c>
      <c r="C262" s="359">
        <f>[1]RONET_Input!B233</f>
        <v>231</v>
      </c>
      <c r="D262" s="397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442">
        <f>[1]RONET_Input!K233</f>
        <v>2.1044603549100001</v>
      </c>
      <c r="Q262" s="398">
        <f>[1]RONET_Input!Y233</f>
        <v>1</v>
      </c>
      <c r="R262" s="398">
        <f>[1]RONET_Input!X233</f>
        <v>3.4</v>
      </c>
      <c r="S262" s="398"/>
      <c r="T262" s="398"/>
      <c r="U262" s="398">
        <f>[1]RONET_Input!AA233</f>
        <v>8</v>
      </c>
      <c r="V262" s="398">
        <f>[1]RONET_Input!AC233</f>
        <v>1</v>
      </c>
      <c r="W262" s="398">
        <f>[1]RONET_Input!AD233</f>
        <v>1</v>
      </c>
      <c r="X262" s="398">
        <f>[1]RONET_Input!AE233</f>
        <v>4</v>
      </c>
      <c r="Y262" s="398">
        <f>[1]RONET_Input!AB233</f>
        <v>1</v>
      </c>
      <c r="Z262" s="438">
        <f>[1]RONET_Input!Z233</f>
        <v>1</v>
      </c>
      <c r="AA262" s="442"/>
      <c r="AB262" s="398"/>
      <c r="AC262" s="438"/>
      <c r="AD262" s="442">
        <f>[1]RONET_Input!AH233</f>
        <v>4</v>
      </c>
      <c r="AE262" s="398">
        <f>[1]RONET_Input!D233</f>
        <v>8.9</v>
      </c>
      <c r="AF262" s="398"/>
      <c r="AG262" s="398"/>
      <c r="AH262" s="398"/>
      <c r="AI262" s="438"/>
      <c r="AJ262" s="442">
        <v>1</v>
      </c>
      <c r="AK262" s="442">
        <f>[1]RONET_Input!AF233</f>
        <v>4</v>
      </c>
      <c r="AL262" s="507"/>
      <c r="AM262" s="507"/>
      <c r="AN262" s="507"/>
      <c r="AO262" s="507"/>
      <c r="AP262" s="507"/>
      <c r="AQ262" s="507"/>
      <c r="AR262" s="507"/>
      <c r="AS262" s="507"/>
      <c r="AT262" s="507"/>
      <c r="AU262" s="507"/>
      <c r="AV262" s="507"/>
      <c r="AW262" s="507"/>
      <c r="AX262" s="508"/>
      <c r="AY262" s="509">
        <f>[1]RONET_Input!AG233</f>
        <v>3</v>
      </c>
      <c r="AZ262" s="359" t="s">
        <v>321</v>
      </c>
      <c r="BA262" s="360" t="s">
        <v>502</v>
      </c>
      <c r="BB262" s="360" t="s">
        <v>443</v>
      </c>
      <c r="BC262" s="510">
        <v>0.10231886245572422</v>
      </c>
      <c r="BD262" s="510">
        <v>4.862000000000001E-2</v>
      </c>
      <c r="BE262" s="438">
        <v>5</v>
      </c>
      <c r="BF262" s="511">
        <v>0.9853625351309373</v>
      </c>
      <c r="BG262" s="512">
        <v>0.46822575337755773</v>
      </c>
      <c r="BH262" s="512">
        <v>9.6303116696330253</v>
      </c>
      <c r="BI262" s="513">
        <v>0</v>
      </c>
      <c r="BJ262" s="514">
        <v>375</v>
      </c>
      <c r="BK262" s="515">
        <v>0.22366666666666665</v>
      </c>
      <c r="BL262" s="512">
        <v>0.28804801107830624</v>
      </c>
      <c r="BM262" s="516">
        <v>6.4108143749999999E-2</v>
      </c>
      <c r="BN262" s="517">
        <v>375</v>
      </c>
      <c r="BO262" s="518">
        <v>397.50000000000011</v>
      </c>
      <c r="BP262" s="518">
        <v>421.34999999999991</v>
      </c>
      <c r="BQ262" s="518">
        <v>446.63099999999997</v>
      </c>
      <c r="BR262" s="518">
        <v>473.42885999999999</v>
      </c>
      <c r="BS262" s="518">
        <v>501.83459160000012</v>
      </c>
      <c r="BT262" s="518">
        <v>531.9446670960001</v>
      </c>
      <c r="BU262" s="518">
        <v>563.86134712175999</v>
      </c>
      <c r="BV262" s="518">
        <v>597.69302794906582</v>
      </c>
      <c r="BW262" s="518">
        <v>633.55460962600955</v>
      </c>
      <c r="BX262" s="518">
        <v>671.56788620357008</v>
      </c>
      <c r="BY262" s="518">
        <v>711.86195937578441</v>
      </c>
      <c r="BZ262" s="518">
        <v>754.57367693833146</v>
      </c>
      <c r="CA262" s="518">
        <v>799.84809755463141</v>
      </c>
      <c r="CB262" s="518">
        <v>847.83898340790915</v>
      </c>
      <c r="CC262" s="518">
        <v>898.70932241238381</v>
      </c>
      <c r="CD262" s="518">
        <v>952.63188175712685</v>
      </c>
      <c r="CE262" s="518">
        <v>1009.7897946625544</v>
      </c>
      <c r="CF262" s="518">
        <v>1070.3771823423076</v>
      </c>
      <c r="CG262" s="519">
        <v>1134.5998132828461</v>
      </c>
      <c r="CH262" s="520">
        <v>8.9</v>
      </c>
      <c r="CI262" s="521">
        <v>9.0780000000000012</v>
      </c>
      <c r="CJ262" s="521">
        <v>9.2595600000000005</v>
      </c>
      <c r="CK262" s="521">
        <v>9.4447512000000007</v>
      </c>
      <c r="CL262" s="521">
        <v>2.5</v>
      </c>
      <c r="CM262" s="521">
        <v>2.5499999999999998</v>
      </c>
      <c r="CN262" s="521">
        <v>2.601</v>
      </c>
      <c r="CO262" s="521">
        <v>2.6530200000000002</v>
      </c>
      <c r="CP262" s="521">
        <v>2.7060804000000003</v>
      </c>
      <c r="CQ262" s="521">
        <v>2.7602020080000003</v>
      </c>
      <c r="CR262" s="521">
        <v>2.8154060481600003</v>
      </c>
      <c r="CS262" s="521">
        <v>2.8717141691232002</v>
      </c>
      <c r="CT262" s="521">
        <v>2.5</v>
      </c>
      <c r="CU262" s="521">
        <v>2.5499999999999998</v>
      </c>
      <c r="CV262" s="521">
        <v>2.601</v>
      </c>
      <c r="CW262" s="521">
        <v>2.6530200000000002</v>
      </c>
      <c r="CX262" s="521">
        <v>2.7060804000000003</v>
      </c>
      <c r="CY262" s="521">
        <v>2.7602020080000003</v>
      </c>
      <c r="CZ262" s="521">
        <v>2.8154060481600003</v>
      </c>
      <c r="DA262" s="522">
        <v>2.8717141691232002</v>
      </c>
      <c r="DB262" s="523">
        <v>0</v>
      </c>
      <c r="DC262" s="524">
        <v>0</v>
      </c>
      <c r="DD262" s="524">
        <v>0</v>
      </c>
      <c r="DE262" s="524">
        <v>0</v>
      </c>
      <c r="DF262" s="524">
        <v>-5.8924697352749245E-2</v>
      </c>
      <c r="DG262" s="524">
        <v>3.7660592124768355E-2</v>
      </c>
      <c r="DH262" s="524">
        <v>4.1487345606677273E-2</v>
      </c>
      <c r="DI262" s="524">
        <v>4.5701204926195282E-2</v>
      </c>
      <c r="DJ262" s="524">
        <v>5.0341208942042054E-2</v>
      </c>
      <c r="DK262" s="524">
        <v>1.4420182688269876</v>
      </c>
      <c r="DL262" s="524">
        <v>6.3039468619354166E-3</v>
      </c>
      <c r="DM262" s="524">
        <v>6.29583786254026E-3</v>
      </c>
      <c r="DN262" s="524">
        <v>-8.5376173599357563E-2</v>
      </c>
      <c r="DO262" s="524">
        <v>7.8465475775418292E-3</v>
      </c>
      <c r="DP262" s="524">
        <v>7.9544564862213951E-3</v>
      </c>
      <c r="DQ262" s="524">
        <v>8.056367521079244E-3</v>
      </c>
      <c r="DR262" s="524">
        <v>8.1507482908285689E-3</v>
      </c>
      <c r="DS262" s="524">
        <v>0.20081097420095689</v>
      </c>
      <c r="DT262" s="524">
        <v>9.2983223601053044E-3</v>
      </c>
      <c r="DU262" s="525">
        <v>9.4825917561032202E-3</v>
      </c>
      <c r="DV262" s="526">
        <v>3.4</v>
      </c>
      <c r="DW262" s="507">
        <v>1</v>
      </c>
      <c r="DX262" s="509">
        <v>8.9</v>
      </c>
      <c r="DY262" s="507">
        <v>2</v>
      </c>
      <c r="DZ262" s="507">
        <v>15</v>
      </c>
      <c r="EA262" s="507">
        <v>0</v>
      </c>
      <c r="EB262" s="507">
        <v>0</v>
      </c>
      <c r="EC262" s="507">
        <v>111.62500000000001</v>
      </c>
      <c r="ED262" s="507">
        <v>102.18750000000001</v>
      </c>
      <c r="EE262" s="507">
        <v>0</v>
      </c>
      <c r="EF262" s="507">
        <v>25.062499999999996</v>
      </c>
      <c r="EG262" s="507">
        <v>29.3125</v>
      </c>
      <c r="EH262" s="507">
        <v>12.8125</v>
      </c>
      <c r="EI262" s="507">
        <v>16.6875</v>
      </c>
      <c r="EJ262" s="507">
        <v>56.4375</v>
      </c>
      <c r="EK262" s="507">
        <v>10.4375</v>
      </c>
      <c r="EL262" s="507">
        <v>10.4375</v>
      </c>
      <c r="EM262" s="508">
        <v>375</v>
      </c>
    </row>
    <row r="263" spans="2:143" x14ac:dyDescent="0.25">
      <c r="B263" s="506" t="str">
        <f>[1]RONET_Input!J234</f>
        <v xml:space="preserve">Input VPROMMS: 217B_1 (50.0 pct); 217b_1 (50.0 pct); </v>
      </c>
      <c r="C263" s="359">
        <f>[1]RONET_Input!B234</f>
        <v>232</v>
      </c>
      <c r="D263" s="397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442">
        <f>[1]RONET_Input!K234</f>
        <v>1.2827287187900001</v>
      </c>
      <c r="Q263" s="398">
        <f>[1]RONET_Input!Y234</f>
        <v>2</v>
      </c>
      <c r="R263" s="398">
        <f>[1]RONET_Input!X234</f>
        <v>3.5</v>
      </c>
      <c r="S263" s="398"/>
      <c r="T263" s="398"/>
      <c r="U263" s="398">
        <f>[1]RONET_Input!AA234</f>
        <v>8</v>
      </c>
      <c r="V263" s="398">
        <f>[1]RONET_Input!AC234</f>
        <v>1</v>
      </c>
      <c r="W263" s="398">
        <f>[1]RONET_Input!AD234</f>
        <v>1</v>
      </c>
      <c r="X263" s="398">
        <f>[1]RONET_Input!AE234</f>
        <v>4</v>
      </c>
      <c r="Y263" s="398">
        <f>[1]RONET_Input!AB234</f>
        <v>1</v>
      </c>
      <c r="Z263" s="438">
        <f>[1]RONET_Input!Z234</f>
        <v>1</v>
      </c>
      <c r="AA263" s="442"/>
      <c r="AB263" s="398"/>
      <c r="AC263" s="438"/>
      <c r="AD263" s="442">
        <f>[1]RONET_Input!AH234</f>
        <v>3</v>
      </c>
      <c r="AE263" s="398">
        <f>[1]RONET_Input!D234</f>
        <v>6.9550000000000001</v>
      </c>
      <c r="AF263" s="398"/>
      <c r="AG263" s="398"/>
      <c r="AH263" s="398"/>
      <c r="AI263" s="438"/>
      <c r="AJ263" s="442">
        <v>1</v>
      </c>
      <c r="AK263" s="442">
        <f>[1]RONET_Input!AF234</f>
        <v>4</v>
      </c>
      <c r="AL263" s="507"/>
      <c r="AM263" s="507"/>
      <c r="AN263" s="507"/>
      <c r="AO263" s="507"/>
      <c r="AP263" s="507"/>
      <c r="AQ263" s="507"/>
      <c r="AR263" s="507"/>
      <c r="AS263" s="507"/>
      <c r="AT263" s="507"/>
      <c r="AU263" s="507"/>
      <c r="AV263" s="507"/>
      <c r="AW263" s="507"/>
      <c r="AX263" s="508"/>
      <c r="AY263" s="509">
        <f>[1]RONET_Input!AG234</f>
        <v>3</v>
      </c>
      <c r="AZ263" s="359" t="s">
        <v>321</v>
      </c>
      <c r="BA263" s="360" t="s">
        <v>502</v>
      </c>
      <c r="BB263" s="360" t="s">
        <v>443</v>
      </c>
      <c r="BC263" s="510">
        <v>6.420057237543951E-2</v>
      </c>
      <c r="BD263" s="510">
        <v>5.0050000000000004E-2</v>
      </c>
      <c r="BE263" s="438">
        <v>5</v>
      </c>
      <c r="BF263" s="511">
        <v>0.53839388868386262</v>
      </c>
      <c r="BG263" s="512">
        <v>0.41972544997022471</v>
      </c>
      <c r="BH263" s="512">
        <v>8.3861228765279652</v>
      </c>
      <c r="BI263" s="513">
        <v>0</v>
      </c>
      <c r="BJ263" s="514">
        <v>375</v>
      </c>
      <c r="BK263" s="515">
        <v>0.22366666666666665</v>
      </c>
      <c r="BL263" s="512">
        <v>0.17557349338438125</v>
      </c>
      <c r="BM263" s="516">
        <v>3.2054071874999999E-2</v>
      </c>
      <c r="BN263" s="517">
        <v>375</v>
      </c>
      <c r="BO263" s="518">
        <v>397.50000000000011</v>
      </c>
      <c r="BP263" s="518">
        <v>421.34999999999991</v>
      </c>
      <c r="BQ263" s="518">
        <v>446.63099999999997</v>
      </c>
      <c r="BR263" s="518">
        <v>473.42885999999999</v>
      </c>
      <c r="BS263" s="518">
        <v>501.83459160000012</v>
      </c>
      <c r="BT263" s="518">
        <v>531.9446670960001</v>
      </c>
      <c r="BU263" s="518">
        <v>563.86134712175999</v>
      </c>
      <c r="BV263" s="518">
        <v>597.69302794906582</v>
      </c>
      <c r="BW263" s="518">
        <v>633.55460962600955</v>
      </c>
      <c r="BX263" s="518">
        <v>671.56788620357008</v>
      </c>
      <c r="BY263" s="518">
        <v>711.86195937578441</v>
      </c>
      <c r="BZ263" s="518">
        <v>754.57367693833146</v>
      </c>
      <c r="CA263" s="518">
        <v>799.84809755463141</v>
      </c>
      <c r="CB263" s="518">
        <v>847.83898340790915</v>
      </c>
      <c r="CC263" s="518">
        <v>898.70932241238381</v>
      </c>
      <c r="CD263" s="518">
        <v>952.63188175712685</v>
      </c>
      <c r="CE263" s="518">
        <v>1009.7897946625544</v>
      </c>
      <c r="CF263" s="518">
        <v>1070.3771823423076</v>
      </c>
      <c r="CG263" s="519">
        <v>1134.5998132828461</v>
      </c>
      <c r="CH263" s="520">
        <v>6.9550000000000001</v>
      </c>
      <c r="CI263" s="521">
        <v>7.0941000000000001</v>
      </c>
      <c r="CJ263" s="521">
        <v>7.2359819999999999</v>
      </c>
      <c r="CK263" s="521">
        <v>7.3807016399999998</v>
      </c>
      <c r="CL263" s="521">
        <v>2.5</v>
      </c>
      <c r="CM263" s="521">
        <v>2.5499999999999998</v>
      </c>
      <c r="CN263" s="521">
        <v>2.601</v>
      </c>
      <c r="CO263" s="521">
        <v>2.6530200000000002</v>
      </c>
      <c r="CP263" s="521">
        <v>2.7060804000000003</v>
      </c>
      <c r="CQ263" s="521">
        <v>2.7602020080000003</v>
      </c>
      <c r="CR263" s="521">
        <v>2.8154060481600003</v>
      </c>
      <c r="CS263" s="521">
        <v>2.8717141691232002</v>
      </c>
      <c r="CT263" s="521">
        <v>2.5</v>
      </c>
      <c r="CU263" s="521">
        <v>2.5499999999999998</v>
      </c>
      <c r="CV263" s="521">
        <v>2.601</v>
      </c>
      <c r="CW263" s="521">
        <v>2.6530200000000002</v>
      </c>
      <c r="CX263" s="521">
        <v>2.7060804000000003</v>
      </c>
      <c r="CY263" s="521">
        <v>2.7602020080000003</v>
      </c>
      <c r="CZ263" s="521">
        <v>2.8154060481600003</v>
      </c>
      <c r="DA263" s="522">
        <v>2.8717141691232002</v>
      </c>
      <c r="DB263" s="523">
        <v>0</v>
      </c>
      <c r="DC263" s="524">
        <v>0</v>
      </c>
      <c r="DD263" s="524">
        <v>0</v>
      </c>
      <c r="DE263" s="524">
        <v>0</v>
      </c>
      <c r="DF263" s="524">
        <v>-4.7089965518286314E-2</v>
      </c>
      <c r="DG263" s="524">
        <v>1.2524871563781001E-2</v>
      </c>
      <c r="DH263" s="524">
        <v>1.384104713095162E-2</v>
      </c>
      <c r="DI263" s="524">
        <v>1.5293842130522955E-2</v>
      </c>
      <c r="DJ263" s="524">
        <v>1.68973256637307E-2</v>
      </c>
      <c r="DK263" s="524">
        <v>0.87538458758798998</v>
      </c>
      <c r="DL263" s="524">
        <v>2.2073450629900293E-4</v>
      </c>
      <c r="DM263" s="524">
        <v>1.5899836403407419E-4</v>
      </c>
      <c r="DN263" s="524">
        <v>-5.7612240071790444E-2</v>
      </c>
      <c r="DO263" s="524">
        <v>8.0559854600351088E-4</v>
      </c>
      <c r="DP263" s="524">
        <v>7.9530271151539988E-4</v>
      </c>
      <c r="DQ263" s="524">
        <v>7.785247941862472E-4</v>
      </c>
      <c r="DR263" s="524">
        <v>7.5429136829308074E-4</v>
      </c>
      <c r="DS263" s="524">
        <v>0.11810154481010932</v>
      </c>
      <c r="DT263" s="524">
        <v>1.2815293121399562E-3</v>
      </c>
      <c r="DU263" s="525">
        <v>1.3033266028236734E-3</v>
      </c>
      <c r="DV263" s="526">
        <v>3.5</v>
      </c>
      <c r="DW263" s="507">
        <v>1</v>
      </c>
      <c r="DX263" s="509">
        <v>6.9550000000000001</v>
      </c>
      <c r="DY263" s="507">
        <v>2</v>
      </c>
      <c r="DZ263" s="507">
        <v>10</v>
      </c>
      <c r="EA263" s="507">
        <v>0</v>
      </c>
      <c r="EB263" s="507">
        <v>0</v>
      </c>
      <c r="EC263" s="507">
        <v>111.62500000000001</v>
      </c>
      <c r="ED263" s="507">
        <v>102.18750000000001</v>
      </c>
      <c r="EE263" s="507">
        <v>0</v>
      </c>
      <c r="EF263" s="507">
        <v>25.062499999999996</v>
      </c>
      <c r="EG263" s="507">
        <v>29.3125</v>
      </c>
      <c r="EH263" s="507">
        <v>12.8125</v>
      </c>
      <c r="EI263" s="507">
        <v>16.6875</v>
      </c>
      <c r="EJ263" s="507">
        <v>56.4375</v>
      </c>
      <c r="EK263" s="507">
        <v>10.4375</v>
      </c>
      <c r="EL263" s="507">
        <v>10.4375</v>
      </c>
      <c r="EM263" s="508">
        <v>375</v>
      </c>
    </row>
    <row r="264" spans="2:143" x14ac:dyDescent="0.25">
      <c r="B264" s="506" t="str">
        <f>[1]RONET_Input!J235</f>
        <v xml:space="preserve">Input VPROMMS: 212TH00036 (70.0 pct); 214tt00093 (30.0 pct); </v>
      </c>
      <c r="C264" s="359">
        <f>[1]RONET_Input!B235</f>
        <v>233</v>
      </c>
      <c r="D264" s="397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442">
        <f>[1]RONET_Input!K235</f>
        <v>0.14548930638300001</v>
      </c>
      <c r="Q264" s="398">
        <f>[1]RONET_Input!Y235</f>
        <v>2</v>
      </c>
      <c r="R264" s="398">
        <f>[1]RONET_Input!X235</f>
        <v>3.5</v>
      </c>
      <c r="S264" s="398"/>
      <c r="T264" s="398"/>
      <c r="U264" s="398">
        <f>[1]RONET_Input!AA235</f>
        <v>8</v>
      </c>
      <c r="V264" s="398">
        <f>[1]RONET_Input!AC235</f>
        <v>1</v>
      </c>
      <c r="W264" s="398">
        <f>[1]RONET_Input!AD235</f>
        <v>1</v>
      </c>
      <c r="X264" s="398">
        <f>[1]RONET_Input!AE235</f>
        <v>4</v>
      </c>
      <c r="Y264" s="398">
        <f>[1]RONET_Input!AB235</f>
        <v>1</v>
      </c>
      <c r="Z264" s="438">
        <f>[1]RONET_Input!Z235</f>
        <v>1</v>
      </c>
      <c r="AA264" s="442"/>
      <c r="AB264" s="398"/>
      <c r="AC264" s="438"/>
      <c r="AD264" s="442">
        <f>[1]RONET_Input!AH235</f>
        <v>5</v>
      </c>
      <c r="AE264" s="398">
        <f>[1]RONET_Input!D235</f>
        <v>12.34</v>
      </c>
      <c r="AF264" s="398"/>
      <c r="AG264" s="398"/>
      <c r="AH264" s="398"/>
      <c r="AI264" s="438"/>
      <c r="AJ264" s="442">
        <v>1</v>
      </c>
      <c r="AK264" s="442">
        <f>[1]RONET_Input!AF235</f>
        <v>4</v>
      </c>
      <c r="AL264" s="507"/>
      <c r="AM264" s="507"/>
      <c r="AN264" s="507"/>
      <c r="AO264" s="507"/>
      <c r="AP264" s="507"/>
      <c r="AQ264" s="507"/>
      <c r="AR264" s="507"/>
      <c r="AS264" s="507"/>
      <c r="AT264" s="507"/>
      <c r="AU264" s="507"/>
      <c r="AV264" s="507"/>
      <c r="AW264" s="507"/>
      <c r="AX264" s="508"/>
      <c r="AY264" s="509">
        <f>[1]RONET_Input!AG235</f>
        <v>3</v>
      </c>
      <c r="AZ264" s="359" t="s">
        <v>321</v>
      </c>
      <c r="BA264" s="360" t="s">
        <v>502</v>
      </c>
      <c r="BB264" s="360" t="s">
        <v>443</v>
      </c>
      <c r="BC264" s="510">
        <v>7.2817397844691508E-3</v>
      </c>
      <c r="BD264" s="510">
        <v>5.0050000000000004E-2</v>
      </c>
      <c r="BE264" s="438">
        <v>1</v>
      </c>
      <c r="BF264" s="511">
        <v>8.2696218518757414E-2</v>
      </c>
      <c r="BG264" s="512">
        <v>0.56840066513933307</v>
      </c>
      <c r="BH264" s="512">
        <v>11.35665664614052</v>
      </c>
      <c r="BI264" s="513">
        <v>0</v>
      </c>
      <c r="BJ264" s="514">
        <v>375</v>
      </c>
      <c r="BK264" s="515">
        <v>0.22366666666666665</v>
      </c>
      <c r="BL264" s="512">
        <v>1.9913848811173127E-2</v>
      </c>
      <c r="BM264" s="516">
        <v>3.2054071874999999E-2</v>
      </c>
      <c r="BN264" s="517">
        <v>375</v>
      </c>
      <c r="BO264" s="518">
        <v>397.50000000000011</v>
      </c>
      <c r="BP264" s="518">
        <v>421.34999999999991</v>
      </c>
      <c r="BQ264" s="518">
        <v>446.63099999999997</v>
      </c>
      <c r="BR264" s="518">
        <v>473.42885999999999</v>
      </c>
      <c r="BS264" s="518">
        <v>501.83459160000012</v>
      </c>
      <c r="BT264" s="518">
        <v>531.9446670960001</v>
      </c>
      <c r="BU264" s="518">
        <v>563.86134712175999</v>
      </c>
      <c r="BV264" s="518">
        <v>597.69302794906582</v>
      </c>
      <c r="BW264" s="518">
        <v>633.55460962600955</v>
      </c>
      <c r="BX264" s="518">
        <v>671.56788620357008</v>
      </c>
      <c r="BY264" s="518">
        <v>711.86195937578441</v>
      </c>
      <c r="BZ264" s="518">
        <v>754.57367693833146</v>
      </c>
      <c r="CA264" s="518">
        <v>799.84809755463141</v>
      </c>
      <c r="CB264" s="518">
        <v>847.83898340790915</v>
      </c>
      <c r="CC264" s="518">
        <v>898.70932241238381</v>
      </c>
      <c r="CD264" s="518">
        <v>952.63188175712685</v>
      </c>
      <c r="CE264" s="518">
        <v>1009.7897946625544</v>
      </c>
      <c r="CF264" s="518">
        <v>1070.3771823423076</v>
      </c>
      <c r="CG264" s="519">
        <v>1134.5998132828461</v>
      </c>
      <c r="CH264" s="520">
        <v>2.5</v>
      </c>
      <c r="CI264" s="521">
        <v>2.5499999999999998</v>
      </c>
      <c r="CJ264" s="521">
        <v>2.601</v>
      </c>
      <c r="CK264" s="521">
        <v>2.6530200000000002</v>
      </c>
      <c r="CL264" s="521">
        <v>2.7060804000000003</v>
      </c>
      <c r="CM264" s="521">
        <v>2.7602020080000003</v>
      </c>
      <c r="CN264" s="521">
        <v>2.8154060481600003</v>
      </c>
      <c r="CO264" s="521">
        <v>2.8717141691232002</v>
      </c>
      <c r="CP264" s="521">
        <v>2.5</v>
      </c>
      <c r="CQ264" s="521">
        <v>2.5499999999999998</v>
      </c>
      <c r="CR264" s="521">
        <v>2.601</v>
      </c>
      <c r="CS264" s="521">
        <v>2.6530200000000002</v>
      </c>
      <c r="CT264" s="521">
        <v>2.7060804000000003</v>
      </c>
      <c r="CU264" s="521">
        <v>2.7602020080000003</v>
      </c>
      <c r="CV264" s="521">
        <v>2.8154060481600003</v>
      </c>
      <c r="CW264" s="521">
        <v>2.8717141691232002</v>
      </c>
      <c r="CX264" s="521">
        <v>2.5</v>
      </c>
      <c r="CY264" s="521">
        <v>2.5499999999999998</v>
      </c>
      <c r="CZ264" s="521">
        <v>2.601</v>
      </c>
      <c r="DA264" s="522">
        <v>2.6530200000000002</v>
      </c>
      <c r="DB264" s="523">
        <v>-3.6168913381438607E-3</v>
      </c>
      <c r="DC264" s="524">
        <v>3.3205785442755008E-3</v>
      </c>
      <c r="DD264" s="524">
        <v>3.663412669326023E-3</v>
      </c>
      <c r="DE264" s="524">
        <v>4.0411304785514697E-3</v>
      </c>
      <c r="DF264" s="524">
        <v>4.4571425216335531E-3</v>
      </c>
      <c r="DG264" s="524">
        <v>4.9151452168119704E-3</v>
      </c>
      <c r="DH264" s="524">
        <v>5.4191283035010893E-3</v>
      </c>
      <c r="DI264" s="524">
        <v>5.9733762944192536E-3</v>
      </c>
      <c r="DJ264" s="524">
        <v>2.1156581490235776E-5</v>
      </c>
      <c r="DK264" s="524">
        <v>9.9320363807049325E-2</v>
      </c>
      <c r="DL264" s="524">
        <v>6.1452010524008782E-5</v>
      </c>
      <c r="DM264" s="524">
        <v>5.8534552489247771E-5</v>
      </c>
      <c r="DN264" s="524">
        <v>5.4772811558259638E-5</v>
      </c>
      <c r="DO264" s="524">
        <v>5.0048713697754127E-5</v>
      </c>
      <c r="DP264" s="524">
        <v>4.4230344870475197E-5</v>
      </c>
      <c r="DQ264" s="524">
        <v>3.7170446815289193E-5</v>
      </c>
      <c r="DR264" s="524">
        <v>-6.4939536032803113E-3</v>
      </c>
      <c r="DS264" s="524">
        <v>1.3447451332045356E-2</v>
      </c>
      <c r="DT264" s="524">
        <v>2.0339471419952501E-4</v>
      </c>
      <c r="DU264" s="525">
        <v>2.1237749032883627E-4</v>
      </c>
      <c r="DV264" s="526">
        <v>3.5</v>
      </c>
      <c r="DW264" s="507">
        <v>1</v>
      </c>
      <c r="DX264" s="509">
        <v>12.34</v>
      </c>
      <c r="DY264" s="507">
        <v>2</v>
      </c>
      <c r="DZ264" s="507">
        <v>20</v>
      </c>
      <c r="EA264" s="507">
        <v>0</v>
      </c>
      <c r="EB264" s="507">
        <v>0</v>
      </c>
      <c r="EC264" s="507">
        <v>111.62500000000001</v>
      </c>
      <c r="ED264" s="507">
        <v>102.18750000000001</v>
      </c>
      <c r="EE264" s="507">
        <v>0</v>
      </c>
      <c r="EF264" s="507">
        <v>25.062499999999996</v>
      </c>
      <c r="EG264" s="507">
        <v>29.3125</v>
      </c>
      <c r="EH264" s="507">
        <v>12.8125</v>
      </c>
      <c r="EI264" s="507">
        <v>16.6875</v>
      </c>
      <c r="EJ264" s="507">
        <v>56.4375</v>
      </c>
      <c r="EK264" s="507">
        <v>10.4375</v>
      </c>
      <c r="EL264" s="507">
        <v>10.4375</v>
      </c>
      <c r="EM264" s="508">
        <v>375</v>
      </c>
    </row>
    <row r="265" spans="2:143" x14ac:dyDescent="0.25">
      <c r="B265" s="506" t="str">
        <f>[1]RONET_Input!J236</f>
        <v>212TH00036</v>
      </c>
      <c r="C265" s="359">
        <f>[1]RONET_Input!B236</f>
        <v>234</v>
      </c>
      <c r="D265" s="397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442">
        <f>[1]RONET_Input!K236</f>
        <v>11.631067508099999</v>
      </c>
      <c r="Q265" s="398">
        <f>[1]RONET_Input!Y236</f>
        <v>3</v>
      </c>
      <c r="R265" s="398">
        <f>[1]RONET_Input!X236</f>
        <v>4.3</v>
      </c>
      <c r="S265" s="398"/>
      <c r="T265" s="398"/>
      <c r="U265" s="398">
        <f>[1]RONET_Input!AA236</f>
        <v>8</v>
      </c>
      <c r="V265" s="398">
        <f>[1]RONET_Input!AC236</f>
        <v>1</v>
      </c>
      <c r="W265" s="398">
        <f>[1]RONET_Input!AD236</f>
        <v>1</v>
      </c>
      <c r="X265" s="398">
        <f>[1]RONET_Input!AE236</f>
        <v>4</v>
      </c>
      <c r="Y265" s="398">
        <f>[1]RONET_Input!AB236</f>
        <v>1</v>
      </c>
      <c r="Z265" s="438">
        <f>[1]RONET_Input!Z236</f>
        <v>3</v>
      </c>
      <c r="AA265" s="442"/>
      <c r="AB265" s="398"/>
      <c r="AC265" s="438"/>
      <c r="AD265" s="442">
        <f>[1]RONET_Input!AH236</f>
        <v>4</v>
      </c>
      <c r="AE265" s="398">
        <f>[1]RONET_Input!D236</f>
        <v>9.84</v>
      </c>
      <c r="AF265" s="398"/>
      <c r="AG265" s="398"/>
      <c r="AH265" s="398"/>
      <c r="AI265" s="438"/>
      <c r="AJ265" s="442">
        <v>1</v>
      </c>
      <c r="AK265" s="442">
        <f>[1]RONET_Input!AF236</f>
        <v>8</v>
      </c>
      <c r="AL265" s="507"/>
      <c r="AM265" s="507"/>
      <c r="AN265" s="507"/>
      <c r="AO265" s="507"/>
      <c r="AP265" s="507"/>
      <c r="AQ265" s="507"/>
      <c r="AR265" s="507"/>
      <c r="AS265" s="507"/>
      <c r="AT265" s="507"/>
      <c r="AU265" s="507"/>
      <c r="AV265" s="507"/>
      <c r="AW265" s="507"/>
      <c r="AX265" s="508"/>
      <c r="AY265" s="509">
        <f>[1]RONET_Input!AG236</f>
        <v>3</v>
      </c>
      <c r="AZ265" s="359" t="s">
        <v>321</v>
      </c>
      <c r="BA265" s="360" t="s">
        <v>506</v>
      </c>
      <c r="BB265" s="360" t="s">
        <v>447</v>
      </c>
      <c r="BC265" s="510">
        <v>0.7151943410730689</v>
      </c>
      <c r="BD265" s="510">
        <v>6.1489999999999996E-2</v>
      </c>
      <c r="BE265" s="438">
        <v>1</v>
      </c>
      <c r="BF265" s="511">
        <v>26.207871431474178</v>
      </c>
      <c r="BG265" s="512">
        <v>2.2532644929816406</v>
      </c>
      <c r="BH265" s="512">
        <v>36.644405480267373</v>
      </c>
      <c r="BI265" s="513">
        <v>0</v>
      </c>
      <c r="BJ265" s="514">
        <v>6000</v>
      </c>
      <c r="BK265" s="515">
        <v>0.22366666666666665</v>
      </c>
      <c r="BL265" s="512">
        <v>25.472037842738999</v>
      </c>
      <c r="BM265" s="516">
        <v>0.51286514999999999</v>
      </c>
      <c r="BN265" s="517">
        <v>6000</v>
      </c>
      <c r="BO265" s="518">
        <v>6360.0000000000018</v>
      </c>
      <c r="BP265" s="518">
        <v>6741.5999999999985</v>
      </c>
      <c r="BQ265" s="518">
        <v>7146.0959999999995</v>
      </c>
      <c r="BR265" s="518">
        <v>7574.8617599999998</v>
      </c>
      <c r="BS265" s="518">
        <v>8029.353465600002</v>
      </c>
      <c r="BT265" s="518">
        <v>8511.1146735360016</v>
      </c>
      <c r="BU265" s="518">
        <v>9021.7815539481599</v>
      </c>
      <c r="BV265" s="518">
        <v>9563.0884471850532</v>
      </c>
      <c r="BW265" s="518">
        <v>10136.873754016153</v>
      </c>
      <c r="BX265" s="518">
        <v>10745.086179257121</v>
      </c>
      <c r="BY265" s="518">
        <v>11389.791350012551</v>
      </c>
      <c r="BZ265" s="518">
        <v>12073.178831013303</v>
      </c>
      <c r="CA265" s="518">
        <v>12797.569560874103</v>
      </c>
      <c r="CB265" s="518">
        <v>13565.423734526546</v>
      </c>
      <c r="CC265" s="518">
        <v>14379.349158598141</v>
      </c>
      <c r="CD265" s="518">
        <v>15242.11010811403</v>
      </c>
      <c r="CE265" s="518">
        <v>16156.636714600871</v>
      </c>
      <c r="CF265" s="518">
        <v>17126.034917476922</v>
      </c>
      <c r="CG265" s="519">
        <v>18153.597012525537</v>
      </c>
      <c r="CH265" s="520">
        <v>2</v>
      </c>
      <c r="CI265" s="521">
        <v>2.0499999999999998</v>
      </c>
      <c r="CJ265" s="521">
        <v>2.1012499999999998</v>
      </c>
      <c r="CK265" s="521">
        <v>2.1537812499999998</v>
      </c>
      <c r="CL265" s="521">
        <v>2.20762578125</v>
      </c>
      <c r="CM265" s="521">
        <v>2.2628164257812502</v>
      </c>
      <c r="CN265" s="521">
        <v>2.3193868364257813</v>
      </c>
      <c r="CO265" s="521">
        <v>2.3773715073364259</v>
      </c>
      <c r="CP265" s="521">
        <v>2.5</v>
      </c>
      <c r="CQ265" s="521">
        <v>2.5625</v>
      </c>
      <c r="CR265" s="521">
        <v>2.6265624999999999</v>
      </c>
      <c r="CS265" s="521">
        <v>2.6922265624999997</v>
      </c>
      <c r="CT265" s="521">
        <v>2.7595322265624995</v>
      </c>
      <c r="CU265" s="521">
        <v>2.8285205322265621</v>
      </c>
      <c r="CV265" s="521">
        <v>2.8992335455322262</v>
      </c>
      <c r="CW265" s="521">
        <v>2.9717143841705318</v>
      </c>
      <c r="CX265" s="521">
        <v>2.5</v>
      </c>
      <c r="CY265" s="521">
        <v>2.5625</v>
      </c>
      <c r="CZ265" s="521">
        <v>2.6265624999999999</v>
      </c>
      <c r="DA265" s="522">
        <v>2.6922265624999997</v>
      </c>
      <c r="DB265" s="523">
        <v>1.6402351082200344</v>
      </c>
      <c r="DC265" s="524">
        <v>2.5615681697957484</v>
      </c>
      <c r="DD265" s="524">
        <v>2.8634606978293657</v>
      </c>
      <c r="DE265" s="524">
        <v>3.2003369267777444</v>
      </c>
      <c r="DF265" s="524">
        <v>3.576198885999867</v>
      </c>
      <c r="DG265" s="524">
        <v>3.9954955435723569</v>
      </c>
      <c r="DH265" s="524">
        <v>4.4631679864224623</v>
      </c>
      <c r="DI265" s="524">
        <v>4.9846969467895654</v>
      </c>
      <c r="DJ265" s="524">
        <v>5.1252590119962278</v>
      </c>
      <c r="DK265" s="524">
        <v>2.1248055306321696</v>
      </c>
      <c r="DL265" s="524">
        <v>6.6308482452512862E-3</v>
      </c>
      <c r="DM265" s="524">
        <v>7.5282318265266213E-3</v>
      </c>
      <c r="DN265" s="524">
        <v>8.5387705908708256E-3</v>
      </c>
      <c r="DO265" s="524">
        <v>9.6761332151551471E-3</v>
      </c>
      <c r="DP265" s="524">
        <v>1.0955592840641515E-2</v>
      </c>
      <c r="DQ265" s="524">
        <v>1.2394211658154575E-2</v>
      </c>
      <c r="DR265" s="524">
        <v>-0.27326989866589457</v>
      </c>
      <c r="DS265" s="524">
        <v>0.68891002371607613</v>
      </c>
      <c r="DT265" s="524">
        <v>-1.6998847936257278E-2</v>
      </c>
      <c r="DU265" s="525">
        <v>-1.9315111348227276E-2</v>
      </c>
      <c r="DV265" s="526">
        <v>4.3</v>
      </c>
      <c r="DW265" s="507">
        <v>3</v>
      </c>
      <c r="DX265" s="509">
        <v>9.84</v>
      </c>
      <c r="DY265" s="507">
        <v>6</v>
      </c>
      <c r="DZ265" s="507">
        <v>15</v>
      </c>
      <c r="EA265" s="507">
        <v>0</v>
      </c>
      <c r="EB265" s="507">
        <v>0</v>
      </c>
      <c r="EC265" s="507">
        <v>1786.0000000000002</v>
      </c>
      <c r="ED265" s="507">
        <v>1635.0000000000002</v>
      </c>
      <c r="EE265" s="507">
        <v>0</v>
      </c>
      <c r="EF265" s="507">
        <v>400.99999999999994</v>
      </c>
      <c r="EG265" s="507">
        <v>469</v>
      </c>
      <c r="EH265" s="507">
        <v>205</v>
      </c>
      <c r="EI265" s="507">
        <v>267</v>
      </c>
      <c r="EJ265" s="507">
        <v>903</v>
      </c>
      <c r="EK265" s="507">
        <v>167</v>
      </c>
      <c r="EL265" s="507">
        <v>167</v>
      </c>
      <c r="EM265" s="508">
        <v>6000</v>
      </c>
    </row>
    <row r="266" spans="2:143" x14ac:dyDescent="0.25">
      <c r="B266" s="506" t="str">
        <f>[1]RONET_Input!J237</f>
        <v>214tt00095</v>
      </c>
      <c r="C266" s="359">
        <f>[1]RONET_Input!B237</f>
        <v>235</v>
      </c>
      <c r="D266" s="397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442">
        <f>[1]RONET_Input!K237</f>
        <v>2.3704749610900002</v>
      </c>
      <c r="Q266" s="398">
        <f>[1]RONET_Input!Y237</f>
        <v>1</v>
      </c>
      <c r="R266" s="398">
        <f>[1]RONET_Input!X237</f>
        <v>3.4</v>
      </c>
      <c r="S266" s="398"/>
      <c r="T266" s="398"/>
      <c r="U266" s="398">
        <f>[1]RONET_Input!AA237</f>
        <v>8</v>
      </c>
      <c r="V266" s="398">
        <f>[1]RONET_Input!AC237</f>
        <v>1</v>
      </c>
      <c r="W266" s="398">
        <f>[1]RONET_Input!AD237</f>
        <v>1</v>
      </c>
      <c r="X266" s="398">
        <f>[1]RONET_Input!AE237</f>
        <v>4</v>
      </c>
      <c r="Y266" s="398">
        <f>[1]RONET_Input!AB237</f>
        <v>1</v>
      </c>
      <c r="Z266" s="438">
        <f>[1]RONET_Input!Z237</f>
        <v>1</v>
      </c>
      <c r="AA266" s="442"/>
      <c r="AB266" s="398"/>
      <c r="AC266" s="438"/>
      <c r="AD266" s="442">
        <f>[1]RONET_Input!AH237</f>
        <v>4</v>
      </c>
      <c r="AE266" s="398">
        <f>[1]RONET_Input!D237</f>
        <v>9.49</v>
      </c>
      <c r="AF266" s="398"/>
      <c r="AG266" s="398"/>
      <c r="AH266" s="398"/>
      <c r="AI266" s="438"/>
      <c r="AJ266" s="442">
        <v>1</v>
      </c>
      <c r="AK266" s="442">
        <f>[1]RONET_Input!AF237</f>
        <v>4</v>
      </c>
      <c r="AL266" s="507"/>
      <c r="AM266" s="507"/>
      <c r="AN266" s="507"/>
      <c r="AO266" s="507"/>
      <c r="AP266" s="507"/>
      <c r="AQ266" s="507"/>
      <c r="AR266" s="507"/>
      <c r="AS266" s="507"/>
      <c r="AT266" s="507"/>
      <c r="AU266" s="507"/>
      <c r="AV266" s="507"/>
      <c r="AW266" s="507"/>
      <c r="AX266" s="508"/>
      <c r="AY266" s="509">
        <f>[1]RONET_Input!AG237</f>
        <v>3</v>
      </c>
      <c r="AZ266" s="359" t="s">
        <v>321</v>
      </c>
      <c r="BA266" s="360" t="s">
        <v>502</v>
      </c>
      <c r="BB266" s="360" t="s">
        <v>443</v>
      </c>
      <c r="BC266" s="510">
        <v>0.11525249260819581</v>
      </c>
      <c r="BD266" s="510">
        <v>4.8620000000000003E-2</v>
      </c>
      <c r="BE266" s="438">
        <v>5</v>
      </c>
      <c r="BF266" s="511">
        <v>1.1334247419532428</v>
      </c>
      <c r="BG266" s="512">
        <v>0.47814246535304783</v>
      </c>
      <c r="BH266" s="512">
        <v>9.8342753054925502</v>
      </c>
      <c r="BI266" s="513">
        <v>0</v>
      </c>
      <c r="BJ266" s="514">
        <v>375</v>
      </c>
      <c r="BK266" s="515">
        <v>0.22366666666666665</v>
      </c>
      <c r="BL266" s="512">
        <v>0.32445876029919374</v>
      </c>
      <c r="BM266" s="516">
        <v>6.4108143749999999E-2</v>
      </c>
      <c r="BN266" s="517">
        <v>375</v>
      </c>
      <c r="BO266" s="518">
        <v>397.50000000000011</v>
      </c>
      <c r="BP266" s="518">
        <v>421.34999999999991</v>
      </c>
      <c r="BQ266" s="518">
        <v>446.63099999999997</v>
      </c>
      <c r="BR266" s="518">
        <v>473.42885999999999</v>
      </c>
      <c r="BS266" s="518">
        <v>501.83459160000012</v>
      </c>
      <c r="BT266" s="518">
        <v>531.9446670960001</v>
      </c>
      <c r="BU266" s="518">
        <v>563.86134712175999</v>
      </c>
      <c r="BV266" s="518">
        <v>597.69302794906582</v>
      </c>
      <c r="BW266" s="518">
        <v>633.55460962600955</v>
      </c>
      <c r="BX266" s="518">
        <v>671.56788620357008</v>
      </c>
      <c r="BY266" s="518">
        <v>711.86195937578441</v>
      </c>
      <c r="BZ266" s="518">
        <v>754.57367693833146</v>
      </c>
      <c r="CA266" s="518">
        <v>799.84809755463141</v>
      </c>
      <c r="CB266" s="518">
        <v>847.83898340790915</v>
      </c>
      <c r="CC266" s="518">
        <v>898.70932241238381</v>
      </c>
      <c r="CD266" s="518">
        <v>952.63188175712685</v>
      </c>
      <c r="CE266" s="518">
        <v>1009.7897946625544</v>
      </c>
      <c r="CF266" s="518">
        <v>1070.3771823423076</v>
      </c>
      <c r="CG266" s="519">
        <v>1134.5998132828461</v>
      </c>
      <c r="CH266" s="520">
        <v>9.49</v>
      </c>
      <c r="CI266" s="521">
        <v>9.6798000000000002</v>
      </c>
      <c r="CJ266" s="521">
        <v>9.8733959999999996</v>
      </c>
      <c r="CK266" s="521">
        <v>10.070863919999999</v>
      </c>
      <c r="CL266" s="521">
        <v>2.5</v>
      </c>
      <c r="CM266" s="521">
        <v>2.5499999999999998</v>
      </c>
      <c r="CN266" s="521">
        <v>2.601</v>
      </c>
      <c r="CO266" s="521">
        <v>2.6530200000000002</v>
      </c>
      <c r="CP266" s="521">
        <v>2.7060804000000003</v>
      </c>
      <c r="CQ266" s="521">
        <v>2.7602020080000003</v>
      </c>
      <c r="CR266" s="521">
        <v>2.8154060481600003</v>
      </c>
      <c r="CS266" s="521">
        <v>2.8717141691232002</v>
      </c>
      <c r="CT266" s="521">
        <v>2.5</v>
      </c>
      <c r="CU266" s="521">
        <v>2.5499999999999998</v>
      </c>
      <c r="CV266" s="521">
        <v>2.601</v>
      </c>
      <c r="CW266" s="521">
        <v>2.6530200000000002</v>
      </c>
      <c r="CX266" s="521">
        <v>2.7060804000000003</v>
      </c>
      <c r="CY266" s="521">
        <v>2.7602020080000003</v>
      </c>
      <c r="CZ266" s="521">
        <v>2.8154060481600003</v>
      </c>
      <c r="DA266" s="522">
        <v>2.8717141691232002</v>
      </c>
      <c r="DB266" s="523">
        <v>0</v>
      </c>
      <c r="DC266" s="524">
        <v>0</v>
      </c>
      <c r="DD266" s="524">
        <v>0</v>
      </c>
      <c r="DE266" s="524">
        <v>0</v>
      </c>
      <c r="DF266" s="524">
        <v>-6.0877749194023334E-2</v>
      </c>
      <c r="DG266" s="524">
        <v>4.8470744119505887E-2</v>
      </c>
      <c r="DH266" s="524">
        <v>5.3391337013985296E-2</v>
      </c>
      <c r="DI266" s="524">
        <v>5.8809304803143947E-2</v>
      </c>
      <c r="DJ266" s="524">
        <v>6.4774683962191965E-2</v>
      </c>
      <c r="DK266" s="524">
        <v>1.6242967902500158</v>
      </c>
      <c r="DL266" s="524">
        <v>7.1007981487486438E-3</v>
      </c>
      <c r="DM266" s="524">
        <v>7.0916641301481675E-3</v>
      </c>
      <c r="DN266" s="524">
        <v>-9.6168160791798463E-2</v>
      </c>
      <c r="DO266" s="524">
        <v>8.8383915240635158E-3</v>
      </c>
      <c r="DP266" s="524">
        <v>8.9599406734721665E-3</v>
      </c>
      <c r="DQ266" s="524">
        <v>9.0747337869778733E-3</v>
      </c>
      <c r="DR266" s="524">
        <v>9.1810447711581089E-3</v>
      </c>
      <c r="DS266" s="524">
        <v>0.22619451354588022</v>
      </c>
      <c r="DT266" s="524">
        <v>1.0473678101536599E-2</v>
      </c>
      <c r="DU266" s="525">
        <v>1.0681240096367783E-2</v>
      </c>
      <c r="DV266" s="526">
        <v>3.4</v>
      </c>
      <c r="DW266" s="507">
        <v>1</v>
      </c>
      <c r="DX266" s="509">
        <v>9.49</v>
      </c>
      <c r="DY266" s="507">
        <v>2</v>
      </c>
      <c r="DZ266" s="507">
        <v>15</v>
      </c>
      <c r="EA266" s="507">
        <v>0</v>
      </c>
      <c r="EB266" s="507">
        <v>0</v>
      </c>
      <c r="EC266" s="507">
        <v>111.62500000000001</v>
      </c>
      <c r="ED266" s="507">
        <v>102.18750000000001</v>
      </c>
      <c r="EE266" s="507">
        <v>0</v>
      </c>
      <c r="EF266" s="507">
        <v>25.062499999999996</v>
      </c>
      <c r="EG266" s="507">
        <v>29.3125</v>
      </c>
      <c r="EH266" s="507">
        <v>12.8125</v>
      </c>
      <c r="EI266" s="507">
        <v>16.6875</v>
      </c>
      <c r="EJ266" s="507">
        <v>56.4375</v>
      </c>
      <c r="EK266" s="507">
        <v>10.4375</v>
      </c>
      <c r="EL266" s="507">
        <v>10.4375</v>
      </c>
      <c r="EM266" s="508">
        <v>375</v>
      </c>
    </row>
    <row r="267" spans="2:143" x14ac:dyDescent="0.25">
      <c r="B267" s="506" t="str">
        <f>[1]RONET_Input!J238</f>
        <v>212TH00036</v>
      </c>
      <c r="C267" s="359">
        <f>[1]RONET_Input!B238</f>
        <v>236</v>
      </c>
      <c r="D267" s="397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442">
        <f>[1]RONET_Input!K238</f>
        <v>5.5359151208499997E-2</v>
      </c>
      <c r="Q267" s="398">
        <f>[1]RONET_Input!Y238</f>
        <v>3</v>
      </c>
      <c r="R267" s="398">
        <f>[1]RONET_Input!X238</f>
        <v>4.3</v>
      </c>
      <c r="S267" s="398"/>
      <c r="T267" s="398"/>
      <c r="U267" s="398">
        <f>[1]RONET_Input!AA238</f>
        <v>8</v>
      </c>
      <c r="V267" s="398">
        <f>[1]RONET_Input!AC238</f>
        <v>1</v>
      </c>
      <c r="W267" s="398">
        <f>[1]RONET_Input!AD238</f>
        <v>1</v>
      </c>
      <c r="X267" s="398">
        <f>[1]RONET_Input!AE238</f>
        <v>4</v>
      </c>
      <c r="Y267" s="398">
        <f>[1]RONET_Input!AB238</f>
        <v>1</v>
      </c>
      <c r="Z267" s="438">
        <f>[1]RONET_Input!Z238</f>
        <v>3</v>
      </c>
      <c r="AA267" s="442"/>
      <c r="AB267" s="398"/>
      <c r="AC267" s="438"/>
      <c r="AD267" s="442">
        <f>[1]RONET_Input!AH238</f>
        <v>3</v>
      </c>
      <c r="AE267" s="398">
        <f>[1]RONET_Input!D238</f>
        <v>0</v>
      </c>
      <c r="AF267" s="398"/>
      <c r="AG267" s="398"/>
      <c r="AH267" s="398"/>
      <c r="AI267" s="438"/>
      <c r="AJ267" s="442">
        <v>1</v>
      </c>
      <c r="AK267" s="442">
        <f>[1]RONET_Input!AF238</f>
        <v>8</v>
      </c>
      <c r="AL267" s="507"/>
      <c r="AM267" s="507"/>
      <c r="AN267" s="507"/>
      <c r="AO267" s="507"/>
      <c r="AP267" s="507"/>
      <c r="AQ267" s="507"/>
      <c r="AR267" s="507"/>
      <c r="AS267" s="507"/>
      <c r="AT267" s="507"/>
      <c r="AU267" s="507"/>
      <c r="AV267" s="507"/>
      <c r="AW267" s="507"/>
      <c r="AX267" s="508"/>
      <c r="AY267" s="509">
        <f>[1]RONET_Input!AG238</f>
        <v>3</v>
      </c>
      <c r="AZ267" s="359" t="s">
        <v>321</v>
      </c>
      <c r="BA267" s="360" t="s">
        <v>505</v>
      </c>
      <c r="BB267" s="360" t="s">
        <v>446</v>
      </c>
      <c r="BC267" s="510">
        <v>2.2614213268672247E-3</v>
      </c>
      <c r="BD267" s="510">
        <v>4.0849999999999997E-2</v>
      </c>
      <c r="BE267" s="438">
        <v>1</v>
      </c>
      <c r="BF267" s="511">
        <v>3.3248249190724784E-2</v>
      </c>
      <c r="BG267" s="512">
        <v>0.60059174436221763</v>
      </c>
      <c r="BH267" s="512">
        <v>14.702368283040826</v>
      </c>
      <c r="BI267" s="513">
        <v>0</v>
      </c>
      <c r="BJ267" s="514">
        <v>6000</v>
      </c>
      <c r="BK267" s="515">
        <v>0.22366666666666665</v>
      </c>
      <c r="BL267" s="512">
        <v>0.121236541146615</v>
      </c>
      <c r="BM267" s="516">
        <v>0.51286514999999999</v>
      </c>
      <c r="BN267" s="517">
        <v>6000</v>
      </c>
      <c r="BO267" s="518">
        <v>6360.0000000000018</v>
      </c>
      <c r="BP267" s="518">
        <v>6741.5999999999985</v>
      </c>
      <c r="BQ267" s="518">
        <v>7146.0959999999995</v>
      </c>
      <c r="BR267" s="518">
        <v>7574.8617599999998</v>
      </c>
      <c r="BS267" s="518">
        <v>8029.353465600002</v>
      </c>
      <c r="BT267" s="518">
        <v>8511.1146735360016</v>
      </c>
      <c r="BU267" s="518">
        <v>9021.7815539481599</v>
      </c>
      <c r="BV267" s="518">
        <v>9563.0884471850532</v>
      </c>
      <c r="BW267" s="518">
        <v>10136.873754016153</v>
      </c>
      <c r="BX267" s="518">
        <v>10745.086179257121</v>
      </c>
      <c r="BY267" s="518">
        <v>11389.791350012551</v>
      </c>
      <c r="BZ267" s="518">
        <v>12073.178831013303</v>
      </c>
      <c r="CA267" s="518">
        <v>12797.569560874103</v>
      </c>
      <c r="CB267" s="518">
        <v>13565.423734526546</v>
      </c>
      <c r="CC267" s="518">
        <v>14379.349158598141</v>
      </c>
      <c r="CD267" s="518">
        <v>15242.11010811403</v>
      </c>
      <c r="CE267" s="518">
        <v>16156.636714600871</v>
      </c>
      <c r="CF267" s="518">
        <v>17126.034917476922</v>
      </c>
      <c r="CG267" s="519">
        <v>18153.597012525537</v>
      </c>
      <c r="CH267" s="520">
        <v>2.5</v>
      </c>
      <c r="CI267" s="521">
        <v>2.5625</v>
      </c>
      <c r="CJ267" s="521">
        <v>2.6265624999999999</v>
      </c>
      <c r="CK267" s="521">
        <v>2.6922265624999997</v>
      </c>
      <c r="CL267" s="521">
        <v>2.7595322265624995</v>
      </c>
      <c r="CM267" s="521">
        <v>2.8285205322265621</v>
      </c>
      <c r="CN267" s="521">
        <v>2.8992335455322262</v>
      </c>
      <c r="CO267" s="521">
        <v>2.9717143841705318</v>
      </c>
      <c r="CP267" s="521">
        <v>2.5</v>
      </c>
      <c r="CQ267" s="521">
        <v>2.5625</v>
      </c>
      <c r="CR267" s="521">
        <v>2.6265624999999999</v>
      </c>
      <c r="CS267" s="521">
        <v>2.6922265624999997</v>
      </c>
      <c r="CT267" s="521">
        <v>2.7595322265624995</v>
      </c>
      <c r="CU267" s="521">
        <v>2.8285205322265621</v>
      </c>
      <c r="CV267" s="521">
        <v>2.8992335455322262</v>
      </c>
      <c r="CW267" s="521">
        <v>2.9717143841705318</v>
      </c>
      <c r="CX267" s="521">
        <v>2.5</v>
      </c>
      <c r="CY267" s="521">
        <v>2.5625</v>
      </c>
      <c r="CZ267" s="521">
        <v>2.6265624999999999</v>
      </c>
      <c r="DA267" s="522">
        <v>2.6922265624999997</v>
      </c>
      <c r="DB267" s="523">
        <v>5.3021667936753447E-4</v>
      </c>
      <c r="DC267" s="524">
        <v>2.9067921503737118E-3</v>
      </c>
      <c r="DD267" s="524">
        <v>3.2633921863432919E-3</v>
      </c>
      <c r="DE267" s="524">
        <v>3.6623199837289983E-3</v>
      </c>
      <c r="DF267" s="524">
        <v>4.1084906444607966E-3</v>
      </c>
      <c r="DG267" s="524">
        <v>4.607382046108735E-3</v>
      </c>
      <c r="DH267" s="524">
        <v>5.1650988407026255E-3</v>
      </c>
      <c r="DI267" s="524">
        <v>5.7884437397599797E-3</v>
      </c>
      <c r="DJ267" s="524">
        <v>4.8603649732631982E-3</v>
      </c>
      <c r="DK267" s="524">
        <v>1.0113210208521808E-2</v>
      </c>
      <c r="DL267" s="524">
        <v>3.1560141009745468E-5</v>
      </c>
      <c r="DM267" s="524">
        <v>3.5831321908111335E-5</v>
      </c>
      <c r="DN267" s="524">
        <v>4.0641075459799114E-5</v>
      </c>
      <c r="DO267" s="524">
        <v>4.605445900800198E-5</v>
      </c>
      <c r="DP267" s="524">
        <v>5.2144166493836575E-5</v>
      </c>
      <c r="DQ267" s="524">
        <v>5.8991407006797614E-5</v>
      </c>
      <c r="DR267" s="524">
        <v>-1.3006535840705546E-3</v>
      </c>
      <c r="DS267" s="524">
        <v>3.2789315465145408E-3</v>
      </c>
      <c r="DT267" s="524">
        <v>-8.0907603074137358E-5</v>
      </c>
      <c r="DU267" s="525">
        <v>-9.1932074935574537E-5</v>
      </c>
      <c r="DV267" s="526">
        <v>4.3</v>
      </c>
      <c r="DW267" s="507">
        <v>3</v>
      </c>
      <c r="DX267" s="509">
        <v>5.5</v>
      </c>
      <c r="DY267" s="507">
        <v>6</v>
      </c>
      <c r="DZ267" s="507">
        <v>10</v>
      </c>
      <c r="EA267" s="507">
        <v>0</v>
      </c>
      <c r="EB267" s="507">
        <v>0</v>
      </c>
      <c r="EC267" s="507">
        <v>1786.0000000000002</v>
      </c>
      <c r="ED267" s="507">
        <v>1635.0000000000002</v>
      </c>
      <c r="EE267" s="507">
        <v>0</v>
      </c>
      <c r="EF267" s="507">
        <v>400.99999999999994</v>
      </c>
      <c r="EG267" s="507">
        <v>469</v>
      </c>
      <c r="EH267" s="507">
        <v>205</v>
      </c>
      <c r="EI267" s="507">
        <v>267</v>
      </c>
      <c r="EJ267" s="507">
        <v>903</v>
      </c>
      <c r="EK267" s="507">
        <v>167</v>
      </c>
      <c r="EL267" s="507">
        <v>167</v>
      </c>
      <c r="EM267" s="508">
        <v>6000</v>
      </c>
    </row>
    <row r="268" spans="2:143" x14ac:dyDescent="0.25">
      <c r="B268" s="506" t="str">
        <f>[1]RONET_Input!J239</f>
        <v>214tt00094</v>
      </c>
      <c r="C268" s="359">
        <f>[1]RONET_Input!B239</f>
        <v>237</v>
      </c>
      <c r="D268" s="397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442">
        <f>[1]RONET_Input!K239</f>
        <v>6.6145884047099992</v>
      </c>
      <c r="Q268" s="398">
        <f>[1]RONET_Input!Y239</f>
        <v>1</v>
      </c>
      <c r="R268" s="398">
        <f>[1]RONET_Input!X239</f>
        <v>3.4</v>
      </c>
      <c r="S268" s="398"/>
      <c r="T268" s="398"/>
      <c r="U268" s="398">
        <f>[1]RONET_Input!AA239</f>
        <v>8</v>
      </c>
      <c r="V268" s="398">
        <f>[1]RONET_Input!AC239</f>
        <v>1</v>
      </c>
      <c r="W268" s="398">
        <f>[1]RONET_Input!AD239</f>
        <v>1</v>
      </c>
      <c r="X268" s="398">
        <f>[1]RONET_Input!AE239</f>
        <v>4</v>
      </c>
      <c r="Y268" s="398">
        <f>[1]RONET_Input!AB239</f>
        <v>1</v>
      </c>
      <c r="Z268" s="438">
        <f>[1]RONET_Input!Z239</f>
        <v>1</v>
      </c>
      <c r="AA268" s="442"/>
      <c r="AB268" s="398"/>
      <c r="AC268" s="438"/>
      <c r="AD268" s="442">
        <f>[1]RONET_Input!AH239</f>
        <v>4</v>
      </c>
      <c r="AE268" s="398">
        <f>[1]RONET_Input!D239</f>
        <v>10.28</v>
      </c>
      <c r="AF268" s="398"/>
      <c r="AG268" s="398"/>
      <c r="AH268" s="398"/>
      <c r="AI268" s="438"/>
      <c r="AJ268" s="442">
        <v>1</v>
      </c>
      <c r="AK268" s="442">
        <f>[1]RONET_Input!AF239</f>
        <v>4</v>
      </c>
      <c r="AL268" s="507"/>
      <c r="AM268" s="507"/>
      <c r="AN268" s="507"/>
      <c r="AO268" s="507"/>
      <c r="AP268" s="507"/>
      <c r="AQ268" s="507"/>
      <c r="AR268" s="507"/>
      <c r="AS268" s="507"/>
      <c r="AT268" s="507"/>
      <c r="AU268" s="507"/>
      <c r="AV268" s="507"/>
      <c r="AW268" s="507"/>
      <c r="AX268" s="508"/>
      <c r="AY268" s="509">
        <f>[1]RONET_Input!AG239</f>
        <v>3</v>
      </c>
      <c r="AZ268" s="359" t="s">
        <v>321</v>
      </c>
      <c r="BA268" s="360" t="s">
        <v>502</v>
      </c>
      <c r="BB268" s="360" t="s">
        <v>443</v>
      </c>
      <c r="BC268" s="510">
        <v>0.32160128823700018</v>
      </c>
      <c r="BD268" s="510">
        <v>4.8620000000000003E-2</v>
      </c>
      <c r="BE268" s="438">
        <v>5</v>
      </c>
      <c r="BF268" s="511">
        <v>3.2564826568956384</v>
      </c>
      <c r="BG268" s="512">
        <v>0.49231826043428789</v>
      </c>
      <c r="BH268" s="512">
        <v>10.125838347064745</v>
      </c>
      <c r="BI268" s="513">
        <v>0</v>
      </c>
      <c r="BJ268" s="514">
        <v>375</v>
      </c>
      <c r="BK268" s="515">
        <v>0.22366666666666665</v>
      </c>
      <c r="BL268" s="512">
        <v>0.90537178789468109</v>
      </c>
      <c r="BM268" s="516">
        <v>6.4108143749999999E-2</v>
      </c>
      <c r="BN268" s="517">
        <v>375</v>
      </c>
      <c r="BO268" s="518">
        <v>397.50000000000011</v>
      </c>
      <c r="BP268" s="518">
        <v>421.34999999999991</v>
      </c>
      <c r="BQ268" s="518">
        <v>446.63099999999997</v>
      </c>
      <c r="BR268" s="518">
        <v>473.42885999999999</v>
      </c>
      <c r="BS268" s="518">
        <v>501.83459160000012</v>
      </c>
      <c r="BT268" s="518">
        <v>531.9446670960001</v>
      </c>
      <c r="BU268" s="518">
        <v>563.86134712175999</v>
      </c>
      <c r="BV268" s="518">
        <v>597.69302794906582</v>
      </c>
      <c r="BW268" s="518">
        <v>633.55460962600955</v>
      </c>
      <c r="BX268" s="518">
        <v>671.56788620357008</v>
      </c>
      <c r="BY268" s="518">
        <v>711.86195937578441</v>
      </c>
      <c r="BZ268" s="518">
        <v>754.57367693833146</v>
      </c>
      <c r="CA268" s="518">
        <v>799.84809755463141</v>
      </c>
      <c r="CB268" s="518">
        <v>847.83898340790915</v>
      </c>
      <c r="CC268" s="518">
        <v>898.70932241238381</v>
      </c>
      <c r="CD268" s="518">
        <v>952.63188175712685</v>
      </c>
      <c r="CE268" s="518">
        <v>1009.7897946625544</v>
      </c>
      <c r="CF268" s="518">
        <v>1070.3771823423076</v>
      </c>
      <c r="CG268" s="519">
        <v>1134.5998132828461</v>
      </c>
      <c r="CH268" s="520">
        <v>10.28</v>
      </c>
      <c r="CI268" s="521">
        <v>10.4856</v>
      </c>
      <c r="CJ268" s="521">
        <v>10.695311999999999</v>
      </c>
      <c r="CK268" s="521">
        <v>10.90921824</v>
      </c>
      <c r="CL268" s="521">
        <v>2.5</v>
      </c>
      <c r="CM268" s="521">
        <v>2.5499999999999998</v>
      </c>
      <c r="CN268" s="521">
        <v>2.601</v>
      </c>
      <c r="CO268" s="521">
        <v>2.6530200000000002</v>
      </c>
      <c r="CP268" s="521">
        <v>2.7060804000000003</v>
      </c>
      <c r="CQ268" s="521">
        <v>2.7602020080000003</v>
      </c>
      <c r="CR268" s="521">
        <v>2.8154060481600003</v>
      </c>
      <c r="CS268" s="521">
        <v>2.8717141691232002</v>
      </c>
      <c r="CT268" s="521">
        <v>2.5</v>
      </c>
      <c r="CU268" s="521">
        <v>2.5499999999999998</v>
      </c>
      <c r="CV268" s="521">
        <v>2.601</v>
      </c>
      <c r="CW268" s="521">
        <v>2.6530200000000002</v>
      </c>
      <c r="CX268" s="521">
        <v>2.7060804000000003</v>
      </c>
      <c r="CY268" s="521">
        <v>2.7602020080000003</v>
      </c>
      <c r="CZ268" s="521">
        <v>2.8154060481600003</v>
      </c>
      <c r="DA268" s="522">
        <v>2.8717141691232002</v>
      </c>
      <c r="DB268" s="523">
        <v>0</v>
      </c>
      <c r="DC268" s="524">
        <v>0</v>
      </c>
      <c r="DD268" s="524">
        <v>0</v>
      </c>
      <c r="DE268" s="524">
        <v>0</v>
      </c>
      <c r="DF268" s="524">
        <v>-0.14794594141706829</v>
      </c>
      <c r="DG268" s="524">
        <v>0.15938985344664447</v>
      </c>
      <c r="DH268" s="524">
        <v>0.17555025828072879</v>
      </c>
      <c r="DI268" s="524">
        <v>0.19334074427612347</v>
      </c>
      <c r="DJ268" s="524">
        <v>0.21292399261046369</v>
      </c>
      <c r="DK268" s="524">
        <v>4.5324480920292247</v>
      </c>
      <c r="DL268" s="524">
        <v>1.9814112306548504E-2</v>
      </c>
      <c r="DM268" s="524">
        <v>1.9788624682964828E-2</v>
      </c>
      <c r="DN268" s="524">
        <v>-0.26834824738381424</v>
      </c>
      <c r="DO268" s="524">
        <v>2.4662703909968831E-2</v>
      </c>
      <c r="DP268" s="524">
        <v>2.5001875429380593E-2</v>
      </c>
      <c r="DQ268" s="524">
        <v>2.5322194863248826E-2</v>
      </c>
      <c r="DR268" s="524">
        <v>2.5618845709512117E-2</v>
      </c>
      <c r="DS268" s="524">
        <v>0.63117460891534494</v>
      </c>
      <c r="DT268" s="524">
        <v>2.9225817974146917E-2</v>
      </c>
      <c r="DU268" s="525">
        <v>2.9805000284361061E-2</v>
      </c>
      <c r="DV268" s="526">
        <v>3.4</v>
      </c>
      <c r="DW268" s="507">
        <v>1</v>
      </c>
      <c r="DX268" s="509">
        <v>10.28</v>
      </c>
      <c r="DY268" s="507">
        <v>2</v>
      </c>
      <c r="DZ268" s="507">
        <v>15</v>
      </c>
      <c r="EA268" s="507">
        <v>0</v>
      </c>
      <c r="EB268" s="507">
        <v>0</v>
      </c>
      <c r="EC268" s="507">
        <v>111.62500000000001</v>
      </c>
      <c r="ED268" s="507">
        <v>102.18750000000001</v>
      </c>
      <c r="EE268" s="507">
        <v>0</v>
      </c>
      <c r="EF268" s="507">
        <v>25.062499999999996</v>
      </c>
      <c r="EG268" s="507">
        <v>29.3125</v>
      </c>
      <c r="EH268" s="507">
        <v>12.8125</v>
      </c>
      <c r="EI268" s="507">
        <v>16.6875</v>
      </c>
      <c r="EJ268" s="507">
        <v>56.4375</v>
      </c>
      <c r="EK268" s="507">
        <v>10.4375</v>
      </c>
      <c r="EL268" s="507">
        <v>10.4375</v>
      </c>
      <c r="EM268" s="508">
        <v>375</v>
      </c>
    </row>
    <row r="269" spans="2:143" x14ac:dyDescent="0.25">
      <c r="B269" s="506" t="str">
        <f>[1]RONET_Input!J240</f>
        <v xml:space="preserve">Input VPROMMS: 217b_1 (46.43 pct); 217B_1 (44.64 pct); 214tt00034 (5.36 pct); 214tt00084 (1.79 pct); 217tt00084 (1.79 pct); </v>
      </c>
      <c r="C269" s="359">
        <f>[1]RONET_Input!B240</f>
        <v>238</v>
      </c>
      <c r="D269" s="397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442">
        <f>[1]RONET_Input!K240</f>
        <v>1.3359853371099999</v>
      </c>
      <c r="Q269" s="398">
        <f>[1]RONET_Input!Y240</f>
        <v>2</v>
      </c>
      <c r="R269" s="398">
        <f>[1]RONET_Input!X240</f>
        <v>3.5</v>
      </c>
      <c r="S269" s="398"/>
      <c r="T269" s="398"/>
      <c r="U269" s="398">
        <f>[1]RONET_Input!AA240</f>
        <v>8</v>
      </c>
      <c r="V269" s="398">
        <f>[1]RONET_Input!AC240</f>
        <v>1</v>
      </c>
      <c r="W269" s="398">
        <f>[1]RONET_Input!AD240</f>
        <v>1</v>
      </c>
      <c r="X269" s="398">
        <f>[1]RONET_Input!AE240</f>
        <v>4</v>
      </c>
      <c r="Y269" s="398">
        <f>[1]RONET_Input!AB240</f>
        <v>1</v>
      </c>
      <c r="Z269" s="438">
        <f>[1]RONET_Input!Z240</f>
        <v>1</v>
      </c>
      <c r="AA269" s="442"/>
      <c r="AB269" s="398"/>
      <c r="AC269" s="438"/>
      <c r="AD269" s="442">
        <f>[1]RONET_Input!AH240</f>
        <v>3</v>
      </c>
      <c r="AE269" s="398">
        <f>[1]RONET_Input!D240</f>
        <v>7.585</v>
      </c>
      <c r="AF269" s="398"/>
      <c r="AG269" s="398"/>
      <c r="AH269" s="398"/>
      <c r="AI269" s="438"/>
      <c r="AJ269" s="442">
        <v>1</v>
      </c>
      <c r="AK269" s="442">
        <f>[1]RONET_Input!AF240</f>
        <v>4</v>
      </c>
      <c r="AL269" s="507"/>
      <c r="AM269" s="507"/>
      <c r="AN269" s="507"/>
      <c r="AO269" s="507"/>
      <c r="AP269" s="507"/>
      <c r="AQ269" s="507"/>
      <c r="AR269" s="507"/>
      <c r="AS269" s="507"/>
      <c r="AT269" s="507"/>
      <c r="AU269" s="507"/>
      <c r="AV269" s="507"/>
      <c r="AW269" s="507"/>
      <c r="AX269" s="508"/>
      <c r="AY269" s="509">
        <f>[1]RONET_Input!AG240</f>
        <v>3</v>
      </c>
      <c r="AZ269" s="359" t="s">
        <v>321</v>
      </c>
      <c r="BA269" s="360" t="s">
        <v>502</v>
      </c>
      <c r="BB269" s="360" t="s">
        <v>443</v>
      </c>
      <c r="BC269" s="510">
        <v>6.6866066122355503E-2</v>
      </c>
      <c r="BD269" s="510">
        <v>5.0050000000000004E-2</v>
      </c>
      <c r="BE269" s="438">
        <v>5</v>
      </c>
      <c r="BF269" s="511">
        <v>0.57188652770644555</v>
      </c>
      <c r="BG269" s="512">
        <v>0.42806347631295794</v>
      </c>
      <c r="BH269" s="512">
        <v>8.5527168094497075</v>
      </c>
      <c r="BI269" s="513">
        <v>0</v>
      </c>
      <c r="BJ269" s="514">
        <v>375</v>
      </c>
      <c r="BK269" s="515">
        <v>0.22366666666666665</v>
      </c>
      <c r="BL269" s="512">
        <v>0.18286299301693124</v>
      </c>
      <c r="BM269" s="516">
        <v>3.2054071874999999E-2</v>
      </c>
      <c r="BN269" s="517">
        <v>375</v>
      </c>
      <c r="BO269" s="518">
        <v>397.50000000000011</v>
      </c>
      <c r="BP269" s="518">
        <v>421.34999999999991</v>
      </c>
      <c r="BQ269" s="518">
        <v>446.63099999999997</v>
      </c>
      <c r="BR269" s="518">
        <v>473.42885999999999</v>
      </c>
      <c r="BS269" s="518">
        <v>501.83459160000012</v>
      </c>
      <c r="BT269" s="518">
        <v>531.9446670960001</v>
      </c>
      <c r="BU269" s="518">
        <v>563.86134712175999</v>
      </c>
      <c r="BV269" s="518">
        <v>597.69302794906582</v>
      </c>
      <c r="BW269" s="518">
        <v>633.55460962600955</v>
      </c>
      <c r="BX269" s="518">
        <v>671.56788620357008</v>
      </c>
      <c r="BY269" s="518">
        <v>711.86195937578441</v>
      </c>
      <c r="BZ269" s="518">
        <v>754.57367693833146</v>
      </c>
      <c r="CA269" s="518">
        <v>799.84809755463141</v>
      </c>
      <c r="CB269" s="518">
        <v>847.83898340790915</v>
      </c>
      <c r="CC269" s="518">
        <v>898.70932241238381</v>
      </c>
      <c r="CD269" s="518">
        <v>952.63188175712685</v>
      </c>
      <c r="CE269" s="518">
        <v>1009.7897946625544</v>
      </c>
      <c r="CF269" s="518">
        <v>1070.3771823423076</v>
      </c>
      <c r="CG269" s="519">
        <v>1134.5998132828461</v>
      </c>
      <c r="CH269" s="520">
        <v>7.585</v>
      </c>
      <c r="CI269" s="521">
        <v>7.7366999999999999</v>
      </c>
      <c r="CJ269" s="521">
        <v>7.8914340000000003</v>
      </c>
      <c r="CK269" s="521">
        <v>8.04926268</v>
      </c>
      <c r="CL269" s="521">
        <v>2.5</v>
      </c>
      <c r="CM269" s="521">
        <v>2.5499999999999998</v>
      </c>
      <c r="CN269" s="521">
        <v>2.601</v>
      </c>
      <c r="CO269" s="521">
        <v>2.6530200000000002</v>
      </c>
      <c r="CP269" s="521">
        <v>2.7060804000000003</v>
      </c>
      <c r="CQ269" s="521">
        <v>2.7602020080000003</v>
      </c>
      <c r="CR269" s="521">
        <v>2.8154060481600003</v>
      </c>
      <c r="CS269" s="521">
        <v>2.8717141691232002</v>
      </c>
      <c r="CT269" s="521">
        <v>2.5</v>
      </c>
      <c r="CU269" s="521">
        <v>2.5499999999999998</v>
      </c>
      <c r="CV269" s="521">
        <v>2.601</v>
      </c>
      <c r="CW269" s="521">
        <v>2.6530200000000002</v>
      </c>
      <c r="CX269" s="521">
        <v>2.7060804000000003</v>
      </c>
      <c r="CY269" s="521">
        <v>2.7602020080000003</v>
      </c>
      <c r="CZ269" s="521">
        <v>2.8154060481600003</v>
      </c>
      <c r="DA269" s="522">
        <v>2.8717141691232002</v>
      </c>
      <c r="DB269" s="523">
        <v>0</v>
      </c>
      <c r="DC269" s="524">
        <v>0</v>
      </c>
      <c r="DD269" s="524">
        <v>0</v>
      </c>
      <c r="DE269" s="524">
        <v>0</v>
      </c>
      <c r="DF269" s="524">
        <v>-4.6451596161962386E-2</v>
      </c>
      <c r="DG269" s="524">
        <v>1.5905621976311166E-2</v>
      </c>
      <c r="DH269" s="524">
        <v>1.7571141482926808E-2</v>
      </c>
      <c r="DI269" s="524">
        <v>1.9409183308070233E-2</v>
      </c>
      <c r="DJ269" s="524">
        <v>2.1437499908866203E-2</v>
      </c>
      <c r="DK269" s="524">
        <v>0.91172900101030785</v>
      </c>
      <c r="DL269" s="524">
        <v>2.2989901098330323E-4</v>
      </c>
      <c r="DM269" s="524">
        <v>1.6559969373286521E-4</v>
      </c>
      <c r="DN269" s="524">
        <v>-6.0004197962121114E-2</v>
      </c>
      <c r="DO269" s="524">
        <v>8.390455669169683E-4</v>
      </c>
      <c r="DP269" s="524">
        <v>8.2832226766599293E-4</v>
      </c>
      <c r="DQ269" s="524">
        <v>8.1084776100637246E-4</v>
      </c>
      <c r="DR269" s="524">
        <v>7.8560820630788064E-4</v>
      </c>
      <c r="DS269" s="524">
        <v>0.12300491120615242</v>
      </c>
      <c r="DT269" s="524">
        <v>1.3347361332259056E-3</v>
      </c>
      <c r="DU269" s="525">
        <v>1.3574384087075564E-3</v>
      </c>
      <c r="DV269" s="526">
        <v>3.5</v>
      </c>
      <c r="DW269" s="507">
        <v>1</v>
      </c>
      <c r="DX269" s="509">
        <v>7.585</v>
      </c>
      <c r="DY269" s="507">
        <v>2</v>
      </c>
      <c r="DZ269" s="507">
        <v>10</v>
      </c>
      <c r="EA269" s="507">
        <v>0</v>
      </c>
      <c r="EB269" s="507">
        <v>0</v>
      </c>
      <c r="EC269" s="507">
        <v>111.62500000000001</v>
      </c>
      <c r="ED269" s="507">
        <v>102.18750000000001</v>
      </c>
      <c r="EE269" s="507">
        <v>0</v>
      </c>
      <c r="EF269" s="507">
        <v>25.062499999999996</v>
      </c>
      <c r="EG269" s="507">
        <v>29.3125</v>
      </c>
      <c r="EH269" s="507">
        <v>12.8125</v>
      </c>
      <c r="EI269" s="507">
        <v>16.6875</v>
      </c>
      <c r="EJ269" s="507">
        <v>56.4375</v>
      </c>
      <c r="EK269" s="507">
        <v>10.4375</v>
      </c>
      <c r="EL269" s="507">
        <v>10.4375</v>
      </c>
      <c r="EM269" s="508">
        <v>375</v>
      </c>
    </row>
    <row r="270" spans="2:143" x14ac:dyDescent="0.25">
      <c r="B270" s="506" t="str">
        <f>[1]RONET_Input!J241</f>
        <v xml:space="preserve">Input VPROMMS: ql45_1 (50.54 pct); QL45_2 (49.46 pct); </v>
      </c>
      <c r="C270" s="359">
        <f>[1]RONET_Input!B241</f>
        <v>239</v>
      </c>
      <c r="D270" s="397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442">
        <f>[1]RONET_Input!K241</f>
        <v>3.42656605092</v>
      </c>
      <c r="Q270" s="398">
        <f>[1]RONET_Input!Y241</f>
        <v>2</v>
      </c>
      <c r="R270" s="398">
        <f>[1]RONET_Input!X241</f>
        <v>3.5</v>
      </c>
      <c r="S270" s="398"/>
      <c r="T270" s="398"/>
      <c r="U270" s="398">
        <f>[1]RONET_Input!AA241</f>
        <v>8</v>
      </c>
      <c r="V270" s="398">
        <f>[1]RONET_Input!AC241</f>
        <v>1</v>
      </c>
      <c r="W270" s="398">
        <f>[1]RONET_Input!AD241</f>
        <v>1</v>
      </c>
      <c r="X270" s="398">
        <f>[1]RONET_Input!AE241</f>
        <v>4</v>
      </c>
      <c r="Y270" s="398">
        <f>[1]RONET_Input!AB241</f>
        <v>1</v>
      </c>
      <c r="Z270" s="438">
        <f>[1]RONET_Input!Z241</f>
        <v>1</v>
      </c>
      <c r="AA270" s="442"/>
      <c r="AB270" s="398"/>
      <c r="AC270" s="438"/>
      <c r="AD270" s="442">
        <f>[1]RONET_Input!AH241</f>
        <v>3</v>
      </c>
      <c r="AE270" s="398">
        <f>[1]RONET_Input!D241</f>
        <v>0</v>
      </c>
      <c r="AF270" s="398"/>
      <c r="AG270" s="398"/>
      <c r="AH270" s="398"/>
      <c r="AI270" s="438"/>
      <c r="AJ270" s="442">
        <v>1</v>
      </c>
      <c r="AK270" s="442">
        <f>[1]RONET_Input!AF241</f>
        <v>4</v>
      </c>
      <c r="AL270" s="507"/>
      <c r="AM270" s="507"/>
      <c r="AN270" s="507"/>
      <c r="AO270" s="507"/>
      <c r="AP270" s="507"/>
      <c r="AQ270" s="507"/>
      <c r="AR270" s="507"/>
      <c r="AS270" s="507"/>
      <c r="AT270" s="507"/>
      <c r="AU270" s="507"/>
      <c r="AV270" s="507"/>
      <c r="AW270" s="507"/>
      <c r="AX270" s="508"/>
      <c r="AY270" s="509">
        <f>[1]RONET_Input!AG241</f>
        <v>3</v>
      </c>
      <c r="AZ270" s="359" t="s">
        <v>321</v>
      </c>
      <c r="BA270" s="360" t="s">
        <v>502</v>
      </c>
      <c r="BB270" s="360" t="s">
        <v>443</v>
      </c>
      <c r="BC270" s="510">
        <v>0.17149963084854603</v>
      </c>
      <c r="BD270" s="510">
        <v>5.0050000000000004E-2</v>
      </c>
      <c r="BE270" s="438">
        <v>6</v>
      </c>
      <c r="BF270" s="511">
        <v>1.3553566754632118</v>
      </c>
      <c r="BG270" s="512">
        <v>0.39554371791529064</v>
      </c>
      <c r="BH270" s="512">
        <v>7.9029713869188924</v>
      </c>
      <c r="BI270" s="513">
        <v>0</v>
      </c>
      <c r="BJ270" s="514">
        <v>375</v>
      </c>
      <c r="BK270" s="515">
        <v>0.22366666666666665</v>
      </c>
      <c r="BL270" s="512">
        <v>0.46901122821967506</v>
      </c>
      <c r="BM270" s="516">
        <v>3.2054071874999999E-2</v>
      </c>
      <c r="BN270" s="517">
        <v>375</v>
      </c>
      <c r="BO270" s="518">
        <v>397.50000000000011</v>
      </c>
      <c r="BP270" s="518">
        <v>421.34999999999991</v>
      </c>
      <c r="BQ270" s="518">
        <v>446.63099999999997</v>
      </c>
      <c r="BR270" s="518">
        <v>473.42885999999999</v>
      </c>
      <c r="BS270" s="518">
        <v>501.83459160000012</v>
      </c>
      <c r="BT270" s="518">
        <v>531.9446670960001</v>
      </c>
      <c r="BU270" s="518">
        <v>563.86134712175999</v>
      </c>
      <c r="BV270" s="518">
        <v>597.69302794906582</v>
      </c>
      <c r="BW270" s="518">
        <v>633.55460962600955</v>
      </c>
      <c r="BX270" s="518">
        <v>671.56788620357008</v>
      </c>
      <c r="BY270" s="518">
        <v>711.86195937578441</v>
      </c>
      <c r="BZ270" s="518">
        <v>754.57367693833146</v>
      </c>
      <c r="CA270" s="518">
        <v>799.84809755463141</v>
      </c>
      <c r="CB270" s="518">
        <v>847.83898340790915</v>
      </c>
      <c r="CC270" s="518">
        <v>898.70932241238381</v>
      </c>
      <c r="CD270" s="518">
        <v>952.63188175712685</v>
      </c>
      <c r="CE270" s="518">
        <v>1009.7897946625544</v>
      </c>
      <c r="CF270" s="518">
        <v>1070.3771823423076</v>
      </c>
      <c r="CG270" s="519">
        <v>1134.5998132828461</v>
      </c>
      <c r="CH270" s="520">
        <v>4.5</v>
      </c>
      <c r="CI270" s="521">
        <v>4.59</v>
      </c>
      <c r="CJ270" s="521">
        <v>4.6818</v>
      </c>
      <c r="CK270" s="521">
        <v>4.775436</v>
      </c>
      <c r="CL270" s="521">
        <v>4.8709447199999998</v>
      </c>
      <c r="CM270" s="521">
        <v>2.5</v>
      </c>
      <c r="CN270" s="521">
        <v>2.5499999999999998</v>
      </c>
      <c r="CO270" s="521">
        <v>2.601</v>
      </c>
      <c r="CP270" s="521">
        <v>2.6530200000000002</v>
      </c>
      <c r="CQ270" s="521">
        <v>2.7060804000000003</v>
      </c>
      <c r="CR270" s="521">
        <v>2.7602020080000003</v>
      </c>
      <c r="CS270" s="521">
        <v>2.8154060481600003</v>
      </c>
      <c r="CT270" s="521">
        <v>2.8717141691232002</v>
      </c>
      <c r="CU270" s="521">
        <v>2.5</v>
      </c>
      <c r="CV270" s="521">
        <v>2.5499999999999998</v>
      </c>
      <c r="CW270" s="521">
        <v>2.601</v>
      </c>
      <c r="CX270" s="521">
        <v>2.6530200000000002</v>
      </c>
      <c r="CY270" s="521">
        <v>2.7060804000000003</v>
      </c>
      <c r="CZ270" s="521">
        <v>2.7602020080000003</v>
      </c>
      <c r="DA270" s="522">
        <v>2.8154060481600003</v>
      </c>
      <c r="DB270" s="523">
        <v>0</v>
      </c>
      <c r="DC270" s="524">
        <v>0</v>
      </c>
      <c r="DD270" s="524">
        <v>0</v>
      </c>
      <c r="DE270" s="524">
        <v>0</v>
      </c>
      <c r="DF270" s="524">
        <v>0</v>
      </c>
      <c r="DG270" s="524">
        <v>-0.14483154101052015</v>
      </c>
      <c r="DH270" s="524">
        <v>1.2442609154193707E-2</v>
      </c>
      <c r="DI270" s="524">
        <v>1.3779741117838695E-2</v>
      </c>
      <c r="DJ270" s="524">
        <v>1.525779465117455E-2</v>
      </c>
      <c r="DK270" s="524">
        <v>2.3386305510785164</v>
      </c>
      <c r="DL270" s="524">
        <v>8.1977960516932402E-4</v>
      </c>
      <c r="DM270" s="524">
        <v>6.8055743529243928E-4</v>
      </c>
      <c r="DN270" s="524">
        <v>5.137825548438002E-4</v>
      </c>
      <c r="DO270" s="524">
        <v>-0.15369767476846025</v>
      </c>
      <c r="DP270" s="524">
        <v>2.3638974343523356E-3</v>
      </c>
      <c r="DQ270" s="524">
        <v>2.3461637528783275E-3</v>
      </c>
      <c r="DR270" s="524">
        <v>2.3114735872831194E-3</v>
      </c>
      <c r="DS270" s="524">
        <v>0.31581568484803602</v>
      </c>
      <c r="DT270" s="524">
        <v>3.7901532241975122E-3</v>
      </c>
      <c r="DU270" s="525">
        <v>3.8893332025820015E-3</v>
      </c>
      <c r="DV270" s="526">
        <v>3.5</v>
      </c>
      <c r="DW270" s="507">
        <v>1</v>
      </c>
      <c r="DX270" s="509">
        <v>4.5</v>
      </c>
      <c r="DY270" s="507">
        <v>2</v>
      </c>
      <c r="DZ270" s="507">
        <v>10</v>
      </c>
      <c r="EA270" s="507">
        <v>0</v>
      </c>
      <c r="EB270" s="507">
        <v>0</v>
      </c>
      <c r="EC270" s="507">
        <v>111.62500000000001</v>
      </c>
      <c r="ED270" s="507">
        <v>102.18750000000001</v>
      </c>
      <c r="EE270" s="507">
        <v>0</v>
      </c>
      <c r="EF270" s="507">
        <v>25.062499999999996</v>
      </c>
      <c r="EG270" s="507">
        <v>29.3125</v>
      </c>
      <c r="EH270" s="507">
        <v>12.8125</v>
      </c>
      <c r="EI270" s="507">
        <v>16.6875</v>
      </c>
      <c r="EJ270" s="507">
        <v>56.4375</v>
      </c>
      <c r="EK270" s="507">
        <v>10.4375</v>
      </c>
      <c r="EL270" s="507">
        <v>10.4375</v>
      </c>
      <c r="EM270" s="508">
        <v>375</v>
      </c>
    </row>
    <row r="271" spans="2:143" x14ac:dyDescent="0.25">
      <c r="B271" s="506" t="str">
        <f>[1]RONET_Input!J242</f>
        <v>213tt00004</v>
      </c>
      <c r="C271" s="359">
        <f>[1]RONET_Input!B242</f>
        <v>240</v>
      </c>
      <c r="D271" s="397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442">
        <f>[1]RONET_Input!K242</f>
        <v>4.8907352388800014</v>
      </c>
      <c r="Q271" s="398">
        <f>[1]RONET_Input!Y242</f>
        <v>2</v>
      </c>
      <c r="R271" s="398">
        <f>[1]RONET_Input!X242</f>
        <v>3.8</v>
      </c>
      <c r="S271" s="398"/>
      <c r="T271" s="398"/>
      <c r="U271" s="398">
        <f>[1]RONET_Input!AA242</f>
        <v>6</v>
      </c>
      <c r="V271" s="398">
        <f>[1]RONET_Input!AC242</f>
        <v>1</v>
      </c>
      <c r="W271" s="398">
        <f>[1]RONET_Input!AD242</f>
        <v>1</v>
      </c>
      <c r="X271" s="398">
        <f>[1]RONET_Input!AE242</f>
        <v>4</v>
      </c>
      <c r="Y271" s="398">
        <f>[1]RONET_Input!AB242</f>
        <v>1</v>
      </c>
      <c r="Z271" s="438">
        <f>[1]RONET_Input!Z242</f>
        <v>3</v>
      </c>
      <c r="AA271" s="442"/>
      <c r="AB271" s="398"/>
      <c r="AC271" s="438"/>
      <c r="AD271" s="442">
        <f>[1]RONET_Input!AH242</f>
        <v>3</v>
      </c>
      <c r="AE271" s="398">
        <f>[1]RONET_Input!D242</f>
        <v>7.7549999999999999</v>
      </c>
      <c r="AF271" s="398"/>
      <c r="AG271" s="398"/>
      <c r="AH271" s="398"/>
      <c r="AI271" s="438"/>
      <c r="AJ271" s="442">
        <v>1</v>
      </c>
      <c r="AK271" s="442">
        <f>[1]RONET_Input!AF242</f>
        <v>6</v>
      </c>
      <c r="AL271" s="507"/>
      <c r="AM271" s="507"/>
      <c r="AN271" s="507"/>
      <c r="AO271" s="507"/>
      <c r="AP271" s="507"/>
      <c r="AQ271" s="507"/>
      <c r="AR271" s="507"/>
      <c r="AS271" s="507"/>
      <c r="AT271" s="507"/>
      <c r="AU271" s="507"/>
      <c r="AV271" s="507"/>
      <c r="AW271" s="507"/>
      <c r="AX271" s="508"/>
      <c r="AY271" s="509">
        <f>[1]RONET_Input!AG242</f>
        <v>3</v>
      </c>
      <c r="AZ271" s="359" t="s">
        <v>321</v>
      </c>
      <c r="BA271" s="360" t="s">
        <v>505</v>
      </c>
      <c r="BB271" s="360" t="s">
        <v>446</v>
      </c>
      <c r="BC271" s="510">
        <v>0.17655554212356805</v>
      </c>
      <c r="BD271" s="510">
        <v>3.61E-2</v>
      </c>
      <c r="BE271" s="438">
        <v>1</v>
      </c>
      <c r="BF271" s="511">
        <v>2.6582663019768216</v>
      </c>
      <c r="BG271" s="512">
        <v>0.54353101775870727</v>
      </c>
      <c r="BH271" s="512">
        <v>15.056260879742585</v>
      </c>
      <c r="BI271" s="513">
        <v>0</v>
      </c>
      <c r="BJ271" s="514">
        <v>2000.0000000000002</v>
      </c>
      <c r="BK271" s="515">
        <v>0.22366666666666662</v>
      </c>
      <c r="BL271" s="512">
        <v>3.5702367243824016</v>
      </c>
      <c r="BM271" s="516">
        <v>0.17095505000000003</v>
      </c>
      <c r="BN271" s="517">
        <v>2000.0000000000002</v>
      </c>
      <c r="BO271" s="518">
        <v>2120.0000000000005</v>
      </c>
      <c r="BP271" s="518">
        <v>2247.1999999999998</v>
      </c>
      <c r="BQ271" s="518">
        <v>2382.0320000000002</v>
      </c>
      <c r="BR271" s="518">
        <v>2524.9539199999995</v>
      </c>
      <c r="BS271" s="518">
        <v>2676.4511551999999</v>
      </c>
      <c r="BT271" s="518">
        <v>2837.0382245120009</v>
      </c>
      <c r="BU271" s="518">
        <v>3007.2605179827201</v>
      </c>
      <c r="BV271" s="518">
        <v>3187.6961490616836</v>
      </c>
      <c r="BW271" s="518">
        <v>3378.9579180053843</v>
      </c>
      <c r="BX271" s="518">
        <v>3581.6953930857071</v>
      </c>
      <c r="BY271" s="518">
        <v>3796.59711667085</v>
      </c>
      <c r="BZ271" s="518">
        <v>4024.3929436711001</v>
      </c>
      <c r="CA271" s="518">
        <v>4265.8565202913678</v>
      </c>
      <c r="CB271" s="518">
        <v>4521.8079115088494</v>
      </c>
      <c r="CC271" s="518">
        <v>4793.11638619938</v>
      </c>
      <c r="CD271" s="518">
        <v>5080.703369371342</v>
      </c>
      <c r="CE271" s="518">
        <v>5385.5455715336238</v>
      </c>
      <c r="CF271" s="518">
        <v>5708.6783058256406</v>
      </c>
      <c r="CG271" s="519">
        <v>6051.1990041751797</v>
      </c>
      <c r="CH271" s="520">
        <v>2.5</v>
      </c>
      <c r="CI271" s="521">
        <v>2.5625</v>
      </c>
      <c r="CJ271" s="521">
        <v>2.6265624999999999</v>
      </c>
      <c r="CK271" s="521">
        <v>2.6922265624999997</v>
      </c>
      <c r="CL271" s="521">
        <v>2.7595322265624995</v>
      </c>
      <c r="CM271" s="521">
        <v>2.8285205322265621</v>
      </c>
      <c r="CN271" s="521">
        <v>2.8992335455322262</v>
      </c>
      <c r="CO271" s="521">
        <v>2.9717143841705318</v>
      </c>
      <c r="CP271" s="521">
        <v>2.5</v>
      </c>
      <c r="CQ271" s="521">
        <v>2.5625</v>
      </c>
      <c r="CR271" s="521">
        <v>2.6265624999999999</v>
      </c>
      <c r="CS271" s="521">
        <v>2.6922265624999997</v>
      </c>
      <c r="CT271" s="521">
        <v>2.7595322265624995</v>
      </c>
      <c r="CU271" s="521">
        <v>2.8285205322265621</v>
      </c>
      <c r="CV271" s="521">
        <v>2.8992335455322262</v>
      </c>
      <c r="CW271" s="521">
        <v>2.9717143841705318</v>
      </c>
      <c r="CX271" s="521">
        <v>2.5</v>
      </c>
      <c r="CY271" s="521">
        <v>2.5625</v>
      </c>
      <c r="CZ271" s="521">
        <v>2.6265624999999999</v>
      </c>
      <c r="DA271" s="522">
        <v>2.6922265624999997</v>
      </c>
      <c r="DB271" s="523">
        <v>3.4809896523023021E-2</v>
      </c>
      <c r="DC271" s="524">
        <v>0.21824382471352144</v>
      </c>
      <c r="DD271" s="524">
        <v>0.24362299349247718</v>
      </c>
      <c r="DE271" s="524">
        <v>0.27190954797277911</v>
      </c>
      <c r="DF271" s="524">
        <v>0.30343366685842188</v>
      </c>
      <c r="DG271" s="524">
        <v>0.33856290568830483</v>
      </c>
      <c r="DH271" s="524">
        <v>0.37770642199345783</v>
      </c>
      <c r="DI271" s="524">
        <v>0.42131966925942343</v>
      </c>
      <c r="DJ271" s="524">
        <v>0.32454359914722497</v>
      </c>
      <c r="DK271" s="524">
        <v>0.91470494195636842</v>
      </c>
      <c r="DL271" s="524">
        <v>2.4847526573972267E-2</v>
      </c>
      <c r="DM271" s="524">
        <v>2.6042244288503991E-2</v>
      </c>
      <c r="DN271" s="524">
        <v>2.7286664776675629E-2</v>
      </c>
      <c r="DO271" s="524">
        <v>2.8582299284798829E-2</v>
      </c>
      <c r="DP271" s="524">
        <v>2.9930672887782173E-2</v>
      </c>
      <c r="DQ271" s="524">
        <v>3.1333324493648007E-2</v>
      </c>
      <c r="DR271" s="524">
        <v>-0.10348859837310709</v>
      </c>
      <c r="DS271" s="524">
        <v>0.33034066636411197</v>
      </c>
      <c r="DT271" s="524">
        <v>3.5739251686491613E-2</v>
      </c>
      <c r="DU271" s="525">
        <v>3.711832169184337E-2</v>
      </c>
      <c r="DV271" s="526">
        <v>3.8</v>
      </c>
      <c r="DW271" s="507">
        <v>3</v>
      </c>
      <c r="DX271" s="509">
        <v>7.7549999999999999</v>
      </c>
      <c r="DY271" s="507">
        <v>4</v>
      </c>
      <c r="DZ271" s="507">
        <v>10</v>
      </c>
      <c r="EA271" s="507">
        <v>0</v>
      </c>
      <c r="EB271" s="507">
        <v>0</v>
      </c>
      <c r="EC271" s="507">
        <v>595.33333333333337</v>
      </c>
      <c r="ED271" s="507">
        <v>545</v>
      </c>
      <c r="EE271" s="507">
        <v>0</v>
      </c>
      <c r="EF271" s="507">
        <v>133.66666666666666</v>
      </c>
      <c r="EG271" s="507">
        <v>156.33333333333331</v>
      </c>
      <c r="EH271" s="507">
        <v>68.333333333333329</v>
      </c>
      <c r="EI271" s="507">
        <v>89</v>
      </c>
      <c r="EJ271" s="507">
        <v>301</v>
      </c>
      <c r="EK271" s="507">
        <v>55.666666666666671</v>
      </c>
      <c r="EL271" s="507">
        <v>55.666666666666671</v>
      </c>
      <c r="EM271" s="508">
        <v>2000.0000000000002</v>
      </c>
    </row>
    <row r="272" spans="2:143" x14ac:dyDescent="0.25">
      <c r="B272" s="506" t="str">
        <f>[1]RONET_Input!J243</f>
        <v xml:space="preserve">Input VPROMMS: 214tt00084 (50.0 pct); 217tt00084 (50.0 pct); </v>
      </c>
      <c r="C272" s="359">
        <f>[1]RONET_Input!B243</f>
        <v>241</v>
      </c>
      <c r="D272" s="397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442">
        <f>[1]RONET_Input!K243</f>
        <v>2.6274584175500002</v>
      </c>
      <c r="Q272" s="398">
        <f>[1]RONET_Input!Y243</f>
        <v>2</v>
      </c>
      <c r="R272" s="398">
        <f>[1]RONET_Input!X243</f>
        <v>3.5</v>
      </c>
      <c r="S272" s="398"/>
      <c r="T272" s="398"/>
      <c r="U272" s="398">
        <f>[1]RONET_Input!AA243</f>
        <v>8</v>
      </c>
      <c r="V272" s="398">
        <f>[1]RONET_Input!AC243</f>
        <v>1</v>
      </c>
      <c r="W272" s="398">
        <f>[1]RONET_Input!AD243</f>
        <v>1</v>
      </c>
      <c r="X272" s="398">
        <f>[1]RONET_Input!AE243</f>
        <v>4</v>
      </c>
      <c r="Y272" s="398">
        <f>[1]RONET_Input!AB243</f>
        <v>1</v>
      </c>
      <c r="Z272" s="438">
        <f>[1]RONET_Input!Z243</f>
        <v>1</v>
      </c>
      <c r="AA272" s="442"/>
      <c r="AB272" s="398"/>
      <c r="AC272" s="438"/>
      <c r="AD272" s="442">
        <f>[1]RONET_Input!AH243</f>
        <v>3</v>
      </c>
      <c r="AE272" s="398">
        <f>[1]RONET_Input!D243</f>
        <v>7.55</v>
      </c>
      <c r="AF272" s="398"/>
      <c r="AG272" s="398"/>
      <c r="AH272" s="398"/>
      <c r="AI272" s="438"/>
      <c r="AJ272" s="442">
        <v>1</v>
      </c>
      <c r="AK272" s="442">
        <f>[1]RONET_Input!AF243</f>
        <v>4</v>
      </c>
      <c r="AL272" s="507"/>
      <c r="AM272" s="507"/>
      <c r="AN272" s="507"/>
      <c r="AO272" s="507"/>
      <c r="AP272" s="507"/>
      <c r="AQ272" s="507"/>
      <c r="AR272" s="507"/>
      <c r="AS272" s="507"/>
      <c r="AT272" s="507"/>
      <c r="AU272" s="507"/>
      <c r="AV272" s="507"/>
      <c r="AW272" s="507"/>
      <c r="AX272" s="508"/>
      <c r="AY272" s="509">
        <f>[1]RONET_Input!AG243</f>
        <v>3</v>
      </c>
      <c r="AZ272" s="359" t="s">
        <v>321</v>
      </c>
      <c r="BA272" s="360" t="s">
        <v>502</v>
      </c>
      <c r="BB272" s="360" t="s">
        <v>443</v>
      </c>
      <c r="BC272" s="510">
        <v>0.13150429379837753</v>
      </c>
      <c r="BD272" s="510">
        <v>5.0050000000000004E-2</v>
      </c>
      <c r="BE272" s="438">
        <v>5</v>
      </c>
      <c r="BF272" s="511">
        <v>1.1234517420186676</v>
      </c>
      <c r="BG272" s="512">
        <v>0.42758116913082922</v>
      </c>
      <c r="BH272" s="512">
        <v>8.5430803023142694</v>
      </c>
      <c r="BI272" s="513">
        <v>0</v>
      </c>
      <c r="BJ272" s="514">
        <v>375</v>
      </c>
      <c r="BK272" s="515">
        <v>0.22366666666666665</v>
      </c>
      <c r="BL272" s="512">
        <v>0.35963337090215625</v>
      </c>
      <c r="BM272" s="516">
        <v>3.2054071874999999E-2</v>
      </c>
      <c r="BN272" s="517">
        <v>375</v>
      </c>
      <c r="BO272" s="518">
        <v>397.50000000000011</v>
      </c>
      <c r="BP272" s="518">
        <v>421.34999999999991</v>
      </c>
      <c r="BQ272" s="518">
        <v>446.63099999999997</v>
      </c>
      <c r="BR272" s="518">
        <v>473.42885999999999</v>
      </c>
      <c r="BS272" s="518">
        <v>501.83459160000012</v>
      </c>
      <c r="BT272" s="518">
        <v>531.9446670960001</v>
      </c>
      <c r="BU272" s="518">
        <v>563.86134712175999</v>
      </c>
      <c r="BV272" s="518">
        <v>597.69302794906582</v>
      </c>
      <c r="BW272" s="518">
        <v>633.55460962600955</v>
      </c>
      <c r="BX272" s="518">
        <v>671.56788620357008</v>
      </c>
      <c r="BY272" s="518">
        <v>711.86195937578441</v>
      </c>
      <c r="BZ272" s="518">
        <v>754.57367693833146</v>
      </c>
      <c r="CA272" s="518">
        <v>799.84809755463141</v>
      </c>
      <c r="CB272" s="518">
        <v>847.83898340790915</v>
      </c>
      <c r="CC272" s="518">
        <v>898.70932241238381</v>
      </c>
      <c r="CD272" s="518">
        <v>952.63188175712685</v>
      </c>
      <c r="CE272" s="518">
        <v>1009.7897946625544</v>
      </c>
      <c r="CF272" s="518">
        <v>1070.3771823423076</v>
      </c>
      <c r="CG272" s="519">
        <v>1134.5998132828461</v>
      </c>
      <c r="CH272" s="520">
        <v>7.55</v>
      </c>
      <c r="CI272" s="521">
        <v>7.7009999999999996</v>
      </c>
      <c r="CJ272" s="521">
        <v>7.8550199999999997</v>
      </c>
      <c r="CK272" s="521">
        <v>8.0121203999999988</v>
      </c>
      <c r="CL272" s="521">
        <v>2.5</v>
      </c>
      <c r="CM272" s="521">
        <v>2.5499999999999998</v>
      </c>
      <c r="CN272" s="521">
        <v>2.601</v>
      </c>
      <c r="CO272" s="521">
        <v>2.6530200000000002</v>
      </c>
      <c r="CP272" s="521">
        <v>2.7060804000000003</v>
      </c>
      <c r="CQ272" s="521">
        <v>2.7602020080000003</v>
      </c>
      <c r="CR272" s="521">
        <v>2.8154060481600003</v>
      </c>
      <c r="CS272" s="521">
        <v>2.8717141691232002</v>
      </c>
      <c r="CT272" s="521">
        <v>2.5</v>
      </c>
      <c r="CU272" s="521">
        <v>2.5499999999999998</v>
      </c>
      <c r="CV272" s="521">
        <v>2.601</v>
      </c>
      <c r="CW272" s="521">
        <v>2.6530200000000002</v>
      </c>
      <c r="CX272" s="521">
        <v>2.7060804000000003</v>
      </c>
      <c r="CY272" s="521">
        <v>2.7602020080000003</v>
      </c>
      <c r="CZ272" s="521">
        <v>2.8154060481600003</v>
      </c>
      <c r="DA272" s="522">
        <v>2.8717141691232002</v>
      </c>
      <c r="DB272" s="523">
        <v>0</v>
      </c>
      <c r="DC272" s="524">
        <v>0</v>
      </c>
      <c r="DD272" s="524">
        <v>0</v>
      </c>
      <c r="DE272" s="524">
        <v>0</v>
      </c>
      <c r="DF272" s="524">
        <v>-9.1650601955527766E-2</v>
      </c>
      <c r="DG272" s="524">
        <v>3.0955836489020366E-2</v>
      </c>
      <c r="DH272" s="524">
        <v>3.4197882272693519E-2</v>
      </c>
      <c r="DI272" s="524">
        <v>3.7775788321209813E-2</v>
      </c>
      <c r="DJ272" s="524">
        <v>4.1724115817748486E-2</v>
      </c>
      <c r="DK272" s="524">
        <v>1.7930810853141477</v>
      </c>
      <c r="DL272" s="524">
        <v>4.5213826440726468E-4</v>
      </c>
      <c r="DM272" s="524">
        <v>3.256819496113561E-4</v>
      </c>
      <c r="DN272" s="524">
        <v>-0.11800918067331351</v>
      </c>
      <c r="DO272" s="524">
        <v>1.6501358781922937E-3</v>
      </c>
      <c r="DP272" s="524">
        <v>1.6290465577497026E-3</v>
      </c>
      <c r="DQ272" s="524">
        <v>1.5946797586988692E-3</v>
      </c>
      <c r="DR272" s="524">
        <v>1.5450415788433314E-3</v>
      </c>
      <c r="DS272" s="524">
        <v>0.24191155424483923</v>
      </c>
      <c r="DT272" s="524">
        <v>2.6250016306607615E-3</v>
      </c>
      <c r="DU272" s="525">
        <v>2.6696497889562298E-3</v>
      </c>
      <c r="DV272" s="526">
        <v>3.5</v>
      </c>
      <c r="DW272" s="507">
        <v>1</v>
      </c>
      <c r="DX272" s="509">
        <v>7.55</v>
      </c>
      <c r="DY272" s="507">
        <v>2</v>
      </c>
      <c r="DZ272" s="507">
        <v>10</v>
      </c>
      <c r="EA272" s="507">
        <v>0</v>
      </c>
      <c r="EB272" s="507">
        <v>0</v>
      </c>
      <c r="EC272" s="507">
        <v>111.62500000000001</v>
      </c>
      <c r="ED272" s="507">
        <v>102.18750000000001</v>
      </c>
      <c r="EE272" s="507">
        <v>0</v>
      </c>
      <c r="EF272" s="507">
        <v>25.062499999999996</v>
      </c>
      <c r="EG272" s="507">
        <v>29.3125</v>
      </c>
      <c r="EH272" s="507">
        <v>12.8125</v>
      </c>
      <c r="EI272" s="507">
        <v>16.6875</v>
      </c>
      <c r="EJ272" s="507">
        <v>56.4375</v>
      </c>
      <c r="EK272" s="507">
        <v>10.4375</v>
      </c>
      <c r="EL272" s="507">
        <v>10.4375</v>
      </c>
      <c r="EM272" s="508">
        <v>375</v>
      </c>
    </row>
    <row r="273" spans="2:143" x14ac:dyDescent="0.25">
      <c r="B273" s="506" t="str">
        <f>[1]RONET_Input!J244</f>
        <v xml:space="preserve">Input VPROMMS: 212th00034 (48.86 pct); 214tt00012 (48.86 pct); 214tt00084 (1.14 pct); 217tt00084 (1.14 pct); </v>
      </c>
      <c r="C273" s="359">
        <f>[1]RONET_Input!B244</f>
        <v>242</v>
      </c>
      <c r="D273" s="397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442">
        <f>[1]RONET_Input!K244</f>
        <v>1.9296073016199999</v>
      </c>
      <c r="Q273" s="398">
        <f>[1]RONET_Input!Y244</f>
        <v>2</v>
      </c>
      <c r="R273" s="398">
        <f>[1]RONET_Input!X244</f>
        <v>3.5</v>
      </c>
      <c r="S273" s="398"/>
      <c r="T273" s="398"/>
      <c r="U273" s="398">
        <f>[1]RONET_Input!AA244</f>
        <v>8</v>
      </c>
      <c r="V273" s="398">
        <f>[1]RONET_Input!AC244</f>
        <v>1</v>
      </c>
      <c r="W273" s="398">
        <f>[1]RONET_Input!AD244</f>
        <v>1</v>
      </c>
      <c r="X273" s="398">
        <f>[1]RONET_Input!AE244</f>
        <v>4</v>
      </c>
      <c r="Y273" s="398">
        <f>[1]RONET_Input!AB244</f>
        <v>1</v>
      </c>
      <c r="Z273" s="438">
        <f>[1]RONET_Input!Z244</f>
        <v>1</v>
      </c>
      <c r="AA273" s="442"/>
      <c r="AB273" s="398"/>
      <c r="AC273" s="438"/>
      <c r="AD273" s="442">
        <f>[1]RONET_Input!AH244</f>
        <v>3</v>
      </c>
      <c r="AE273" s="398">
        <f>[1]RONET_Input!D244</f>
        <v>7.3</v>
      </c>
      <c r="AF273" s="398"/>
      <c r="AG273" s="398"/>
      <c r="AH273" s="398"/>
      <c r="AI273" s="438"/>
      <c r="AJ273" s="442">
        <v>1</v>
      </c>
      <c r="AK273" s="442">
        <f>[1]RONET_Input!AF244</f>
        <v>4</v>
      </c>
      <c r="AL273" s="507"/>
      <c r="AM273" s="507"/>
      <c r="AN273" s="507"/>
      <c r="AO273" s="507"/>
      <c r="AP273" s="507"/>
      <c r="AQ273" s="507"/>
      <c r="AR273" s="507"/>
      <c r="AS273" s="507"/>
      <c r="AT273" s="507"/>
      <c r="AU273" s="507"/>
      <c r="AV273" s="507"/>
      <c r="AW273" s="507"/>
      <c r="AX273" s="508"/>
      <c r="AY273" s="509">
        <f>[1]RONET_Input!AG244</f>
        <v>3</v>
      </c>
      <c r="AZ273" s="359" t="s">
        <v>321</v>
      </c>
      <c r="BA273" s="360" t="s">
        <v>502</v>
      </c>
      <c r="BB273" s="360" t="s">
        <v>443</v>
      </c>
      <c r="BC273" s="510">
        <v>9.6576845446081E-2</v>
      </c>
      <c r="BD273" s="510">
        <v>5.0050000000000004E-2</v>
      </c>
      <c r="BE273" s="438">
        <v>5</v>
      </c>
      <c r="BF273" s="511">
        <v>0.8185419755433101</v>
      </c>
      <c r="BG273" s="512">
        <v>0.42420132575996367</v>
      </c>
      <c r="BH273" s="512">
        <v>8.4755509642350386</v>
      </c>
      <c r="BI273" s="513">
        <v>0</v>
      </c>
      <c r="BJ273" s="514">
        <v>375</v>
      </c>
      <c r="BK273" s="515">
        <v>0.22366666666666665</v>
      </c>
      <c r="BL273" s="512">
        <v>0.26411499940923749</v>
      </c>
      <c r="BM273" s="516">
        <v>3.2054071874999999E-2</v>
      </c>
      <c r="BN273" s="517">
        <v>375</v>
      </c>
      <c r="BO273" s="518">
        <v>397.50000000000011</v>
      </c>
      <c r="BP273" s="518">
        <v>421.34999999999991</v>
      </c>
      <c r="BQ273" s="518">
        <v>446.63099999999997</v>
      </c>
      <c r="BR273" s="518">
        <v>473.42885999999999</v>
      </c>
      <c r="BS273" s="518">
        <v>501.83459160000012</v>
      </c>
      <c r="BT273" s="518">
        <v>531.9446670960001</v>
      </c>
      <c r="BU273" s="518">
        <v>563.86134712175999</v>
      </c>
      <c r="BV273" s="518">
        <v>597.69302794906582</v>
      </c>
      <c r="BW273" s="518">
        <v>633.55460962600955</v>
      </c>
      <c r="BX273" s="518">
        <v>671.56788620357008</v>
      </c>
      <c r="BY273" s="518">
        <v>711.86195937578441</v>
      </c>
      <c r="BZ273" s="518">
        <v>754.57367693833146</v>
      </c>
      <c r="CA273" s="518">
        <v>799.84809755463141</v>
      </c>
      <c r="CB273" s="518">
        <v>847.83898340790915</v>
      </c>
      <c r="CC273" s="518">
        <v>898.70932241238381</v>
      </c>
      <c r="CD273" s="518">
        <v>952.63188175712685</v>
      </c>
      <c r="CE273" s="518">
        <v>1009.7897946625544</v>
      </c>
      <c r="CF273" s="518">
        <v>1070.3771823423076</v>
      </c>
      <c r="CG273" s="519">
        <v>1134.5998132828461</v>
      </c>
      <c r="CH273" s="520">
        <v>7.3</v>
      </c>
      <c r="CI273" s="521">
        <v>7.4459999999999997</v>
      </c>
      <c r="CJ273" s="521">
        <v>7.5949200000000001</v>
      </c>
      <c r="CK273" s="521">
        <v>7.7468184000000004</v>
      </c>
      <c r="CL273" s="521">
        <v>2.5</v>
      </c>
      <c r="CM273" s="521">
        <v>2.5499999999999998</v>
      </c>
      <c r="CN273" s="521">
        <v>2.601</v>
      </c>
      <c r="CO273" s="521">
        <v>2.6530200000000002</v>
      </c>
      <c r="CP273" s="521">
        <v>2.7060804000000003</v>
      </c>
      <c r="CQ273" s="521">
        <v>2.7602020080000003</v>
      </c>
      <c r="CR273" s="521">
        <v>2.8154060481600003</v>
      </c>
      <c r="CS273" s="521">
        <v>2.8717141691232002</v>
      </c>
      <c r="CT273" s="521">
        <v>2.5</v>
      </c>
      <c r="CU273" s="521">
        <v>2.5499999999999998</v>
      </c>
      <c r="CV273" s="521">
        <v>2.601</v>
      </c>
      <c r="CW273" s="521">
        <v>2.6530200000000002</v>
      </c>
      <c r="CX273" s="521">
        <v>2.7060804000000003</v>
      </c>
      <c r="CY273" s="521">
        <v>2.7602020080000003</v>
      </c>
      <c r="CZ273" s="521">
        <v>2.8154060481600003</v>
      </c>
      <c r="DA273" s="522">
        <v>2.8717141691232002</v>
      </c>
      <c r="DB273" s="523">
        <v>0</v>
      </c>
      <c r="DC273" s="524">
        <v>0</v>
      </c>
      <c r="DD273" s="524">
        <v>0</v>
      </c>
      <c r="DE273" s="524">
        <v>0</v>
      </c>
      <c r="DF273" s="524">
        <v>-6.8826773596435104E-2</v>
      </c>
      <c r="DG273" s="524">
        <v>2.1059058761000782E-2</v>
      </c>
      <c r="DH273" s="524">
        <v>2.326755172575859E-2</v>
      </c>
      <c r="DI273" s="524">
        <v>2.5705009751038121E-2</v>
      </c>
      <c r="DJ273" s="524">
        <v>2.8395000861868191E-2</v>
      </c>
      <c r="DK273" s="524">
        <v>1.3168400045870761</v>
      </c>
      <c r="DL273" s="524">
        <v>3.3205065797217714E-4</v>
      </c>
      <c r="DM273" s="524">
        <v>2.3918105184012051E-4</v>
      </c>
      <c r="DN273" s="524">
        <v>-8.6666024917627926E-2</v>
      </c>
      <c r="DO273" s="524">
        <v>1.2118609443851902E-3</v>
      </c>
      <c r="DP273" s="524">
        <v>1.1963729326852079E-3</v>
      </c>
      <c r="DQ273" s="524">
        <v>1.1711339313983382E-3</v>
      </c>
      <c r="DR273" s="524">
        <v>1.1346796173553608E-3</v>
      </c>
      <c r="DS273" s="524">
        <v>0.17766001482617233</v>
      </c>
      <c r="DT273" s="524">
        <v>1.9278030356082443E-3</v>
      </c>
      <c r="DU273" s="525">
        <v>1.9605926743235247E-3</v>
      </c>
      <c r="DV273" s="526">
        <v>3.5</v>
      </c>
      <c r="DW273" s="507">
        <v>1</v>
      </c>
      <c r="DX273" s="509">
        <v>7.3</v>
      </c>
      <c r="DY273" s="507">
        <v>2</v>
      </c>
      <c r="DZ273" s="507">
        <v>10</v>
      </c>
      <c r="EA273" s="507">
        <v>0</v>
      </c>
      <c r="EB273" s="507">
        <v>0</v>
      </c>
      <c r="EC273" s="507">
        <v>111.62500000000001</v>
      </c>
      <c r="ED273" s="507">
        <v>102.18750000000001</v>
      </c>
      <c r="EE273" s="507">
        <v>0</v>
      </c>
      <c r="EF273" s="507">
        <v>25.062499999999996</v>
      </c>
      <c r="EG273" s="507">
        <v>29.3125</v>
      </c>
      <c r="EH273" s="507">
        <v>12.8125</v>
      </c>
      <c r="EI273" s="507">
        <v>16.6875</v>
      </c>
      <c r="EJ273" s="507">
        <v>56.4375</v>
      </c>
      <c r="EK273" s="507">
        <v>10.4375</v>
      </c>
      <c r="EL273" s="507">
        <v>10.4375</v>
      </c>
      <c r="EM273" s="508">
        <v>375</v>
      </c>
    </row>
    <row r="274" spans="2:143" x14ac:dyDescent="0.25">
      <c r="B274" s="506" t="str">
        <f>[1]RONET_Input!J245</f>
        <v xml:space="preserve">Input VPROMMS: 214tt00084 (27.59 pct); 217tt00084 (27.59 pct); 217b_1 (24.14 pct); 217B_1 (20.69 pct); </v>
      </c>
      <c r="C274" s="359">
        <f>[1]RONET_Input!B245</f>
        <v>243</v>
      </c>
      <c r="D274" s="397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442">
        <f>[1]RONET_Input!K245</f>
        <v>0.28270072110400002</v>
      </c>
      <c r="Q274" s="398">
        <f>[1]RONET_Input!Y245</f>
        <v>2</v>
      </c>
      <c r="R274" s="398">
        <f>[1]RONET_Input!X245</f>
        <v>3.5</v>
      </c>
      <c r="S274" s="398"/>
      <c r="T274" s="398"/>
      <c r="U274" s="398">
        <f>[1]RONET_Input!AA245</f>
        <v>8</v>
      </c>
      <c r="V274" s="398">
        <f>[1]RONET_Input!AC245</f>
        <v>1</v>
      </c>
      <c r="W274" s="398">
        <f>[1]RONET_Input!AD245</f>
        <v>1</v>
      </c>
      <c r="X274" s="398">
        <f>[1]RONET_Input!AE245</f>
        <v>4</v>
      </c>
      <c r="Y274" s="398">
        <f>[1]RONET_Input!AB245</f>
        <v>1</v>
      </c>
      <c r="Z274" s="438">
        <f>[1]RONET_Input!Z245</f>
        <v>1</v>
      </c>
      <c r="AA274" s="442"/>
      <c r="AB274" s="398"/>
      <c r="AC274" s="438"/>
      <c r="AD274" s="442">
        <f>[1]RONET_Input!AH245</f>
        <v>3</v>
      </c>
      <c r="AE274" s="398">
        <f>[1]RONET_Input!D245</f>
        <v>6.6</v>
      </c>
      <c r="AF274" s="398"/>
      <c r="AG274" s="398"/>
      <c r="AH274" s="398"/>
      <c r="AI274" s="438"/>
      <c r="AJ274" s="442">
        <v>1</v>
      </c>
      <c r="AK274" s="442">
        <f>[1]RONET_Input!AF245</f>
        <v>4</v>
      </c>
      <c r="AL274" s="507"/>
      <c r="AM274" s="507"/>
      <c r="AN274" s="507"/>
      <c r="AO274" s="507"/>
      <c r="AP274" s="507"/>
      <c r="AQ274" s="507"/>
      <c r="AR274" s="507"/>
      <c r="AS274" s="507"/>
      <c r="AT274" s="507"/>
      <c r="AU274" s="507"/>
      <c r="AV274" s="507"/>
      <c r="AW274" s="507"/>
      <c r="AX274" s="508"/>
      <c r="AY274" s="509">
        <f>[1]RONET_Input!AG245</f>
        <v>3</v>
      </c>
      <c r="AZ274" s="359" t="s">
        <v>321</v>
      </c>
      <c r="BA274" s="360" t="s">
        <v>502</v>
      </c>
      <c r="BB274" s="360" t="s">
        <v>443</v>
      </c>
      <c r="BC274" s="510">
        <v>1.4149171091255203E-2</v>
      </c>
      <c r="BD274" s="510">
        <v>5.0050000000000011E-2</v>
      </c>
      <c r="BE274" s="438">
        <v>5</v>
      </c>
      <c r="BF274" s="511">
        <v>0.11741938716439629</v>
      </c>
      <c r="BG274" s="512">
        <v>0.41534873595600064</v>
      </c>
      <c r="BH274" s="512">
        <v>8.2986760430769344</v>
      </c>
      <c r="BI274" s="513">
        <v>0</v>
      </c>
      <c r="BJ274" s="514">
        <v>375</v>
      </c>
      <c r="BK274" s="515">
        <v>0.22366666666666665</v>
      </c>
      <c r="BL274" s="512">
        <v>3.8694661201110009E-2</v>
      </c>
      <c r="BM274" s="516">
        <v>3.2054071874999999E-2</v>
      </c>
      <c r="BN274" s="517">
        <v>375</v>
      </c>
      <c r="BO274" s="518">
        <v>397.50000000000011</v>
      </c>
      <c r="BP274" s="518">
        <v>421.34999999999991</v>
      </c>
      <c r="BQ274" s="518">
        <v>446.63099999999997</v>
      </c>
      <c r="BR274" s="518">
        <v>473.42885999999999</v>
      </c>
      <c r="BS274" s="518">
        <v>501.83459160000012</v>
      </c>
      <c r="BT274" s="518">
        <v>531.9446670960001</v>
      </c>
      <c r="BU274" s="518">
        <v>563.86134712175999</v>
      </c>
      <c r="BV274" s="518">
        <v>597.69302794906582</v>
      </c>
      <c r="BW274" s="518">
        <v>633.55460962600955</v>
      </c>
      <c r="BX274" s="518">
        <v>671.56788620357008</v>
      </c>
      <c r="BY274" s="518">
        <v>711.86195937578441</v>
      </c>
      <c r="BZ274" s="518">
        <v>754.57367693833146</v>
      </c>
      <c r="CA274" s="518">
        <v>799.84809755463141</v>
      </c>
      <c r="CB274" s="518">
        <v>847.83898340790915</v>
      </c>
      <c r="CC274" s="518">
        <v>898.70932241238381</v>
      </c>
      <c r="CD274" s="518">
        <v>952.63188175712685</v>
      </c>
      <c r="CE274" s="518">
        <v>1009.7897946625544</v>
      </c>
      <c r="CF274" s="518">
        <v>1070.3771823423076</v>
      </c>
      <c r="CG274" s="519">
        <v>1134.5998132828461</v>
      </c>
      <c r="CH274" s="520">
        <v>6.6</v>
      </c>
      <c r="CI274" s="521">
        <v>6.7319999999999993</v>
      </c>
      <c r="CJ274" s="521">
        <v>6.8666399999999994</v>
      </c>
      <c r="CK274" s="521">
        <v>7.0039727999999997</v>
      </c>
      <c r="CL274" s="521">
        <v>2.5</v>
      </c>
      <c r="CM274" s="521">
        <v>2.5499999999999998</v>
      </c>
      <c r="CN274" s="521">
        <v>2.601</v>
      </c>
      <c r="CO274" s="521">
        <v>2.6530200000000002</v>
      </c>
      <c r="CP274" s="521">
        <v>2.7060804000000003</v>
      </c>
      <c r="CQ274" s="521">
        <v>2.7602020080000003</v>
      </c>
      <c r="CR274" s="521">
        <v>2.8154060481600003</v>
      </c>
      <c r="CS274" s="521">
        <v>2.8717141691232002</v>
      </c>
      <c r="CT274" s="521">
        <v>2.5</v>
      </c>
      <c r="CU274" s="521">
        <v>2.5499999999999998</v>
      </c>
      <c r="CV274" s="521">
        <v>2.601</v>
      </c>
      <c r="CW274" s="521">
        <v>2.6530200000000002</v>
      </c>
      <c r="CX274" s="521">
        <v>2.7060804000000003</v>
      </c>
      <c r="CY274" s="521">
        <v>2.7602020080000003</v>
      </c>
      <c r="CZ274" s="521">
        <v>2.8154060481600003</v>
      </c>
      <c r="DA274" s="522">
        <v>2.8717141691232002</v>
      </c>
      <c r="DB274" s="523">
        <v>0</v>
      </c>
      <c r="DC274" s="524">
        <v>0</v>
      </c>
      <c r="DD274" s="524">
        <v>0</v>
      </c>
      <c r="DE274" s="524">
        <v>0</v>
      </c>
      <c r="DF274" s="524">
        <v>-1.0666134424213176E-2</v>
      </c>
      <c r="DG274" s="524">
        <v>2.4426548951928945E-3</v>
      </c>
      <c r="DH274" s="524">
        <v>2.6999445756717248E-3</v>
      </c>
      <c r="DI274" s="524">
        <v>2.9839798729311279E-3</v>
      </c>
      <c r="DJ274" s="524">
        <v>3.2975167477882553E-3</v>
      </c>
      <c r="DK274" s="524">
        <v>0.19292610396054205</v>
      </c>
      <c r="DL274" s="524">
        <v>4.8647701723032732E-5</v>
      </c>
      <c r="DM274" s="524">
        <v>3.5041666650442727E-5</v>
      </c>
      <c r="DN274" s="524">
        <v>-1.2697167822106212E-2</v>
      </c>
      <c r="DO274" s="524">
        <v>1.7754595070604284E-4</v>
      </c>
      <c r="DP274" s="524">
        <v>1.7527685062938142E-4</v>
      </c>
      <c r="DQ274" s="524">
        <v>1.7157916361412034E-4</v>
      </c>
      <c r="DR274" s="524">
        <v>1.6623835625986794E-4</v>
      </c>
      <c r="DS274" s="524">
        <v>2.6028412237319096E-2</v>
      </c>
      <c r="DT274" s="524">
        <v>2.8243638374263191E-4</v>
      </c>
      <c r="DU274" s="525">
        <v>2.8724029099452819E-4</v>
      </c>
      <c r="DV274" s="526">
        <v>3.5</v>
      </c>
      <c r="DW274" s="507">
        <v>1</v>
      </c>
      <c r="DX274" s="509">
        <v>6.6</v>
      </c>
      <c r="DY274" s="507">
        <v>2</v>
      </c>
      <c r="DZ274" s="507">
        <v>10</v>
      </c>
      <c r="EA274" s="507">
        <v>0</v>
      </c>
      <c r="EB274" s="507">
        <v>0</v>
      </c>
      <c r="EC274" s="507">
        <v>111.62500000000001</v>
      </c>
      <c r="ED274" s="507">
        <v>102.18750000000001</v>
      </c>
      <c r="EE274" s="507">
        <v>0</v>
      </c>
      <c r="EF274" s="507">
        <v>25.062499999999996</v>
      </c>
      <c r="EG274" s="507">
        <v>29.3125</v>
      </c>
      <c r="EH274" s="507">
        <v>12.8125</v>
      </c>
      <c r="EI274" s="507">
        <v>16.6875</v>
      </c>
      <c r="EJ274" s="507">
        <v>56.4375</v>
      </c>
      <c r="EK274" s="507">
        <v>10.4375</v>
      </c>
      <c r="EL274" s="507">
        <v>10.4375</v>
      </c>
      <c r="EM274" s="508">
        <v>375</v>
      </c>
    </row>
    <row r="275" spans="2:143" x14ac:dyDescent="0.25">
      <c r="B275" s="506" t="str">
        <f>[1]RONET_Input!J246</f>
        <v xml:space="preserve">Input VPROMMS: 217tt00084 (49.81 pct); 214tt00084 (47.13 pct); 214tt00012 (2.68 pct); 212th00034 (0.38 pct); </v>
      </c>
      <c r="C275" s="359">
        <f>[1]RONET_Input!B246</f>
        <v>244</v>
      </c>
      <c r="D275" s="397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442">
        <f>[1]RONET_Input!K246</f>
        <v>3.3995738524000001</v>
      </c>
      <c r="Q275" s="398">
        <f>[1]RONET_Input!Y246</f>
        <v>2</v>
      </c>
      <c r="R275" s="398">
        <f>[1]RONET_Input!X246</f>
        <v>3.5</v>
      </c>
      <c r="S275" s="398"/>
      <c r="T275" s="398"/>
      <c r="U275" s="398">
        <f>[1]RONET_Input!AA246</f>
        <v>8</v>
      </c>
      <c r="V275" s="398">
        <f>[1]RONET_Input!AC246</f>
        <v>1</v>
      </c>
      <c r="W275" s="398">
        <f>[1]RONET_Input!AD246</f>
        <v>1</v>
      </c>
      <c r="X275" s="398">
        <f>[1]RONET_Input!AE246</f>
        <v>4</v>
      </c>
      <c r="Y275" s="398">
        <f>[1]RONET_Input!AB246</f>
        <v>1</v>
      </c>
      <c r="Z275" s="438">
        <f>[1]RONET_Input!Z246</f>
        <v>1</v>
      </c>
      <c r="AA275" s="442"/>
      <c r="AB275" s="398"/>
      <c r="AC275" s="438"/>
      <c r="AD275" s="442">
        <f>[1]RONET_Input!AH246</f>
        <v>3</v>
      </c>
      <c r="AE275" s="398">
        <f>[1]RONET_Input!D246</f>
        <v>8</v>
      </c>
      <c r="AF275" s="398"/>
      <c r="AG275" s="398"/>
      <c r="AH275" s="398"/>
      <c r="AI275" s="438"/>
      <c r="AJ275" s="442">
        <v>1</v>
      </c>
      <c r="AK275" s="442">
        <f>[1]RONET_Input!AF246</f>
        <v>4</v>
      </c>
      <c r="AL275" s="507"/>
      <c r="AM275" s="507"/>
      <c r="AN275" s="507"/>
      <c r="AO275" s="507"/>
      <c r="AP275" s="507"/>
      <c r="AQ275" s="507"/>
      <c r="AR275" s="507"/>
      <c r="AS275" s="507"/>
      <c r="AT275" s="507"/>
      <c r="AU275" s="507"/>
      <c r="AV275" s="507"/>
      <c r="AW275" s="507"/>
      <c r="AX275" s="508"/>
      <c r="AY275" s="509">
        <f>[1]RONET_Input!AG246</f>
        <v>3</v>
      </c>
      <c r="AZ275" s="359" t="s">
        <v>321</v>
      </c>
      <c r="BA275" s="360" t="s">
        <v>502</v>
      </c>
      <c r="BB275" s="360" t="s">
        <v>443</v>
      </c>
      <c r="BC275" s="510">
        <v>0.17014867131262001</v>
      </c>
      <c r="BD275" s="510">
        <v>5.0050000000000004E-2</v>
      </c>
      <c r="BE275" s="438">
        <v>5</v>
      </c>
      <c r="BF275" s="511">
        <v>1.4752545638160355</v>
      </c>
      <c r="BG275" s="512">
        <v>0.43395279169315554</v>
      </c>
      <c r="BH275" s="512">
        <v>8.6703854484146952</v>
      </c>
      <c r="BI275" s="513">
        <v>0</v>
      </c>
      <c r="BJ275" s="514">
        <v>375</v>
      </c>
      <c r="BK275" s="515">
        <v>0.22366666666666665</v>
      </c>
      <c r="BL275" s="512">
        <v>0.46531667104725</v>
      </c>
      <c r="BM275" s="516">
        <v>3.2054071874999999E-2</v>
      </c>
      <c r="BN275" s="517">
        <v>375</v>
      </c>
      <c r="BO275" s="518">
        <v>397.50000000000011</v>
      </c>
      <c r="BP275" s="518">
        <v>421.34999999999991</v>
      </c>
      <c r="BQ275" s="518">
        <v>446.63099999999997</v>
      </c>
      <c r="BR275" s="518">
        <v>473.42885999999999</v>
      </c>
      <c r="BS275" s="518">
        <v>501.83459160000012</v>
      </c>
      <c r="BT275" s="518">
        <v>531.9446670960001</v>
      </c>
      <c r="BU275" s="518">
        <v>563.86134712175999</v>
      </c>
      <c r="BV275" s="518">
        <v>597.69302794906582</v>
      </c>
      <c r="BW275" s="518">
        <v>633.55460962600955</v>
      </c>
      <c r="BX275" s="518">
        <v>671.56788620357008</v>
      </c>
      <c r="BY275" s="518">
        <v>711.86195937578441</v>
      </c>
      <c r="BZ275" s="518">
        <v>754.57367693833146</v>
      </c>
      <c r="CA275" s="518">
        <v>799.84809755463141</v>
      </c>
      <c r="CB275" s="518">
        <v>847.83898340790915</v>
      </c>
      <c r="CC275" s="518">
        <v>898.70932241238381</v>
      </c>
      <c r="CD275" s="518">
        <v>952.63188175712685</v>
      </c>
      <c r="CE275" s="518">
        <v>1009.7897946625544</v>
      </c>
      <c r="CF275" s="518">
        <v>1070.3771823423076</v>
      </c>
      <c r="CG275" s="519">
        <v>1134.5998132828461</v>
      </c>
      <c r="CH275" s="520">
        <v>8</v>
      </c>
      <c r="CI275" s="521">
        <v>8.16</v>
      </c>
      <c r="CJ275" s="521">
        <v>8.3231999999999999</v>
      </c>
      <c r="CK275" s="521">
        <v>8.4896639999999994</v>
      </c>
      <c r="CL275" s="521">
        <v>2.5</v>
      </c>
      <c r="CM275" s="521">
        <v>2.5499999999999998</v>
      </c>
      <c r="CN275" s="521">
        <v>2.601</v>
      </c>
      <c r="CO275" s="521">
        <v>2.6530200000000002</v>
      </c>
      <c r="CP275" s="521">
        <v>2.7060804000000003</v>
      </c>
      <c r="CQ275" s="521">
        <v>2.7602020080000003</v>
      </c>
      <c r="CR275" s="521">
        <v>2.8154060481600003</v>
      </c>
      <c r="CS275" s="521">
        <v>2.8717141691232002</v>
      </c>
      <c r="CT275" s="521">
        <v>2.5</v>
      </c>
      <c r="CU275" s="521">
        <v>2.5499999999999998</v>
      </c>
      <c r="CV275" s="521">
        <v>2.601</v>
      </c>
      <c r="CW275" s="521">
        <v>2.6530200000000002</v>
      </c>
      <c r="CX275" s="521">
        <v>2.7060804000000003</v>
      </c>
      <c r="CY275" s="521">
        <v>2.7602020080000003</v>
      </c>
      <c r="CZ275" s="521">
        <v>2.8154060481600003</v>
      </c>
      <c r="DA275" s="522">
        <v>2.8717141691232002</v>
      </c>
      <c r="DB275" s="523">
        <v>0</v>
      </c>
      <c r="DC275" s="524">
        <v>0</v>
      </c>
      <c r="DD275" s="524">
        <v>0</v>
      </c>
      <c r="DE275" s="524">
        <v>0</v>
      </c>
      <c r="DF275" s="524">
        <v>-0.11353921476361212</v>
      </c>
      <c r="DG275" s="524">
        <v>4.5616003368626812E-2</v>
      </c>
      <c r="DH275" s="524">
        <v>5.0383180818636353E-2</v>
      </c>
      <c r="DI275" s="524">
        <v>5.5643623177749957E-2</v>
      </c>
      <c r="DJ275" s="524">
        <v>6.1448062686400018E-2</v>
      </c>
      <c r="DK275" s="524">
        <v>2.3200030615711893</v>
      </c>
      <c r="DL275" s="524">
        <v>5.8500542238137943E-4</v>
      </c>
      <c r="DM275" s="524">
        <v>4.2138814936210078E-4</v>
      </c>
      <c r="DN275" s="524">
        <v>-0.15268783029275462</v>
      </c>
      <c r="DO275" s="524">
        <v>2.1350514044062852E-3</v>
      </c>
      <c r="DP275" s="524">
        <v>2.1077646919459569E-3</v>
      </c>
      <c r="DQ275" s="524">
        <v>2.0632987279315396E-3</v>
      </c>
      <c r="DR275" s="524">
        <v>1.9990736740961301E-3</v>
      </c>
      <c r="DS275" s="524">
        <v>0.31300065070908012</v>
      </c>
      <c r="DT275" s="524">
        <v>3.3963951042935703E-3</v>
      </c>
      <c r="DU275" s="525">
        <v>3.4541637488839649E-3</v>
      </c>
      <c r="DV275" s="526">
        <v>3.5</v>
      </c>
      <c r="DW275" s="507">
        <v>1</v>
      </c>
      <c r="DX275" s="509">
        <v>8</v>
      </c>
      <c r="DY275" s="507">
        <v>2</v>
      </c>
      <c r="DZ275" s="507">
        <v>10</v>
      </c>
      <c r="EA275" s="507">
        <v>0</v>
      </c>
      <c r="EB275" s="507">
        <v>0</v>
      </c>
      <c r="EC275" s="507">
        <v>111.62500000000001</v>
      </c>
      <c r="ED275" s="507">
        <v>102.18750000000001</v>
      </c>
      <c r="EE275" s="507">
        <v>0</v>
      </c>
      <c r="EF275" s="507">
        <v>25.062499999999996</v>
      </c>
      <c r="EG275" s="507">
        <v>29.3125</v>
      </c>
      <c r="EH275" s="507">
        <v>12.8125</v>
      </c>
      <c r="EI275" s="507">
        <v>16.6875</v>
      </c>
      <c r="EJ275" s="507">
        <v>56.4375</v>
      </c>
      <c r="EK275" s="507">
        <v>10.4375</v>
      </c>
      <c r="EL275" s="507">
        <v>10.4375</v>
      </c>
      <c r="EM275" s="508">
        <v>375</v>
      </c>
    </row>
    <row r="276" spans="2:143" x14ac:dyDescent="0.25">
      <c r="B276" s="506" t="str">
        <f>[1]RONET_Input!J247</f>
        <v xml:space="preserve">Input VPROMMS: 217B_1 (50.0 pct); 217b_1 (50.0 pct); </v>
      </c>
      <c r="C276" s="359">
        <f>[1]RONET_Input!B247</f>
        <v>245</v>
      </c>
      <c r="D276" s="397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442">
        <f>[1]RONET_Input!K247</f>
        <v>1.2729679627599999</v>
      </c>
      <c r="Q276" s="398">
        <f>[1]RONET_Input!Y247</f>
        <v>2</v>
      </c>
      <c r="R276" s="398">
        <f>[1]RONET_Input!X247</f>
        <v>3.5</v>
      </c>
      <c r="S276" s="398"/>
      <c r="T276" s="398"/>
      <c r="U276" s="398">
        <f>[1]RONET_Input!AA247</f>
        <v>8</v>
      </c>
      <c r="V276" s="398">
        <f>[1]RONET_Input!AC247</f>
        <v>1</v>
      </c>
      <c r="W276" s="398">
        <f>[1]RONET_Input!AD247</f>
        <v>1</v>
      </c>
      <c r="X276" s="398">
        <f>[1]RONET_Input!AE247</f>
        <v>4</v>
      </c>
      <c r="Y276" s="398">
        <f>[1]RONET_Input!AB247</f>
        <v>1</v>
      </c>
      <c r="Z276" s="438">
        <f>[1]RONET_Input!Z247</f>
        <v>1</v>
      </c>
      <c r="AA276" s="442"/>
      <c r="AB276" s="398"/>
      <c r="AC276" s="438"/>
      <c r="AD276" s="442">
        <f>[1]RONET_Input!AH247</f>
        <v>3</v>
      </c>
      <c r="AE276" s="398">
        <f>[1]RONET_Input!D247</f>
        <v>6.89</v>
      </c>
      <c r="AF276" s="398"/>
      <c r="AG276" s="398"/>
      <c r="AH276" s="398"/>
      <c r="AI276" s="438"/>
      <c r="AJ276" s="442">
        <v>1</v>
      </c>
      <c r="AK276" s="442">
        <f>[1]RONET_Input!AF247</f>
        <v>4</v>
      </c>
      <c r="AL276" s="507"/>
      <c r="AM276" s="507"/>
      <c r="AN276" s="507"/>
      <c r="AO276" s="507"/>
      <c r="AP276" s="507"/>
      <c r="AQ276" s="507"/>
      <c r="AR276" s="507"/>
      <c r="AS276" s="507"/>
      <c r="AT276" s="507"/>
      <c r="AU276" s="507"/>
      <c r="AV276" s="507"/>
      <c r="AW276" s="507"/>
      <c r="AX276" s="508"/>
      <c r="AY276" s="509">
        <f>[1]RONET_Input!AG247</f>
        <v>3</v>
      </c>
      <c r="AZ276" s="359" t="s">
        <v>321</v>
      </c>
      <c r="BA276" s="360" t="s">
        <v>502</v>
      </c>
      <c r="BB276" s="360" t="s">
        <v>443</v>
      </c>
      <c r="BC276" s="510">
        <v>6.3712046536138003E-2</v>
      </c>
      <c r="BD276" s="510">
        <v>5.0050000000000004E-2</v>
      </c>
      <c r="BE276" s="438">
        <v>5</v>
      </c>
      <c r="BF276" s="511">
        <v>0.53325478675159554</v>
      </c>
      <c r="BG276" s="512">
        <v>0.41890668292657823</v>
      </c>
      <c r="BH276" s="512">
        <v>8.369763894636927</v>
      </c>
      <c r="BI276" s="513">
        <v>0</v>
      </c>
      <c r="BJ276" s="514">
        <v>375</v>
      </c>
      <c r="BK276" s="515">
        <v>0.22366666666666665</v>
      </c>
      <c r="BL276" s="512">
        <v>0.17423748990277499</v>
      </c>
      <c r="BM276" s="516">
        <v>3.2054071874999999E-2</v>
      </c>
      <c r="BN276" s="517">
        <v>375</v>
      </c>
      <c r="BO276" s="518">
        <v>397.50000000000011</v>
      </c>
      <c r="BP276" s="518">
        <v>421.34999999999991</v>
      </c>
      <c r="BQ276" s="518">
        <v>446.63099999999997</v>
      </c>
      <c r="BR276" s="518">
        <v>473.42885999999999</v>
      </c>
      <c r="BS276" s="518">
        <v>501.83459160000012</v>
      </c>
      <c r="BT276" s="518">
        <v>531.9446670960001</v>
      </c>
      <c r="BU276" s="518">
        <v>563.86134712175999</v>
      </c>
      <c r="BV276" s="518">
        <v>597.69302794906582</v>
      </c>
      <c r="BW276" s="518">
        <v>633.55460962600955</v>
      </c>
      <c r="BX276" s="518">
        <v>671.56788620357008</v>
      </c>
      <c r="BY276" s="518">
        <v>711.86195937578441</v>
      </c>
      <c r="BZ276" s="518">
        <v>754.57367693833146</v>
      </c>
      <c r="CA276" s="518">
        <v>799.84809755463141</v>
      </c>
      <c r="CB276" s="518">
        <v>847.83898340790915</v>
      </c>
      <c r="CC276" s="518">
        <v>898.70932241238381</v>
      </c>
      <c r="CD276" s="518">
        <v>952.63188175712685</v>
      </c>
      <c r="CE276" s="518">
        <v>1009.7897946625544</v>
      </c>
      <c r="CF276" s="518">
        <v>1070.3771823423076</v>
      </c>
      <c r="CG276" s="519">
        <v>1134.5998132828461</v>
      </c>
      <c r="CH276" s="520">
        <v>6.89</v>
      </c>
      <c r="CI276" s="521">
        <v>7.0278</v>
      </c>
      <c r="CJ276" s="521">
        <v>7.1683560000000002</v>
      </c>
      <c r="CK276" s="521">
        <v>7.3117231199999999</v>
      </c>
      <c r="CL276" s="521">
        <v>2.5</v>
      </c>
      <c r="CM276" s="521">
        <v>2.5499999999999998</v>
      </c>
      <c r="CN276" s="521">
        <v>2.601</v>
      </c>
      <c r="CO276" s="521">
        <v>2.6530200000000002</v>
      </c>
      <c r="CP276" s="521">
        <v>2.7060804000000003</v>
      </c>
      <c r="CQ276" s="521">
        <v>2.7602020080000003</v>
      </c>
      <c r="CR276" s="521">
        <v>2.8154060481600003</v>
      </c>
      <c r="CS276" s="521">
        <v>2.8717141691232002</v>
      </c>
      <c r="CT276" s="521">
        <v>2.5</v>
      </c>
      <c r="CU276" s="521">
        <v>2.5499999999999998</v>
      </c>
      <c r="CV276" s="521">
        <v>2.601</v>
      </c>
      <c r="CW276" s="521">
        <v>2.6530200000000002</v>
      </c>
      <c r="CX276" s="521">
        <v>2.7060804000000003</v>
      </c>
      <c r="CY276" s="521">
        <v>2.7602020080000003</v>
      </c>
      <c r="CZ276" s="521">
        <v>2.8154060481600003</v>
      </c>
      <c r="DA276" s="522">
        <v>2.8717141691232002</v>
      </c>
      <c r="DB276" s="523">
        <v>0</v>
      </c>
      <c r="DC276" s="524">
        <v>0</v>
      </c>
      <c r="DD276" s="524">
        <v>0</v>
      </c>
      <c r="DE276" s="524">
        <v>0</v>
      </c>
      <c r="DF276" s="524">
        <v>-4.6974245729261815E-2</v>
      </c>
      <c r="DG276" s="524">
        <v>1.2161927799120079E-2</v>
      </c>
      <c r="DH276" s="524">
        <v>1.3440487202875773E-2</v>
      </c>
      <c r="DI276" s="524">
        <v>1.4851794588378583E-2</v>
      </c>
      <c r="DJ276" s="524">
        <v>1.6409521741286182E-2</v>
      </c>
      <c r="DK276" s="524">
        <v>0.86872346332476402</v>
      </c>
      <c r="DL276" s="524">
        <v>2.1905485600989816E-4</v>
      </c>
      <c r="DM276" s="524">
        <v>1.5778848682637681E-4</v>
      </c>
      <c r="DN276" s="524">
        <v>-5.7173847283475077E-2</v>
      </c>
      <c r="DO276" s="524">
        <v>7.994684494753157E-4</v>
      </c>
      <c r="DP276" s="524">
        <v>7.8925095979004434E-4</v>
      </c>
      <c r="DQ276" s="524">
        <v>7.7260071182339018E-4</v>
      </c>
      <c r="DR276" s="524">
        <v>7.4855168700771468E-4</v>
      </c>
      <c r="DS276" s="524">
        <v>0.11720286658705914</v>
      </c>
      <c r="DT276" s="524">
        <v>1.2717776828375937E-3</v>
      </c>
      <c r="DU276" s="525">
        <v>1.2934091098953382E-3</v>
      </c>
      <c r="DV276" s="526">
        <v>3.5</v>
      </c>
      <c r="DW276" s="507">
        <v>1</v>
      </c>
      <c r="DX276" s="509">
        <v>6.89</v>
      </c>
      <c r="DY276" s="507">
        <v>2</v>
      </c>
      <c r="DZ276" s="507">
        <v>10</v>
      </c>
      <c r="EA276" s="507">
        <v>0</v>
      </c>
      <c r="EB276" s="507">
        <v>0</v>
      </c>
      <c r="EC276" s="507">
        <v>111.62500000000001</v>
      </c>
      <c r="ED276" s="507">
        <v>102.18750000000001</v>
      </c>
      <c r="EE276" s="507">
        <v>0</v>
      </c>
      <c r="EF276" s="507">
        <v>25.062499999999996</v>
      </c>
      <c r="EG276" s="507">
        <v>29.3125</v>
      </c>
      <c r="EH276" s="507">
        <v>12.8125</v>
      </c>
      <c r="EI276" s="507">
        <v>16.6875</v>
      </c>
      <c r="EJ276" s="507">
        <v>56.4375</v>
      </c>
      <c r="EK276" s="507">
        <v>10.4375</v>
      </c>
      <c r="EL276" s="507">
        <v>10.4375</v>
      </c>
      <c r="EM276" s="508">
        <v>375</v>
      </c>
    </row>
    <row r="277" spans="2:143" x14ac:dyDescent="0.25">
      <c r="B277" s="506" t="str">
        <f>[1]RONET_Input!J248</f>
        <v xml:space="preserve">Input VPROMMS: 217B_1 (44.44 pct); 217b_1 (44.44 pct); 212th00034 (5.56 pct); 214tt00012 (5.56 pct); </v>
      </c>
      <c r="C277" s="359">
        <f>[1]RONET_Input!B248</f>
        <v>246</v>
      </c>
      <c r="D277" s="397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442">
        <f>[1]RONET_Input!K248</f>
        <v>0.36886869125600003</v>
      </c>
      <c r="Q277" s="398">
        <f>[1]RONET_Input!Y248</f>
        <v>2</v>
      </c>
      <c r="R277" s="398">
        <f>[1]RONET_Input!X248</f>
        <v>3.5</v>
      </c>
      <c r="S277" s="398"/>
      <c r="T277" s="398"/>
      <c r="U277" s="398">
        <f>[1]RONET_Input!AA248</f>
        <v>8</v>
      </c>
      <c r="V277" s="398">
        <f>[1]RONET_Input!AC248</f>
        <v>1</v>
      </c>
      <c r="W277" s="398">
        <f>[1]RONET_Input!AD248</f>
        <v>1</v>
      </c>
      <c r="X277" s="398">
        <f>[1]RONET_Input!AE248</f>
        <v>4</v>
      </c>
      <c r="Y277" s="398">
        <f>[1]RONET_Input!AB248</f>
        <v>1</v>
      </c>
      <c r="Z277" s="438">
        <f>[1]RONET_Input!Z248</f>
        <v>1</v>
      </c>
      <c r="AA277" s="442"/>
      <c r="AB277" s="398"/>
      <c r="AC277" s="438"/>
      <c r="AD277" s="442">
        <f>[1]RONET_Input!AH248</f>
        <v>3</v>
      </c>
      <c r="AE277" s="398">
        <f>[1]RONET_Input!D248</f>
        <v>6.7549999999999999</v>
      </c>
      <c r="AF277" s="398"/>
      <c r="AG277" s="398"/>
      <c r="AH277" s="398"/>
      <c r="AI277" s="438"/>
      <c r="AJ277" s="442">
        <v>1</v>
      </c>
      <c r="AK277" s="442">
        <f>[1]RONET_Input!AF248</f>
        <v>4</v>
      </c>
      <c r="AL277" s="507"/>
      <c r="AM277" s="507"/>
      <c r="AN277" s="507"/>
      <c r="AO277" s="507"/>
      <c r="AP277" s="507"/>
      <c r="AQ277" s="507"/>
      <c r="AR277" s="507"/>
      <c r="AS277" s="507"/>
      <c r="AT277" s="507"/>
      <c r="AU277" s="507"/>
      <c r="AV277" s="507"/>
      <c r="AW277" s="507"/>
      <c r="AX277" s="508"/>
      <c r="AY277" s="509">
        <f>[1]RONET_Input!AG248</f>
        <v>3</v>
      </c>
      <c r="AZ277" s="359" t="s">
        <v>321</v>
      </c>
      <c r="BA277" s="360" t="s">
        <v>502</v>
      </c>
      <c r="BB277" s="360" t="s">
        <v>443</v>
      </c>
      <c r="BC277" s="510">
        <v>1.8461877997362802E-2</v>
      </c>
      <c r="BD277" s="510">
        <v>5.0049999999999997E-2</v>
      </c>
      <c r="BE277" s="438">
        <v>5</v>
      </c>
      <c r="BF277" s="511">
        <v>0.15390347708393248</v>
      </c>
      <c r="BG277" s="512">
        <v>0.41723106550434047</v>
      </c>
      <c r="BH277" s="512">
        <v>8.3362850250617466</v>
      </c>
      <c r="BI277" s="513">
        <v>0</v>
      </c>
      <c r="BJ277" s="514">
        <v>375</v>
      </c>
      <c r="BK277" s="515">
        <v>0.22366666666666665</v>
      </c>
      <c r="BL277" s="512">
        <v>5.0488902115665001E-2</v>
      </c>
      <c r="BM277" s="516">
        <v>3.2054071874999999E-2</v>
      </c>
      <c r="BN277" s="517">
        <v>375</v>
      </c>
      <c r="BO277" s="518">
        <v>397.50000000000011</v>
      </c>
      <c r="BP277" s="518">
        <v>421.34999999999991</v>
      </c>
      <c r="BQ277" s="518">
        <v>446.63099999999997</v>
      </c>
      <c r="BR277" s="518">
        <v>473.42885999999999</v>
      </c>
      <c r="BS277" s="518">
        <v>501.83459160000012</v>
      </c>
      <c r="BT277" s="518">
        <v>531.9446670960001</v>
      </c>
      <c r="BU277" s="518">
        <v>563.86134712175999</v>
      </c>
      <c r="BV277" s="518">
        <v>597.69302794906582</v>
      </c>
      <c r="BW277" s="518">
        <v>633.55460962600955</v>
      </c>
      <c r="BX277" s="518">
        <v>671.56788620357008</v>
      </c>
      <c r="BY277" s="518">
        <v>711.86195937578441</v>
      </c>
      <c r="BZ277" s="518">
        <v>754.57367693833146</v>
      </c>
      <c r="CA277" s="518">
        <v>799.84809755463141</v>
      </c>
      <c r="CB277" s="518">
        <v>847.83898340790915</v>
      </c>
      <c r="CC277" s="518">
        <v>898.70932241238381</v>
      </c>
      <c r="CD277" s="518">
        <v>952.63188175712685</v>
      </c>
      <c r="CE277" s="518">
        <v>1009.7897946625544</v>
      </c>
      <c r="CF277" s="518">
        <v>1070.3771823423076</v>
      </c>
      <c r="CG277" s="519">
        <v>1134.5998132828461</v>
      </c>
      <c r="CH277" s="520">
        <v>6.7549999999999999</v>
      </c>
      <c r="CI277" s="521">
        <v>6.8901000000000003</v>
      </c>
      <c r="CJ277" s="521">
        <v>7.0279020000000001</v>
      </c>
      <c r="CK277" s="521">
        <v>7.1684600400000003</v>
      </c>
      <c r="CL277" s="521">
        <v>2.5</v>
      </c>
      <c r="CM277" s="521">
        <v>2.5499999999999998</v>
      </c>
      <c r="CN277" s="521">
        <v>2.601</v>
      </c>
      <c r="CO277" s="521">
        <v>2.6530200000000002</v>
      </c>
      <c r="CP277" s="521">
        <v>2.7060804000000003</v>
      </c>
      <c r="CQ277" s="521">
        <v>2.7602020080000003</v>
      </c>
      <c r="CR277" s="521">
        <v>2.8154060481600003</v>
      </c>
      <c r="CS277" s="521">
        <v>2.8717141691232002</v>
      </c>
      <c r="CT277" s="521">
        <v>2.5</v>
      </c>
      <c r="CU277" s="521">
        <v>2.5499999999999998</v>
      </c>
      <c r="CV277" s="521">
        <v>2.601</v>
      </c>
      <c r="CW277" s="521">
        <v>2.6530200000000002</v>
      </c>
      <c r="CX277" s="521">
        <v>2.7060804000000003</v>
      </c>
      <c r="CY277" s="521">
        <v>2.7602020080000003</v>
      </c>
      <c r="CZ277" s="521">
        <v>2.8154060481600003</v>
      </c>
      <c r="DA277" s="522">
        <v>2.8717141691232002</v>
      </c>
      <c r="DB277" s="523">
        <v>0</v>
      </c>
      <c r="DC277" s="524">
        <v>0</v>
      </c>
      <c r="DD277" s="524">
        <v>0</v>
      </c>
      <c r="DE277" s="524">
        <v>0</v>
      </c>
      <c r="DF277" s="524">
        <v>-1.3755614423475754E-2</v>
      </c>
      <c r="DG277" s="524">
        <v>3.3654605829767856E-3</v>
      </c>
      <c r="DH277" s="524">
        <v>3.719576069175605E-3</v>
      </c>
      <c r="DI277" s="524">
        <v>4.1104779499956182E-3</v>
      </c>
      <c r="DJ277" s="524">
        <v>4.5419557268405325E-3</v>
      </c>
      <c r="DK277" s="524">
        <v>0.25173051982016043</v>
      </c>
      <c r="DL277" s="524">
        <v>6.3475657214845382E-5</v>
      </c>
      <c r="DM277" s="524">
        <v>4.5722464613102975E-5</v>
      </c>
      <c r="DN277" s="524">
        <v>-1.6567300072344408E-2</v>
      </c>
      <c r="DO277" s="524">
        <v>2.3166245285469872E-4</v>
      </c>
      <c r="DP277" s="524">
        <v>2.2870172473082873E-4</v>
      </c>
      <c r="DQ277" s="524">
        <v>2.2387697237551824E-4</v>
      </c>
      <c r="DR277" s="524">
        <v>2.1690827200815388E-4</v>
      </c>
      <c r="DS277" s="524">
        <v>3.396194505609168E-2</v>
      </c>
      <c r="DT277" s="524">
        <v>3.6852378312787759E-4</v>
      </c>
      <c r="DU277" s="525">
        <v>3.7479193474064532E-4</v>
      </c>
      <c r="DV277" s="526">
        <v>3.5</v>
      </c>
      <c r="DW277" s="507">
        <v>1</v>
      </c>
      <c r="DX277" s="509">
        <v>6.7549999999999999</v>
      </c>
      <c r="DY277" s="507">
        <v>2</v>
      </c>
      <c r="DZ277" s="507">
        <v>10</v>
      </c>
      <c r="EA277" s="507">
        <v>0</v>
      </c>
      <c r="EB277" s="507">
        <v>0</v>
      </c>
      <c r="EC277" s="507">
        <v>111.62500000000001</v>
      </c>
      <c r="ED277" s="507">
        <v>102.18750000000001</v>
      </c>
      <c r="EE277" s="507">
        <v>0</v>
      </c>
      <c r="EF277" s="507">
        <v>25.062499999999996</v>
      </c>
      <c r="EG277" s="507">
        <v>29.3125</v>
      </c>
      <c r="EH277" s="507">
        <v>12.8125</v>
      </c>
      <c r="EI277" s="507">
        <v>16.6875</v>
      </c>
      <c r="EJ277" s="507">
        <v>56.4375</v>
      </c>
      <c r="EK277" s="507">
        <v>10.4375</v>
      </c>
      <c r="EL277" s="507">
        <v>10.4375</v>
      </c>
      <c r="EM277" s="508">
        <v>375</v>
      </c>
    </row>
    <row r="278" spans="2:143" x14ac:dyDescent="0.25">
      <c r="B278" s="506" t="str">
        <f>[1]RONET_Input!J249</f>
        <v xml:space="preserve">Input VPROMMS: 217B_1 (50.0 pct); 217b_1 (50.0 pct); </v>
      </c>
      <c r="C278" s="359">
        <f>[1]RONET_Input!B249</f>
        <v>247</v>
      </c>
      <c r="D278" s="397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442">
        <f>[1]RONET_Input!K249</f>
        <v>0.77624768215000006</v>
      </c>
      <c r="Q278" s="398">
        <f>[1]RONET_Input!Y249</f>
        <v>2</v>
      </c>
      <c r="R278" s="398">
        <f>[1]RONET_Input!X249</f>
        <v>3.5</v>
      </c>
      <c r="S278" s="398"/>
      <c r="T278" s="398"/>
      <c r="U278" s="398">
        <f>[1]RONET_Input!AA249</f>
        <v>8</v>
      </c>
      <c r="V278" s="398">
        <f>[1]RONET_Input!AC249</f>
        <v>1</v>
      </c>
      <c r="W278" s="398">
        <f>[1]RONET_Input!AD249</f>
        <v>1</v>
      </c>
      <c r="X278" s="398">
        <f>[1]RONET_Input!AE249</f>
        <v>4</v>
      </c>
      <c r="Y278" s="398">
        <f>[1]RONET_Input!AB249</f>
        <v>1</v>
      </c>
      <c r="Z278" s="438">
        <f>[1]RONET_Input!Z249</f>
        <v>1</v>
      </c>
      <c r="AA278" s="442"/>
      <c r="AB278" s="398"/>
      <c r="AC278" s="438"/>
      <c r="AD278" s="442">
        <f>[1]RONET_Input!AH249</f>
        <v>3</v>
      </c>
      <c r="AE278" s="398">
        <f>[1]RONET_Input!D249</f>
        <v>6.2</v>
      </c>
      <c r="AF278" s="398"/>
      <c r="AG278" s="398"/>
      <c r="AH278" s="398"/>
      <c r="AI278" s="438"/>
      <c r="AJ278" s="442">
        <v>1</v>
      </c>
      <c r="AK278" s="442">
        <f>[1]RONET_Input!AF249</f>
        <v>4</v>
      </c>
      <c r="AL278" s="507"/>
      <c r="AM278" s="507"/>
      <c r="AN278" s="507"/>
      <c r="AO278" s="507"/>
      <c r="AP278" s="507"/>
      <c r="AQ278" s="507"/>
      <c r="AR278" s="507"/>
      <c r="AS278" s="507"/>
      <c r="AT278" s="507"/>
      <c r="AU278" s="507"/>
      <c r="AV278" s="507"/>
      <c r="AW278" s="507"/>
      <c r="AX278" s="508"/>
      <c r="AY278" s="509">
        <f>[1]RONET_Input!AG249</f>
        <v>3</v>
      </c>
      <c r="AZ278" s="359" t="s">
        <v>321</v>
      </c>
      <c r="BA278" s="360" t="s">
        <v>502</v>
      </c>
      <c r="BB278" s="360" t="s">
        <v>443</v>
      </c>
      <c r="BC278" s="510">
        <v>3.8851196491607509E-2</v>
      </c>
      <c r="BD278" s="510">
        <v>5.0050000000000011E-2</v>
      </c>
      <c r="BE278" s="438">
        <v>5</v>
      </c>
      <c r="BF278" s="511">
        <v>0.31880260902605684</v>
      </c>
      <c r="BG278" s="512">
        <v>0.41069701895026367</v>
      </c>
      <c r="BH278" s="512">
        <v>8.2057346443609109</v>
      </c>
      <c r="BI278" s="513">
        <v>0</v>
      </c>
      <c r="BJ278" s="514">
        <v>375</v>
      </c>
      <c r="BK278" s="515">
        <v>0.22366666666666665</v>
      </c>
      <c r="BL278" s="512">
        <v>0.10624890149428128</v>
      </c>
      <c r="BM278" s="516">
        <v>3.2054071874999999E-2</v>
      </c>
      <c r="BN278" s="517">
        <v>375</v>
      </c>
      <c r="BO278" s="518">
        <v>397.50000000000011</v>
      </c>
      <c r="BP278" s="518">
        <v>421.34999999999991</v>
      </c>
      <c r="BQ278" s="518">
        <v>446.63099999999997</v>
      </c>
      <c r="BR278" s="518">
        <v>473.42885999999999</v>
      </c>
      <c r="BS278" s="518">
        <v>501.83459160000012</v>
      </c>
      <c r="BT278" s="518">
        <v>531.9446670960001</v>
      </c>
      <c r="BU278" s="518">
        <v>563.86134712175999</v>
      </c>
      <c r="BV278" s="518">
        <v>597.69302794906582</v>
      </c>
      <c r="BW278" s="518">
        <v>633.55460962600955</v>
      </c>
      <c r="BX278" s="518">
        <v>671.56788620357008</v>
      </c>
      <c r="BY278" s="518">
        <v>711.86195937578441</v>
      </c>
      <c r="BZ278" s="518">
        <v>754.57367693833146</v>
      </c>
      <c r="CA278" s="518">
        <v>799.84809755463141</v>
      </c>
      <c r="CB278" s="518">
        <v>847.83898340790915</v>
      </c>
      <c r="CC278" s="518">
        <v>898.70932241238381</v>
      </c>
      <c r="CD278" s="518">
        <v>952.63188175712685</v>
      </c>
      <c r="CE278" s="518">
        <v>1009.7897946625544</v>
      </c>
      <c r="CF278" s="518">
        <v>1070.3771823423076</v>
      </c>
      <c r="CG278" s="519">
        <v>1134.5998132828461</v>
      </c>
      <c r="CH278" s="520">
        <v>6.2</v>
      </c>
      <c r="CI278" s="521">
        <v>6.3239999999999998</v>
      </c>
      <c r="CJ278" s="521">
        <v>6.4504799999999998</v>
      </c>
      <c r="CK278" s="521">
        <v>6.5794895999999996</v>
      </c>
      <c r="CL278" s="521">
        <v>2.5</v>
      </c>
      <c r="CM278" s="521">
        <v>2.5499999999999998</v>
      </c>
      <c r="CN278" s="521">
        <v>2.601</v>
      </c>
      <c r="CO278" s="521">
        <v>2.6530200000000002</v>
      </c>
      <c r="CP278" s="521">
        <v>2.7060804000000003</v>
      </c>
      <c r="CQ278" s="521">
        <v>2.7602020080000003</v>
      </c>
      <c r="CR278" s="521">
        <v>2.8154060481600003</v>
      </c>
      <c r="CS278" s="521">
        <v>2.8717141691232002</v>
      </c>
      <c r="CT278" s="521">
        <v>2.5</v>
      </c>
      <c r="CU278" s="521">
        <v>2.5499999999999998</v>
      </c>
      <c r="CV278" s="521">
        <v>2.601</v>
      </c>
      <c r="CW278" s="521">
        <v>2.6530200000000002</v>
      </c>
      <c r="CX278" s="521">
        <v>2.7060804000000003</v>
      </c>
      <c r="CY278" s="521">
        <v>2.7602020080000003</v>
      </c>
      <c r="CZ278" s="521">
        <v>2.8154060481600003</v>
      </c>
      <c r="DA278" s="522">
        <v>2.8717141691232002</v>
      </c>
      <c r="DB278" s="523">
        <v>0</v>
      </c>
      <c r="DC278" s="524">
        <v>0</v>
      </c>
      <c r="DD278" s="524">
        <v>0</v>
      </c>
      <c r="DE278" s="524">
        <v>0</v>
      </c>
      <c r="DF278" s="524">
        <v>-3.0127500122834341E-2</v>
      </c>
      <c r="DG278" s="524">
        <v>5.7800912586147141E-3</v>
      </c>
      <c r="DH278" s="524">
        <v>6.3907453464863428E-3</v>
      </c>
      <c r="DI278" s="524">
        <v>7.0650004149451495E-3</v>
      </c>
      <c r="DJ278" s="524">
        <v>7.8094162151250424E-3</v>
      </c>
      <c r="DK278" s="524">
        <v>0.52974198452966614</v>
      </c>
      <c r="DL278" s="524">
        <v>1.335782432989735E-4</v>
      </c>
      <c r="DM278" s="524">
        <v>9.6218405138320806E-5</v>
      </c>
      <c r="DN278" s="524">
        <v>-3.4864244609243977E-2</v>
      </c>
      <c r="DO278" s="524">
        <v>4.875107221958136E-4</v>
      </c>
      <c r="DP278" s="524">
        <v>4.8128016265497342E-4</v>
      </c>
      <c r="DQ278" s="524">
        <v>4.7112694845834191E-4</v>
      </c>
      <c r="DR278" s="524">
        <v>4.5646200769215717E-4</v>
      </c>
      <c r="DS278" s="524">
        <v>7.1469554765765192E-2</v>
      </c>
      <c r="DT278" s="524">
        <v>7.7552185710341726E-4</v>
      </c>
      <c r="DU278" s="525">
        <v>7.8871256229504083E-4</v>
      </c>
      <c r="DV278" s="526">
        <v>3.5</v>
      </c>
      <c r="DW278" s="507">
        <v>1</v>
      </c>
      <c r="DX278" s="509">
        <v>6.2</v>
      </c>
      <c r="DY278" s="507">
        <v>2</v>
      </c>
      <c r="DZ278" s="507">
        <v>10</v>
      </c>
      <c r="EA278" s="507">
        <v>0</v>
      </c>
      <c r="EB278" s="507">
        <v>0</v>
      </c>
      <c r="EC278" s="507">
        <v>111.62500000000001</v>
      </c>
      <c r="ED278" s="507">
        <v>102.18750000000001</v>
      </c>
      <c r="EE278" s="507">
        <v>0</v>
      </c>
      <c r="EF278" s="507">
        <v>25.062499999999996</v>
      </c>
      <c r="EG278" s="507">
        <v>29.3125</v>
      </c>
      <c r="EH278" s="507">
        <v>12.8125</v>
      </c>
      <c r="EI278" s="507">
        <v>16.6875</v>
      </c>
      <c r="EJ278" s="507">
        <v>56.4375</v>
      </c>
      <c r="EK278" s="507">
        <v>10.4375</v>
      </c>
      <c r="EL278" s="507">
        <v>10.4375</v>
      </c>
      <c r="EM278" s="508">
        <v>375</v>
      </c>
    </row>
    <row r="279" spans="2:143" x14ac:dyDescent="0.25">
      <c r="B279" s="506" t="str">
        <f>[1]RONET_Input!J250</f>
        <v xml:space="preserve">Input VPROMMS: 217b_1 (50.0 pct); 217B_1 (50.0 pct); </v>
      </c>
      <c r="C279" s="359">
        <f>[1]RONET_Input!B250</f>
        <v>248</v>
      </c>
      <c r="D279" s="397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442">
        <f>[1]RONET_Input!K250</f>
        <v>9.2692988801800009</v>
      </c>
      <c r="Q279" s="398">
        <f>[1]RONET_Input!Y250</f>
        <v>2</v>
      </c>
      <c r="R279" s="398">
        <f>[1]RONET_Input!X250</f>
        <v>3.5</v>
      </c>
      <c r="S279" s="398"/>
      <c r="T279" s="398"/>
      <c r="U279" s="398">
        <f>[1]RONET_Input!AA250</f>
        <v>8</v>
      </c>
      <c r="V279" s="398">
        <f>[1]RONET_Input!AC250</f>
        <v>1</v>
      </c>
      <c r="W279" s="398">
        <f>[1]RONET_Input!AD250</f>
        <v>1</v>
      </c>
      <c r="X279" s="398">
        <f>[1]RONET_Input!AE250</f>
        <v>4</v>
      </c>
      <c r="Y279" s="398">
        <f>[1]RONET_Input!AB250</f>
        <v>1</v>
      </c>
      <c r="Z279" s="438">
        <f>[1]RONET_Input!Z250</f>
        <v>1</v>
      </c>
      <c r="AA279" s="442"/>
      <c r="AB279" s="398"/>
      <c r="AC279" s="438"/>
      <c r="AD279" s="442">
        <f>[1]RONET_Input!AH250</f>
        <v>3</v>
      </c>
      <c r="AE279" s="398">
        <f>[1]RONET_Input!D250</f>
        <v>7.1849999999999996</v>
      </c>
      <c r="AF279" s="398"/>
      <c r="AG279" s="398"/>
      <c r="AH279" s="398"/>
      <c r="AI279" s="438"/>
      <c r="AJ279" s="442">
        <v>1</v>
      </c>
      <c r="AK279" s="442">
        <f>[1]RONET_Input!AF250</f>
        <v>4</v>
      </c>
      <c r="AL279" s="507"/>
      <c r="AM279" s="507"/>
      <c r="AN279" s="507"/>
      <c r="AO279" s="507"/>
      <c r="AP279" s="507"/>
      <c r="AQ279" s="507"/>
      <c r="AR279" s="507"/>
      <c r="AS279" s="507"/>
      <c r="AT279" s="507"/>
      <c r="AU279" s="507"/>
      <c r="AV279" s="507"/>
      <c r="AW279" s="507"/>
      <c r="AX279" s="508"/>
      <c r="AY279" s="509">
        <f>[1]RONET_Input!AG250</f>
        <v>3</v>
      </c>
      <c r="AZ279" s="359" t="s">
        <v>321</v>
      </c>
      <c r="BA279" s="360" t="s">
        <v>502</v>
      </c>
      <c r="BB279" s="360" t="s">
        <v>443</v>
      </c>
      <c r="BC279" s="510">
        <v>0.46392840895300902</v>
      </c>
      <c r="BD279" s="510">
        <v>5.0049999999999997E-2</v>
      </c>
      <c r="BE279" s="438">
        <v>5</v>
      </c>
      <c r="BF279" s="511">
        <v>3.9179942316635867</v>
      </c>
      <c r="BG279" s="512">
        <v>0.42268506845120773</v>
      </c>
      <c r="BH279" s="512">
        <v>8.4452561129112436</v>
      </c>
      <c r="BI279" s="513">
        <v>0</v>
      </c>
      <c r="BJ279" s="514">
        <v>375</v>
      </c>
      <c r="BK279" s="515">
        <v>0.22366666666666665</v>
      </c>
      <c r="BL279" s="512">
        <v>1.2687352842246378</v>
      </c>
      <c r="BM279" s="516">
        <v>3.2054071874999999E-2</v>
      </c>
      <c r="BN279" s="517">
        <v>375</v>
      </c>
      <c r="BO279" s="518">
        <v>397.50000000000011</v>
      </c>
      <c r="BP279" s="518">
        <v>421.34999999999991</v>
      </c>
      <c r="BQ279" s="518">
        <v>446.63099999999997</v>
      </c>
      <c r="BR279" s="518">
        <v>473.42885999999999</v>
      </c>
      <c r="BS279" s="518">
        <v>501.83459160000012</v>
      </c>
      <c r="BT279" s="518">
        <v>531.9446670960001</v>
      </c>
      <c r="BU279" s="518">
        <v>563.86134712175999</v>
      </c>
      <c r="BV279" s="518">
        <v>597.69302794906582</v>
      </c>
      <c r="BW279" s="518">
        <v>633.55460962600955</v>
      </c>
      <c r="BX279" s="518">
        <v>671.56788620357008</v>
      </c>
      <c r="BY279" s="518">
        <v>711.86195937578441</v>
      </c>
      <c r="BZ279" s="518">
        <v>754.57367693833146</v>
      </c>
      <c r="CA279" s="518">
        <v>799.84809755463141</v>
      </c>
      <c r="CB279" s="518">
        <v>847.83898340790915</v>
      </c>
      <c r="CC279" s="518">
        <v>898.70932241238381</v>
      </c>
      <c r="CD279" s="518">
        <v>952.63188175712685</v>
      </c>
      <c r="CE279" s="518">
        <v>1009.7897946625544</v>
      </c>
      <c r="CF279" s="518">
        <v>1070.3771823423076</v>
      </c>
      <c r="CG279" s="519">
        <v>1134.5998132828461</v>
      </c>
      <c r="CH279" s="520">
        <v>7.1849999999999996</v>
      </c>
      <c r="CI279" s="521">
        <v>7.3286999999999995</v>
      </c>
      <c r="CJ279" s="521">
        <v>7.4752739999999998</v>
      </c>
      <c r="CK279" s="521">
        <v>7.6247794799999999</v>
      </c>
      <c r="CL279" s="521">
        <v>2.5</v>
      </c>
      <c r="CM279" s="521">
        <v>2.5499999999999998</v>
      </c>
      <c r="CN279" s="521">
        <v>2.601</v>
      </c>
      <c r="CO279" s="521">
        <v>2.6530200000000002</v>
      </c>
      <c r="CP279" s="521">
        <v>2.7060804000000003</v>
      </c>
      <c r="CQ279" s="521">
        <v>2.7602020080000003</v>
      </c>
      <c r="CR279" s="521">
        <v>2.8154060481600003</v>
      </c>
      <c r="CS279" s="521">
        <v>2.8717141691232002</v>
      </c>
      <c r="CT279" s="521">
        <v>2.5</v>
      </c>
      <c r="CU279" s="521">
        <v>2.5499999999999998</v>
      </c>
      <c r="CV279" s="521">
        <v>2.601</v>
      </c>
      <c r="CW279" s="521">
        <v>2.6530200000000002</v>
      </c>
      <c r="CX279" s="521">
        <v>2.7060804000000003</v>
      </c>
      <c r="CY279" s="521">
        <v>2.7602020080000003</v>
      </c>
      <c r="CZ279" s="521">
        <v>2.8154060481600003</v>
      </c>
      <c r="DA279" s="522">
        <v>2.8717141691232002</v>
      </c>
      <c r="DB279" s="523">
        <v>0</v>
      </c>
      <c r="DC279" s="524">
        <v>0</v>
      </c>
      <c r="DD279" s="524">
        <v>0</v>
      </c>
      <c r="DE279" s="524">
        <v>0</v>
      </c>
      <c r="DF279" s="524">
        <v>-0.33389687467409468</v>
      </c>
      <c r="DG279" s="524">
        <v>9.755251831677314E-2</v>
      </c>
      <c r="DH279" s="524">
        <v>0.10778966656418443</v>
      </c>
      <c r="DI279" s="524">
        <v>0.1190885554675124</v>
      </c>
      <c r="DJ279" s="524">
        <v>0.13155848855214558</v>
      </c>
      <c r="DK279" s="524">
        <v>6.3257345521275345</v>
      </c>
      <c r="DL279" s="524">
        <v>1.5950793664185614E-3</v>
      </c>
      <c r="DM279" s="524">
        <v>1.1489595080411696E-3</v>
      </c>
      <c r="DN279" s="524">
        <v>-0.41631957292252331</v>
      </c>
      <c r="DO279" s="524">
        <v>5.8214442313171411E-3</v>
      </c>
      <c r="DP279" s="524">
        <v>5.7470441140567985E-3</v>
      </c>
      <c r="DQ279" s="524">
        <v>5.6258029443281288E-3</v>
      </c>
      <c r="DR279" s="524">
        <v>5.4506865193164611E-3</v>
      </c>
      <c r="DS279" s="524">
        <v>0.85342949060072848</v>
      </c>
      <c r="DT279" s="524">
        <v>9.2606316861310045E-3</v>
      </c>
      <c r="DU279" s="525">
        <v>9.4181440261651428E-3</v>
      </c>
      <c r="DV279" s="526">
        <v>3.5</v>
      </c>
      <c r="DW279" s="507">
        <v>1</v>
      </c>
      <c r="DX279" s="509">
        <v>7.1849999999999996</v>
      </c>
      <c r="DY279" s="507">
        <v>2</v>
      </c>
      <c r="DZ279" s="507">
        <v>10</v>
      </c>
      <c r="EA279" s="507">
        <v>0</v>
      </c>
      <c r="EB279" s="507">
        <v>0</v>
      </c>
      <c r="EC279" s="507">
        <v>111.62500000000001</v>
      </c>
      <c r="ED279" s="507">
        <v>102.18750000000001</v>
      </c>
      <c r="EE279" s="507">
        <v>0</v>
      </c>
      <c r="EF279" s="507">
        <v>25.062499999999996</v>
      </c>
      <c r="EG279" s="507">
        <v>29.3125</v>
      </c>
      <c r="EH279" s="507">
        <v>12.8125</v>
      </c>
      <c r="EI279" s="507">
        <v>16.6875</v>
      </c>
      <c r="EJ279" s="507">
        <v>56.4375</v>
      </c>
      <c r="EK279" s="507">
        <v>10.4375</v>
      </c>
      <c r="EL279" s="507">
        <v>10.4375</v>
      </c>
      <c r="EM279" s="508">
        <v>375</v>
      </c>
    </row>
  </sheetData>
  <autoFilter ref="A30:EN27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/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3" t="s">
        <v>129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5"/>
      <c r="AY2" s="5"/>
      <c r="AZ2" s="6" t="s">
        <v>351</v>
      </c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153" t="s">
        <v>352</v>
      </c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2"/>
    </row>
    <row r="3" spans="2:272" x14ac:dyDescent="0.25">
      <c r="B3" s="8" t="s">
        <v>30</v>
      </c>
      <c r="C3" s="9" t="s">
        <v>331</v>
      </c>
      <c r="D3" s="10"/>
      <c r="E3" s="9" t="s">
        <v>57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9" t="s">
        <v>74</v>
      </c>
      <c r="Q3" s="10"/>
      <c r="R3" s="10"/>
      <c r="S3" s="10"/>
      <c r="T3" s="10"/>
      <c r="U3" s="10"/>
      <c r="V3" s="10"/>
      <c r="W3" s="10"/>
      <c r="X3" s="10"/>
      <c r="Y3" s="10"/>
      <c r="Z3" s="11"/>
      <c r="AA3" s="12" t="s">
        <v>81</v>
      </c>
      <c r="AB3" s="13"/>
      <c r="AC3" s="14"/>
      <c r="AD3" s="12" t="s">
        <v>75</v>
      </c>
      <c r="AE3" s="10"/>
      <c r="AF3" s="10"/>
      <c r="AG3" s="10"/>
      <c r="AH3" s="13"/>
      <c r="AI3" s="10"/>
      <c r="AJ3" s="10"/>
      <c r="AK3" s="15"/>
      <c r="AL3" s="13" t="s">
        <v>99</v>
      </c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4"/>
      <c r="AX3" s="13"/>
      <c r="AY3" s="296" t="s">
        <v>60</v>
      </c>
      <c r="AZ3" s="16" t="s">
        <v>128</v>
      </c>
      <c r="BA3" s="17"/>
      <c r="BB3" s="17"/>
      <c r="BC3" s="17"/>
      <c r="BD3" s="17"/>
      <c r="BE3" s="17"/>
      <c r="BF3" s="17"/>
      <c r="BG3" s="17"/>
      <c r="BH3" s="17"/>
      <c r="BI3" s="17"/>
      <c r="BJ3" s="18"/>
      <c r="BK3" s="18"/>
      <c r="BL3" s="18"/>
      <c r="BM3" s="18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20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20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20"/>
      <c r="DV3" s="16" t="s">
        <v>161</v>
      </c>
      <c r="DW3" s="17"/>
      <c r="DX3" s="17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4"/>
    </row>
    <row r="4" spans="2:272" x14ac:dyDescent="0.25">
      <c r="B4" s="21" t="s">
        <v>330</v>
      </c>
      <c r="C4" s="22"/>
      <c r="D4" s="23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6"/>
      <c r="Q4" s="27" t="s">
        <v>36</v>
      </c>
      <c r="R4" s="25"/>
      <c r="S4" s="25"/>
      <c r="T4" s="25"/>
      <c r="U4" s="25"/>
      <c r="V4" s="25"/>
      <c r="W4" s="25"/>
      <c r="X4" s="25"/>
      <c r="Y4" s="25"/>
      <c r="Z4" s="24"/>
      <c r="AA4" s="22"/>
      <c r="AB4" s="24"/>
      <c r="AC4" s="23"/>
      <c r="AD4" s="26" t="s">
        <v>64</v>
      </c>
      <c r="AE4" s="82"/>
      <c r="AF4" s="13" t="s">
        <v>285</v>
      </c>
      <c r="AG4" s="14"/>
      <c r="AH4" s="129" t="s">
        <v>284</v>
      </c>
      <c r="AI4" s="82"/>
      <c r="AJ4" s="202" t="s">
        <v>495</v>
      </c>
      <c r="AK4" s="147"/>
      <c r="AL4" s="12" t="s">
        <v>100</v>
      </c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4"/>
      <c r="AX4" s="14"/>
      <c r="AY4" s="296" t="s">
        <v>497</v>
      </c>
      <c r="AZ4" s="16" t="s">
        <v>126</v>
      </c>
      <c r="BA4" s="17"/>
      <c r="BB4" s="17"/>
      <c r="BC4" s="17"/>
      <c r="BD4" s="17"/>
      <c r="BE4" s="31"/>
      <c r="BF4" s="32" t="s">
        <v>124</v>
      </c>
      <c r="BG4" s="33"/>
      <c r="BH4" s="13"/>
      <c r="BI4" s="33"/>
      <c r="BJ4" s="32" t="s">
        <v>281</v>
      </c>
      <c r="BK4" s="33"/>
      <c r="BL4" s="33"/>
      <c r="BM4" s="34"/>
      <c r="BN4" s="13" t="s">
        <v>381</v>
      </c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4"/>
      <c r="CH4" s="13" t="s">
        <v>130</v>
      </c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4"/>
      <c r="DB4" s="13" t="s">
        <v>402</v>
      </c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4"/>
      <c r="DV4" s="154" t="s">
        <v>380</v>
      </c>
      <c r="DW4" s="154"/>
      <c r="DX4" s="13"/>
      <c r="DY4" s="29"/>
      <c r="DZ4" s="30"/>
      <c r="EA4" s="108" t="s">
        <v>100</v>
      </c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9"/>
    </row>
    <row r="5" spans="2:272" x14ac:dyDescent="0.25">
      <c r="B5" s="21" t="s">
        <v>48</v>
      </c>
      <c r="C5" s="35" t="s">
        <v>30</v>
      </c>
      <c r="D5" s="36" t="s">
        <v>30</v>
      </c>
      <c r="E5" s="37" t="s">
        <v>32</v>
      </c>
      <c r="F5" s="38" t="s">
        <v>31</v>
      </c>
      <c r="G5" s="38"/>
      <c r="H5" s="38"/>
      <c r="I5" s="38"/>
      <c r="J5" s="39" t="s">
        <v>51</v>
      </c>
      <c r="K5" s="39" t="s">
        <v>52</v>
      </c>
      <c r="L5" s="39" t="s">
        <v>51</v>
      </c>
      <c r="M5" s="39" t="s">
        <v>51</v>
      </c>
      <c r="N5" s="40" t="s">
        <v>52</v>
      </c>
      <c r="O5" s="40" t="s">
        <v>52</v>
      </c>
      <c r="P5" s="41"/>
      <c r="Q5" s="42" t="s">
        <v>310</v>
      </c>
      <c r="R5" s="43" t="s">
        <v>59</v>
      </c>
      <c r="S5" s="52" t="s">
        <v>346</v>
      </c>
      <c r="T5" s="40" t="s">
        <v>60</v>
      </c>
      <c r="U5" s="42" t="s">
        <v>30</v>
      </c>
      <c r="V5" s="42" t="s">
        <v>136</v>
      </c>
      <c r="W5" s="42" t="s">
        <v>103</v>
      </c>
      <c r="X5" s="42" t="s">
        <v>102</v>
      </c>
      <c r="Y5" s="42" t="s">
        <v>30</v>
      </c>
      <c r="Z5" s="177" t="s">
        <v>33</v>
      </c>
      <c r="AA5" s="35" t="s">
        <v>41</v>
      </c>
      <c r="AB5" s="38" t="s">
        <v>42</v>
      </c>
      <c r="AC5" s="36" t="s">
        <v>44</v>
      </c>
      <c r="AD5" s="41" t="s">
        <v>6</v>
      </c>
      <c r="AE5" s="70"/>
      <c r="AF5" s="39" t="s">
        <v>70</v>
      </c>
      <c r="AG5" s="45" t="s">
        <v>160</v>
      </c>
      <c r="AH5" s="112" t="s">
        <v>72</v>
      </c>
      <c r="AI5" s="148" t="s">
        <v>64</v>
      </c>
      <c r="AJ5" s="203" t="s">
        <v>6</v>
      </c>
      <c r="AK5" s="65" t="s">
        <v>60</v>
      </c>
      <c r="AL5" s="144" t="s">
        <v>162</v>
      </c>
      <c r="AM5" s="43" t="s">
        <v>93</v>
      </c>
      <c r="AN5" s="54" t="s">
        <v>95</v>
      </c>
      <c r="AO5" s="54" t="s">
        <v>163</v>
      </c>
      <c r="AP5" s="54" t="s">
        <v>164</v>
      </c>
      <c r="AQ5" s="54" t="s">
        <v>165</v>
      </c>
      <c r="AR5" s="54" t="s">
        <v>95</v>
      </c>
      <c r="AS5" s="54" t="s">
        <v>166</v>
      </c>
      <c r="AT5" s="54" t="s">
        <v>98</v>
      </c>
      <c r="AU5" s="54" t="s">
        <v>93</v>
      </c>
      <c r="AV5" s="54" t="s">
        <v>95</v>
      </c>
      <c r="AW5" s="54" t="s">
        <v>96</v>
      </c>
      <c r="AX5" s="46" t="s">
        <v>131</v>
      </c>
      <c r="AY5" s="296" t="s">
        <v>498</v>
      </c>
      <c r="AZ5" s="48" t="s">
        <v>250</v>
      </c>
      <c r="BA5" s="49" t="s">
        <v>250</v>
      </c>
      <c r="BB5" s="49" t="s">
        <v>250</v>
      </c>
      <c r="BC5" s="49" t="s">
        <v>207</v>
      </c>
      <c r="BD5" s="49" t="s">
        <v>207</v>
      </c>
      <c r="BE5" s="50" t="s">
        <v>127</v>
      </c>
      <c r="BF5" s="51"/>
      <c r="BG5" s="52" t="s">
        <v>122</v>
      </c>
      <c r="BH5" s="52" t="s">
        <v>122</v>
      </c>
      <c r="BI5" s="52"/>
      <c r="BJ5" s="179" t="s">
        <v>131</v>
      </c>
      <c r="BK5" s="161" t="s">
        <v>135</v>
      </c>
      <c r="BL5" s="161" t="s">
        <v>92</v>
      </c>
      <c r="BM5" s="162" t="s">
        <v>133</v>
      </c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8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8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8"/>
      <c r="DV5" s="69" t="s">
        <v>59</v>
      </c>
      <c r="DW5" s="69" t="s">
        <v>33</v>
      </c>
      <c r="DX5" s="28"/>
      <c r="DY5" s="24" t="s">
        <v>160</v>
      </c>
      <c r="DZ5" s="111" t="s">
        <v>64</v>
      </c>
      <c r="EA5" s="66" t="s">
        <v>162</v>
      </c>
      <c r="EB5" s="25" t="s">
        <v>93</v>
      </c>
      <c r="EC5" s="112" t="s">
        <v>95</v>
      </c>
      <c r="ED5" s="112" t="s">
        <v>163</v>
      </c>
      <c r="EE5" s="112" t="s">
        <v>164</v>
      </c>
      <c r="EF5" s="112" t="s">
        <v>165</v>
      </c>
      <c r="EG5" s="112" t="s">
        <v>95</v>
      </c>
      <c r="EH5" s="112" t="s">
        <v>166</v>
      </c>
      <c r="EI5" s="112" t="s">
        <v>98</v>
      </c>
      <c r="EJ5" s="112" t="s">
        <v>93</v>
      </c>
      <c r="EK5" s="112" t="s">
        <v>95</v>
      </c>
      <c r="EL5" s="112" t="s">
        <v>96</v>
      </c>
      <c r="EM5" s="111" t="s">
        <v>131</v>
      </c>
    </row>
    <row r="6" spans="2:272" x14ac:dyDescent="0.25">
      <c r="B6" s="21" t="s">
        <v>49</v>
      </c>
      <c r="C6" s="35" t="s">
        <v>36</v>
      </c>
      <c r="D6" s="36" t="s">
        <v>1</v>
      </c>
      <c r="E6" s="38" t="s">
        <v>36</v>
      </c>
      <c r="F6" s="38" t="s">
        <v>1</v>
      </c>
      <c r="G6" s="38" t="s">
        <v>327</v>
      </c>
      <c r="H6" s="38" t="s">
        <v>328</v>
      </c>
      <c r="I6" s="38" t="s">
        <v>329</v>
      </c>
      <c r="J6" s="40" t="s">
        <v>53</v>
      </c>
      <c r="K6" s="40" t="s">
        <v>53</v>
      </c>
      <c r="L6" s="39" t="s">
        <v>55</v>
      </c>
      <c r="M6" s="39" t="s">
        <v>56</v>
      </c>
      <c r="N6" s="40" t="s">
        <v>55</v>
      </c>
      <c r="O6" s="40" t="s">
        <v>56</v>
      </c>
      <c r="P6" s="41" t="s">
        <v>17</v>
      </c>
      <c r="Q6" s="42" t="s">
        <v>34</v>
      </c>
      <c r="R6" s="43" t="s">
        <v>13</v>
      </c>
      <c r="S6" s="52" t="s">
        <v>13</v>
      </c>
      <c r="T6" s="40" t="s">
        <v>61</v>
      </c>
      <c r="U6" s="42" t="s">
        <v>34</v>
      </c>
      <c r="V6" s="42" t="s">
        <v>34</v>
      </c>
      <c r="W6" s="42" t="s">
        <v>34</v>
      </c>
      <c r="X6" s="42" t="s">
        <v>34</v>
      </c>
      <c r="Y6" s="42" t="s">
        <v>0</v>
      </c>
      <c r="Z6" s="177" t="s">
        <v>0</v>
      </c>
      <c r="AA6" s="35" t="s">
        <v>42</v>
      </c>
      <c r="AB6" s="38" t="s">
        <v>43</v>
      </c>
      <c r="AC6" s="36" t="s">
        <v>42</v>
      </c>
      <c r="AD6" s="41" t="s">
        <v>34</v>
      </c>
      <c r="AE6" s="176" t="s">
        <v>12</v>
      </c>
      <c r="AF6" s="39" t="s">
        <v>68</v>
      </c>
      <c r="AG6" s="45" t="s">
        <v>36</v>
      </c>
      <c r="AH6" s="39" t="s">
        <v>73</v>
      </c>
      <c r="AI6" s="149" t="s">
        <v>71</v>
      </c>
      <c r="AJ6" s="203" t="s">
        <v>34</v>
      </c>
      <c r="AK6" s="65" t="s">
        <v>159</v>
      </c>
      <c r="AL6" s="55" t="s">
        <v>167</v>
      </c>
      <c r="AM6" s="54" t="s">
        <v>90</v>
      </c>
      <c r="AN6" s="54" t="s">
        <v>90</v>
      </c>
      <c r="AO6" s="54" t="s">
        <v>92</v>
      </c>
      <c r="AP6" s="54" t="s">
        <v>168</v>
      </c>
      <c r="AQ6" s="54" t="s">
        <v>97</v>
      </c>
      <c r="AR6" s="54" t="s">
        <v>97</v>
      </c>
      <c r="AS6" s="54" t="s">
        <v>97</v>
      </c>
      <c r="AT6" s="54" t="s">
        <v>97</v>
      </c>
      <c r="AU6" s="54" t="s">
        <v>94</v>
      </c>
      <c r="AV6" s="54" t="s">
        <v>94</v>
      </c>
      <c r="AW6" s="54" t="s">
        <v>94</v>
      </c>
      <c r="AX6" s="45" t="s">
        <v>60</v>
      </c>
      <c r="AY6" s="296" t="s">
        <v>499</v>
      </c>
      <c r="AZ6" s="48" t="s">
        <v>34</v>
      </c>
      <c r="BA6" s="49" t="s">
        <v>353</v>
      </c>
      <c r="BB6" s="49" t="s">
        <v>354</v>
      </c>
      <c r="BC6" s="49" t="s">
        <v>116</v>
      </c>
      <c r="BD6" s="49" t="s">
        <v>125</v>
      </c>
      <c r="BE6" s="53" t="s">
        <v>118</v>
      </c>
      <c r="BF6" s="51" t="s">
        <v>119</v>
      </c>
      <c r="BG6" s="52" t="s">
        <v>50</v>
      </c>
      <c r="BH6" s="52" t="s">
        <v>121</v>
      </c>
      <c r="BI6" s="52" t="s">
        <v>123</v>
      </c>
      <c r="BJ6" s="113" t="s">
        <v>60</v>
      </c>
      <c r="BK6" s="52" t="s">
        <v>68</v>
      </c>
      <c r="BL6" s="52" t="s">
        <v>132</v>
      </c>
      <c r="BM6" s="53" t="s">
        <v>134</v>
      </c>
      <c r="BN6" s="49" t="s">
        <v>118</v>
      </c>
      <c r="BO6" s="49" t="s">
        <v>118</v>
      </c>
      <c r="BP6" s="49" t="s">
        <v>118</v>
      </c>
      <c r="BQ6" s="49" t="s">
        <v>118</v>
      </c>
      <c r="BR6" s="49" t="s">
        <v>118</v>
      </c>
      <c r="BS6" s="49" t="s">
        <v>118</v>
      </c>
      <c r="BT6" s="49" t="s">
        <v>118</v>
      </c>
      <c r="BU6" s="49" t="s">
        <v>118</v>
      </c>
      <c r="BV6" s="49" t="s">
        <v>118</v>
      </c>
      <c r="BW6" s="49" t="s">
        <v>118</v>
      </c>
      <c r="BX6" s="49" t="s">
        <v>118</v>
      </c>
      <c r="BY6" s="49" t="s">
        <v>118</v>
      </c>
      <c r="BZ6" s="49" t="s">
        <v>118</v>
      </c>
      <c r="CA6" s="49" t="s">
        <v>118</v>
      </c>
      <c r="CB6" s="49" t="s">
        <v>118</v>
      </c>
      <c r="CC6" s="49" t="s">
        <v>118</v>
      </c>
      <c r="CD6" s="49" t="s">
        <v>118</v>
      </c>
      <c r="CE6" s="49" t="s">
        <v>118</v>
      </c>
      <c r="CF6" s="49" t="s">
        <v>118</v>
      </c>
      <c r="CG6" s="50" t="s">
        <v>118</v>
      </c>
      <c r="CH6" s="49" t="s">
        <v>118</v>
      </c>
      <c r="CI6" s="49" t="s">
        <v>118</v>
      </c>
      <c r="CJ6" s="49" t="s">
        <v>118</v>
      </c>
      <c r="CK6" s="49" t="s">
        <v>118</v>
      </c>
      <c r="CL6" s="49" t="s">
        <v>118</v>
      </c>
      <c r="CM6" s="49" t="s">
        <v>118</v>
      </c>
      <c r="CN6" s="49" t="s">
        <v>118</v>
      </c>
      <c r="CO6" s="49" t="s">
        <v>118</v>
      </c>
      <c r="CP6" s="49" t="s">
        <v>118</v>
      </c>
      <c r="CQ6" s="49" t="s">
        <v>118</v>
      </c>
      <c r="CR6" s="49" t="s">
        <v>118</v>
      </c>
      <c r="CS6" s="49" t="s">
        <v>118</v>
      </c>
      <c r="CT6" s="49" t="s">
        <v>118</v>
      </c>
      <c r="CU6" s="49" t="s">
        <v>118</v>
      </c>
      <c r="CV6" s="49" t="s">
        <v>118</v>
      </c>
      <c r="CW6" s="49" t="s">
        <v>118</v>
      </c>
      <c r="CX6" s="49" t="s">
        <v>118</v>
      </c>
      <c r="CY6" s="49" t="s">
        <v>118</v>
      </c>
      <c r="CZ6" s="49" t="s">
        <v>118</v>
      </c>
      <c r="DA6" s="50" t="s">
        <v>118</v>
      </c>
      <c r="DB6" s="49" t="s">
        <v>118</v>
      </c>
      <c r="DC6" s="49" t="s">
        <v>118</v>
      </c>
      <c r="DD6" s="49" t="s">
        <v>118</v>
      </c>
      <c r="DE6" s="49" t="s">
        <v>118</v>
      </c>
      <c r="DF6" s="49" t="s">
        <v>118</v>
      </c>
      <c r="DG6" s="49" t="s">
        <v>118</v>
      </c>
      <c r="DH6" s="49" t="s">
        <v>118</v>
      </c>
      <c r="DI6" s="49" t="s">
        <v>118</v>
      </c>
      <c r="DJ6" s="49" t="s">
        <v>118</v>
      </c>
      <c r="DK6" s="49" t="s">
        <v>118</v>
      </c>
      <c r="DL6" s="49" t="s">
        <v>118</v>
      </c>
      <c r="DM6" s="49" t="s">
        <v>118</v>
      </c>
      <c r="DN6" s="49" t="s">
        <v>118</v>
      </c>
      <c r="DO6" s="49" t="s">
        <v>118</v>
      </c>
      <c r="DP6" s="49" t="s">
        <v>118</v>
      </c>
      <c r="DQ6" s="49" t="s">
        <v>118</v>
      </c>
      <c r="DR6" s="49" t="s">
        <v>118</v>
      </c>
      <c r="DS6" s="49" t="s">
        <v>118</v>
      </c>
      <c r="DT6" s="49" t="s">
        <v>118</v>
      </c>
      <c r="DU6" s="50" t="s">
        <v>118</v>
      </c>
      <c r="DV6" s="70" t="s">
        <v>13</v>
      </c>
      <c r="DW6" s="70" t="s">
        <v>0</v>
      </c>
      <c r="DX6" s="44" t="s">
        <v>12</v>
      </c>
      <c r="DY6" s="39" t="s">
        <v>36</v>
      </c>
      <c r="DZ6" s="110" t="s">
        <v>71</v>
      </c>
      <c r="EA6" s="113" t="s">
        <v>167</v>
      </c>
      <c r="EB6" s="39" t="s">
        <v>90</v>
      </c>
      <c r="EC6" s="39" t="s">
        <v>90</v>
      </c>
      <c r="ED6" s="39" t="s">
        <v>92</v>
      </c>
      <c r="EE6" s="39" t="s">
        <v>168</v>
      </c>
      <c r="EF6" s="39" t="s">
        <v>97</v>
      </c>
      <c r="EG6" s="39" t="s">
        <v>97</v>
      </c>
      <c r="EH6" s="39" t="s">
        <v>97</v>
      </c>
      <c r="EI6" s="39" t="s">
        <v>97</v>
      </c>
      <c r="EJ6" s="39" t="s">
        <v>94</v>
      </c>
      <c r="EK6" s="39" t="s">
        <v>94</v>
      </c>
      <c r="EL6" s="39" t="s">
        <v>94</v>
      </c>
      <c r="EM6" s="110" t="s">
        <v>60</v>
      </c>
    </row>
    <row r="7" spans="2:272" x14ac:dyDescent="0.25">
      <c r="B7" s="21" t="s">
        <v>58</v>
      </c>
      <c r="C7" s="180" t="s">
        <v>58</v>
      </c>
      <c r="D7" s="181" t="s">
        <v>58</v>
      </c>
      <c r="E7" s="38" t="s">
        <v>38</v>
      </c>
      <c r="F7" s="37" t="s">
        <v>58</v>
      </c>
      <c r="G7" s="37" t="s">
        <v>58</v>
      </c>
      <c r="H7" s="37" t="s">
        <v>58</v>
      </c>
      <c r="I7" s="37" t="s">
        <v>58</v>
      </c>
      <c r="J7" s="40" t="s">
        <v>39</v>
      </c>
      <c r="K7" s="40" t="s">
        <v>39</v>
      </c>
      <c r="L7" s="40" t="s">
        <v>38</v>
      </c>
      <c r="M7" s="40" t="s">
        <v>38</v>
      </c>
      <c r="N7" s="40" t="s">
        <v>38</v>
      </c>
      <c r="O7" s="40" t="s">
        <v>38</v>
      </c>
      <c r="P7" s="41" t="s">
        <v>39</v>
      </c>
      <c r="Q7" s="42" t="s">
        <v>339</v>
      </c>
      <c r="R7" s="43" t="s">
        <v>35</v>
      </c>
      <c r="S7" s="52" t="s">
        <v>35</v>
      </c>
      <c r="T7" s="40" t="s">
        <v>62</v>
      </c>
      <c r="U7" s="42" t="s">
        <v>340</v>
      </c>
      <c r="V7" s="42" t="s">
        <v>63</v>
      </c>
      <c r="W7" s="42" t="s">
        <v>65</v>
      </c>
      <c r="X7" s="42" t="s">
        <v>65</v>
      </c>
      <c r="Y7" s="42" t="s">
        <v>349</v>
      </c>
      <c r="Z7" s="178" t="s">
        <v>339</v>
      </c>
      <c r="AA7" s="35" t="s">
        <v>40</v>
      </c>
      <c r="AB7" s="38" t="s">
        <v>40</v>
      </c>
      <c r="AC7" s="36" t="s">
        <v>40</v>
      </c>
      <c r="AD7" s="47" t="s">
        <v>65</v>
      </c>
      <c r="AE7" s="176" t="s">
        <v>66</v>
      </c>
      <c r="AF7" s="39" t="s">
        <v>67</v>
      </c>
      <c r="AG7" s="45" t="s">
        <v>38</v>
      </c>
      <c r="AH7" s="39" t="s">
        <v>69</v>
      </c>
      <c r="AI7" s="149" t="s">
        <v>153</v>
      </c>
      <c r="AJ7" s="298" t="s">
        <v>847</v>
      </c>
      <c r="AK7" s="65" t="s">
        <v>115</v>
      </c>
      <c r="AL7" s="144" t="s">
        <v>101</v>
      </c>
      <c r="AM7" s="43" t="s">
        <v>101</v>
      </c>
      <c r="AN7" s="43" t="s">
        <v>101</v>
      </c>
      <c r="AO7" s="43" t="s">
        <v>101</v>
      </c>
      <c r="AP7" s="43" t="s">
        <v>101</v>
      </c>
      <c r="AQ7" s="43" t="s">
        <v>101</v>
      </c>
      <c r="AR7" s="43" t="s">
        <v>101</v>
      </c>
      <c r="AS7" s="43" t="s">
        <v>101</v>
      </c>
      <c r="AT7" s="43" t="s">
        <v>101</v>
      </c>
      <c r="AU7" s="43" t="s">
        <v>101</v>
      </c>
      <c r="AV7" s="43" t="s">
        <v>101</v>
      </c>
      <c r="AW7" s="43" t="s">
        <v>101</v>
      </c>
      <c r="AX7" s="182" t="s">
        <v>101</v>
      </c>
      <c r="AY7" s="297" t="s">
        <v>65</v>
      </c>
      <c r="AZ7" s="48" t="s">
        <v>58</v>
      </c>
      <c r="BA7" s="49" t="s">
        <v>58</v>
      </c>
      <c r="BB7" s="49" t="s">
        <v>58</v>
      </c>
      <c r="BC7" s="49" t="s">
        <v>251</v>
      </c>
      <c r="BD7" s="49" t="s">
        <v>117</v>
      </c>
      <c r="BE7" s="53" t="s">
        <v>38</v>
      </c>
      <c r="BF7" s="48" t="s">
        <v>251</v>
      </c>
      <c r="BG7" s="52" t="s">
        <v>120</v>
      </c>
      <c r="BH7" s="52" t="s">
        <v>38</v>
      </c>
      <c r="BI7" s="52" t="s">
        <v>67</v>
      </c>
      <c r="BJ7" s="67" t="s">
        <v>101</v>
      </c>
      <c r="BK7" s="52" t="s">
        <v>67</v>
      </c>
      <c r="BL7" s="52" t="s">
        <v>252</v>
      </c>
      <c r="BM7" s="53" t="s">
        <v>253</v>
      </c>
      <c r="BN7" s="40">
        <v>1</v>
      </c>
      <c r="BO7" s="40">
        <v>2</v>
      </c>
      <c r="BP7" s="40">
        <v>3</v>
      </c>
      <c r="BQ7" s="40">
        <v>4</v>
      </c>
      <c r="BR7" s="40">
        <v>5</v>
      </c>
      <c r="BS7" s="40">
        <v>6</v>
      </c>
      <c r="BT7" s="40">
        <v>7</v>
      </c>
      <c r="BU7" s="40">
        <v>8</v>
      </c>
      <c r="BV7" s="40">
        <v>9</v>
      </c>
      <c r="BW7" s="40">
        <v>10</v>
      </c>
      <c r="BX7" s="40">
        <v>11</v>
      </c>
      <c r="BY7" s="40">
        <v>12</v>
      </c>
      <c r="BZ7" s="40">
        <v>13</v>
      </c>
      <c r="CA7" s="40">
        <v>14</v>
      </c>
      <c r="CB7" s="40">
        <v>15</v>
      </c>
      <c r="CC7" s="40">
        <v>16</v>
      </c>
      <c r="CD7" s="40">
        <v>17</v>
      </c>
      <c r="CE7" s="40">
        <v>18</v>
      </c>
      <c r="CF7" s="40">
        <v>19</v>
      </c>
      <c r="CG7" s="44">
        <v>20</v>
      </c>
      <c r="CH7" s="40">
        <v>1</v>
      </c>
      <c r="CI7" s="40">
        <v>2</v>
      </c>
      <c r="CJ7" s="40">
        <v>3</v>
      </c>
      <c r="CK7" s="40">
        <v>4</v>
      </c>
      <c r="CL7" s="40">
        <v>5</v>
      </c>
      <c r="CM7" s="40">
        <v>6</v>
      </c>
      <c r="CN7" s="40">
        <v>7</v>
      </c>
      <c r="CO7" s="40">
        <v>8</v>
      </c>
      <c r="CP7" s="40">
        <v>9</v>
      </c>
      <c r="CQ7" s="40">
        <v>10</v>
      </c>
      <c r="CR7" s="40">
        <v>11</v>
      </c>
      <c r="CS7" s="40">
        <v>12</v>
      </c>
      <c r="CT7" s="40">
        <v>13</v>
      </c>
      <c r="CU7" s="40">
        <v>14</v>
      </c>
      <c r="CV7" s="40">
        <v>15</v>
      </c>
      <c r="CW7" s="40">
        <v>16</v>
      </c>
      <c r="CX7" s="40">
        <v>17</v>
      </c>
      <c r="CY7" s="40">
        <v>18</v>
      </c>
      <c r="CZ7" s="40">
        <v>19</v>
      </c>
      <c r="DA7" s="44">
        <v>20</v>
      </c>
      <c r="DB7" s="40">
        <v>1</v>
      </c>
      <c r="DC7" s="40">
        <v>2</v>
      </c>
      <c r="DD7" s="40">
        <v>3</v>
      </c>
      <c r="DE7" s="40">
        <v>4</v>
      </c>
      <c r="DF7" s="40">
        <v>5</v>
      </c>
      <c r="DG7" s="40">
        <v>6</v>
      </c>
      <c r="DH7" s="40">
        <v>7</v>
      </c>
      <c r="DI7" s="40">
        <v>8</v>
      </c>
      <c r="DJ7" s="40">
        <v>9</v>
      </c>
      <c r="DK7" s="40">
        <v>10</v>
      </c>
      <c r="DL7" s="40">
        <v>11</v>
      </c>
      <c r="DM7" s="40">
        <v>12</v>
      </c>
      <c r="DN7" s="40">
        <v>13</v>
      </c>
      <c r="DO7" s="40">
        <v>14</v>
      </c>
      <c r="DP7" s="40">
        <v>15</v>
      </c>
      <c r="DQ7" s="40">
        <v>16</v>
      </c>
      <c r="DR7" s="40">
        <v>17</v>
      </c>
      <c r="DS7" s="40">
        <v>18</v>
      </c>
      <c r="DT7" s="40">
        <v>19</v>
      </c>
      <c r="DU7" s="44">
        <v>20</v>
      </c>
      <c r="DV7" s="70" t="s">
        <v>35</v>
      </c>
      <c r="DW7" s="70" t="s">
        <v>65</v>
      </c>
      <c r="DX7" s="44" t="s">
        <v>66</v>
      </c>
      <c r="DY7" s="39" t="s">
        <v>38</v>
      </c>
      <c r="DZ7" s="110" t="s">
        <v>38</v>
      </c>
      <c r="EA7" s="67" t="s">
        <v>101</v>
      </c>
      <c r="EB7" s="40" t="s">
        <v>101</v>
      </c>
      <c r="EC7" s="40" t="s">
        <v>101</v>
      </c>
      <c r="ED7" s="40" t="s">
        <v>101</v>
      </c>
      <c r="EE7" s="40" t="s">
        <v>101</v>
      </c>
      <c r="EF7" s="40" t="s">
        <v>101</v>
      </c>
      <c r="EG7" s="40" t="s">
        <v>101</v>
      </c>
      <c r="EH7" s="40" t="s">
        <v>101</v>
      </c>
      <c r="EI7" s="40" t="s">
        <v>101</v>
      </c>
      <c r="EJ7" s="40" t="s">
        <v>101</v>
      </c>
      <c r="EK7" s="40" t="s">
        <v>101</v>
      </c>
      <c r="EL7" s="40" t="s">
        <v>101</v>
      </c>
      <c r="EM7" s="44" t="s">
        <v>101</v>
      </c>
    </row>
    <row r="8" spans="2:272" x14ac:dyDescent="0.25">
      <c r="B8" s="183" t="s">
        <v>850</v>
      </c>
      <c r="C8" s="15">
        <v>248</v>
      </c>
      <c r="D8" s="30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131">
        <v>9.2692988801800009</v>
      </c>
      <c r="Q8" s="129">
        <v>2</v>
      </c>
      <c r="R8" s="129">
        <v>3.5</v>
      </c>
      <c r="S8" s="129"/>
      <c r="T8" s="129"/>
      <c r="U8" s="129">
        <v>8</v>
      </c>
      <c r="V8" s="129">
        <v>1</v>
      </c>
      <c r="W8" s="129">
        <v>1</v>
      </c>
      <c r="X8" s="129">
        <v>4</v>
      </c>
      <c r="Y8" s="129">
        <v>1</v>
      </c>
      <c r="Z8" s="130">
        <v>1</v>
      </c>
      <c r="AA8" s="131"/>
      <c r="AB8" s="129"/>
      <c r="AC8" s="129"/>
      <c r="AD8" s="131">
        <v>3</v>
      </c>
      <c r="AE8" s="129">
        <v>7.1849999999999996</v>
      </c>
      <c r="AF8" s="129"/>
      <c r="AG8" s="129"/>
      <c r="AH8" s="129"/>
      <c r="AI8" s="129"/>
      <c r="AJ8" s="130">
        <v>1</v>
      </c>
      <c r="AK8" s="129">
        <v>4</v>
      </c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5"/>
      <c r="AY8" s="185">
        <v>3</v>
      </c>
      <c r="AZ8" s="15" t="s">
        <v>321</v>
      </c>
      <c r="BA8" s="29" t="s">
        <v>502</v>
      </c>
      <c r="BB8" s="29" t="s">
        <v>443</v>
      </c>
      <c r="BC8" s="233">
        <v>0.46392840895300902</v>
      </c>
      <c r="BD8" s="233">
        <v>5.0049999999999997E-2</v>
      </c>
      <c r="BE8" s="130">
        <v>5</v>
      </c>
      <c r="BF8" s="234">
        <v>3.9179942316635867</v>
      </c>
      <c r="BG8" s="235">
        <v>0.42268506845120773</v>
      </c>
      <c r="BH8" s="235">
        <v>8.4452561129112436</v>
      </c>
      <c r="BI8" s="236">
        <v>0</v>
      </c>
      <c r="BJ8" s="237">
        <v>375</v>
      </c>
      <c r="BK8" s="238">
        <v>0.22366666666666665</v>
      </c>
      <c r="BL8" s="235">
        <v>1.2687352842246378</v>
      </c>
      <c r="BM8" s="239">
        <v>3.2054071874999999E-2</v>
      </c>
      <c r="BN8" s="240">
        <v>375</v>
      </c>
      <c r="BO8" s="184">
        <v>397.50000000000011</v>
      </c>
      <c r="BP8" s="184">
        <v>421.34999999999991</v>
      </c>
      <c r="BQ8" s="184">
        <v>446.63099999999997</v>
      </c>
      <c r="BR8" s="184">
        <v>473.42885999999999</v>
      </c>
      <c r="BS8" s="184">
        <v>501.83459160000012</v>
      </c>
      <c r="BT8" s="184">
        <v>531.9446670960001</v>
      </c>
      <c r="BU8" s="184">
        <v>563.86134712175999</v>
      </c>
      <c r="BV8" s="184">
        <v>597.69302794906582</v>
      </c>
      <c r="BW8" s="184">
        <v>633.55460962600955</v>
      </c>
      <c r="BX8" s="184">
        <v>671.56788620357008</v>
      </c>
      <c r="BY8" s="184">
        <v>711.86195937578441</v>
      </c>
      <c r="BZ8" s="184">
        <v>754.57367693833146</v>
      </c>
      <c r="CA8" s="184">
        <v>799.84809755463141</v>
      </c>
      <c r="CB8" s="184">
        <v>847.83898340790915</v>
      </c>
      <c r="CC8" s="184">
        <v>898.70932241238381</v>
      </c>
      <c r="CD8" s="184">
        <v>952.63188175712685</v>
      </c>
      <c r="CE8" s="184">
        <v>1009.7897946625544</v>
      </c>
      <c r="CF8" s="184">
        <v>1070.3771823423076</v>
      </c>
      <c r="CG8" s="185">
        <v>1134.5998132828461</v>
      </c>
      <c r="CH8" s="241">
        <v>7.1849999999999996</v>
      </c>
      <c r="CI8" s="242">
        <v>7.3286999999999995</v>
      </c>
      <c r="CJ8" s="242">
        <v>7.4752739999999998</v>
      </c>
      <c r="CK8" s="242">
        <v>7.6247794799999999</v>
      </c>
      <c r="CL8" s="242">
        <v>2.5</v>
      </c>
      <c r="CM8" s="242">
        <v>2.5499999999999998</v>
      </c>
      <c r="CN8" s="242">
        <v>2.601</v>
      </c>
      <c r="CO8" s="242">
        <v>2.6530200000000002</v>
      </c>
      <c r="CP8" s="242">
        <v>2.7060804000000003</v>
      </c>
      <c r="CQ8" s="242">
        <v>2.7602020080000003</v>
      </c>
      <c r="CR8" s="242">
        <v>2.8154060481600003</v>
      </c>
      <c r="CS8" s="242">
        <v>2.8717141691232002</v>
      </c>
      <c r="CT8" s="242">
        <v>2.5</v>
      </c>
      <c r="CU8" s="242">
        <v>2.5499999999999998</v>
      </c>
      <c r="CV8" s="242">
        <v>2.601</v>
      </c>
      <c r="CW8" s="242">
        <v>2.6530200000000002</v>
      </c>
      <c r="CX8" s="242">
        <v>2.7060804000000003</v>
      </c>
      <c r="CY8" s="242">
        <v>2.7602020080000003</v>
      </c>
      <c r="CZ8" s="242">
        <v>2.8154060481600003</v>
      </c>
      <c r="DA8" s="243">
        <v>2.8717141691232002</v>
      </c>
      <c r="DB8" s="234">
        <v>0</v>
      </c>
      <c r="DC8" s="235">
        <v>0</v>
      </c>
      <c r="DD8" s="235">
        <v>0</v>
      </c>
      <c r="DE8" s="235">
        <v>0</v>
      </c>
      <c r="DF8" s="235">
        <v>-0.33389687467409468</v>
      </c>
      <c r="DG8" s="235">
        <v>9.755251831677314E-2</v>
      </c>
      <c r="DH8" s="235">
        <v>0.10778966656418443</v>
      </c>
      <c r="DI8" s="235">
        <v>0.1190885554675124</v>
      </c>
      <c r="DJ8" s="235">
        <v>0.13155848855214558</v>
      </c>
      <c r="DK8" s="235">
        <v>6.3257345521275345</v>
      </c>
      <c r="DL8" s="235">
        <v>1.5950793664185614E-3</v>
      </c>
      <c r="DM8" s="235">
        <v>1.1489595080411696E-3</v>
      </c>
      <c r="DN8" s="235">
        <v>-0.41631957292252331</v>
      </c>
      <c r="DO8" s="235">
        <v>5.8214442313171411E-3</v>
      </c>
      <c r="DP8" s="235">
        <v>5.7470441140567985E-3</v>
      </c>
      <c r="DQ8" s="235">
        <v>5.6258029443281288E-3</v>
      </c>
      <c r="DR8" s="235">
        <v>5.4506865193164611E-3</v>
      </c>
      <c r="DS8" s="235">
        <v>0.85342949060072848</v>
      </c>
      <c r="DT8" s="235">
        <v>9.2606316861310045E-3</v>
      </c>
      <c r="DU8" s="239">
        <v>9.4181440261651428E-3</v>
      </c>
      <c r="DV8" s="244">
        <v>3.5</v>
      </c>
      <c r="DW8" s="184">
        <v>1</v>
      </c>
      <c r="DX8" s="186">
        <v>7.1849999999999996</v>
      </c>
      <c r="DY8" s="184">
        <v>2</v>
      </c>
      <c r="DZ8" s="184">
        <v>10</v>
      </c>
      <c r="EA8" s="184">
        <v>0</v>
      </c>
      <c r="EB8" s="184">
        <v>0</v>
      </c>
      <c r="EC8" s="184">
        <v>111.62500000000001</v>
      </c>
      <c r="ED8" s="184">
        <v>102.18750000000001</v>
      </c>
      <c r="EE8" s="184">
        <v>0</v>
      </c>
      <c r="EF8" s="184">
        <v>25.062499999999996</v>
      </c>
      <c r="EG8" s="184">
        <v>29.3125</v>
      </c>
      <c r="EH8" s="184">
        <v>12.8125</v>
      </c>
      <c r="EI8" s="184">
        <v>16.6875</v>
      </c>
      <c r="EJ8" s="184">
        <v>56.4375</v>
      </c>
      <c r="EK8" s="184">
        <v>10.4375</v>
      </c>
      <c r="EL8" s="184">
        <v>10.4375</v>
      </c>
      <c r="EM8" s="185">
        <v>375</v>
      </c>
    </row>
    <row r="9" spans="2:272" x14ac:dyDescent="0.25">
      <c r="B9" s="38"/>
      <c r="C9" s="37"/>
      <c r="D9" s="37"/>
      <c r="E9" s="38"/>
      <c r="F9" s="37"/>
      <c r="G9" s="37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39"/>
      <c r="V9" s="38"/>
      <c r="W9" s="38"/>
      <c r="X9" s="38"/>
      <c r="Y9" s="39"/>
      <c r="Z9" s="40"/>
      <c r="AA9" s="39"/>
      <c r="AB9" s="39"/>
      <c r="AC9" s="39"/>
      <c r="AD9" s="39"/>
      <c r="AE9" s="39"/>
      <c r="AF9" s="40"/>
      <c r="AG9" s="40"/>
      <c r="AH9" s="40"/>
      <c r="AI9" s="40"/>
      <c r="AK9" s="40"/>
      <c r="AL9" s="40"/>
      <c r="AM9" s="40"/>
      <c r="AN9" s="40"/>
      <c r="AO9" s="40"/>
      <c r="AP9" s="40"/>
      <c r="AQ9" s="40"/>
      <c r="AR9" s="40"/>
      <c r="AS9" s="38"/>
      <c r="AT9" s="38"/>
      <c r="AU9" s="38"/>
      <c r="AV9" s="38"/>
      <c r="AW9" s="38"/>
      <c r="AX9" s="38"/>
      <c r="AZ9" s="38"/>
      <c r="BA9" s="38"/>
      <c r="BB9" s="38"/>
      <c r="BC9" s="38"/>
      <c r="BD9" s="38"/>
      <c r="BE9" s="38"/>
      <c r="BF9" s="38"/>
      <c r="BG9" s="38"/>
      <c r="BH9" s="38"/>
    </row>
    <row r="10" spans="2:272" ht="13.8" customHeight="1" x14ac:dyDescent="0.25"/>
    <row r="11" spans="2:272" ht="13.8" customHeight="1" x14ac:dyDescent="0.25">
      <c r="B11" s="3" t="s">
        <v>441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5"/>
    </row>
    <row r="12" spans="2:272" x14ac:dyDescent="0.25">
      <c r="B12" s="205"/>
      <c r="C12" s="245"/>
      <c r="D12" s="245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69" t="s">
        <v>237</v>
      </c>
      <c r="T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E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</row>
    <row r="13" spans="2:272" x14ac:dyDescent="0.25">
      <c r="B13" s="22"/>
      <c r="C13" s="24"/>
      <c r="D13" s="24"/>
      <c r="E13" s="23"/>
      <c r="F13" s="59" t="s">
        <v>494</v>
      </c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71" t="s">
        <v>210</v>
      </c>
    </row>
    <row r="14" spans="2:272" x14ac:dyDescent="0.25">
      <c r="B14" s="59"/>
      <c r="C14" s="57"/>
      <c r="D14" s="57"/>
      <c r="E14" s="60"/>
      <c r="F14" s="66">
        <v>1</v>
      </c>
      <c r="G14" s="25">
        <v>2</v>
      </c>
      <c r="H14" s="25">
        <v>3</v>
      </c>
      <c r="I14" s="25">
        <v>4</v>
      </c>
      <c r="J14" s="25">
        <v>5</v>
      </c>
      <c r="K14" s="25">
        <v>6</v>
      </c>
      <c r="L14" s="25">
        <v>7</v>
      </c>
      <c r="M14" s="25">
        <v>8</v>
      </c>
      <c r="N14" s="25">
        <v>9</v>
      </c>
      <c r="O14" s="25">
        <v>10</v>
      </c>
      <c r="P14" s="25">
        <v>11</v>
      </c>
      <c r="Q14" s="25">
        <v>12</v>
      </c>
      <c r="R14" s="28">
        <v>13</v>
      </c>
      <c r="S14" s="130">
        <v>12</v>
      </c>
    </row>
    <row r="15" spans="2:272" x14ac:dyDescent="0.25">
      <c r="B15" s="22" t="s">
        <v>318</v>
      </c>
      <c r="C15" s="24"/>
      <c r="D15" s="24"/>
      <c r="E15" s="23"/>
      <c r="F15" s="247"/>
      <c r="G15" s="248" t="s">
        <v>322</v>
      </c>
      <c r="H15" s="248" t="s">
        <v>322</v>
      </c>
      <c r="I15" s="248" t="s">
        <v>322</v>
      </c>
      <c r="J15" s="248" t="s">
        <v>322</v>
      </c>
      <c r="K15" s="248" t="s">
        <v>322</v>
      </c>
      <c r="L15" s="248" t="s">
        <v>322</v>
      </c>
      <c r="M15" s="248" t="s">
        <v>321</v>
      </c>
      <c r="N15" s="248" t="s">
        <v>321</v>
      </c>
      <c r="O15" s="248" t="s">
        <v>321</v>
      </c>
      <c r="P15" s="248" t="s">
        <v>321</v>
      </c>
      <c r="Q15" s="248" t="s">
        <v>321</v>
      </c>
      <c r="R15" s="249" t="s">
        <v>321</v>
      </c>
      <c r="S15" s="38"/>
    </row>
    <row r="16" spans="2:272" x14ac:dyDescent="0.25">
      <c r="B16" s="35" t="s">
        <v>296</v>
      </c>
      <c r="C16" s="38"/>
      <c r="D16" s="38"/>
      <c r="E16" s="36"/>
      <c r="F16" s="250"/>
      <c r="G16" s="251" t="s">
        <v>503</v>
      </c>
      <c r="H16" s="251" t="s">
        <v>503</v>
      </c>
      <c r="I16" s="251" t="s">
        <v>503</v>
      </c>
      <c r="J16" s="251" t="s">
        <v>503</v>
      </c>
      <c r="K16" s="251" t="s">
        <v>503</v>
      </c>
      <c r="L16" s="251" t="s">
        <v>503</v>
      </c>
      <c r="M16" s="251" t="s">
        <v>502</v>
      </c>
      <c r="N16" s="251" t="s">
        <v>502</v>
      </c>
      <c r="O16" s="251" t="s">
        <v>502</v>
      </c>
      <c r="P16" s="251" t="s">
        <v>502</v>
      </c>
      <c r="Q16" s="251" t="s">
        <v>502</v>
      </c>
      <c r="R16" s="252" t="s">
        <v>502</v>
      </c>
      <c r="S16" s="38"/>
    </row>
    <row r="17" spans="1:271" x14ac:dyDescent="0.25">
      <c r="B17" s="35" t="s">
        <v>442</v>
      </c>
      <c r="C17" s="38"/>
      <c r="D17" s="38"/>
      <c r="E17" s="36"/>
      <c r="F17" s="250"/>
      <c r="G17" s="251" t="s">
        <v>444</v>
      </c>
      <c r="H17" s="251" t="s">
        <v>444</v>
      </c>
      <c r="I17" s="251" t="s">
        <v>444</v>
      </c>
      <c r="J17" s="251" t="s">
        <v>444</v>
      </c>
      <c r="K17" s="251" t="s">
        <v>444</v>
      </c>
      <c r="L17" s="251" t="s">
        <v>444</v>
      </c>
      <c r="M17" s="251" t="s">
        <v>443</v>
      </c>
      <c r="N17" s="251" t="s">
        <v>443</v>
      </c>
      <c r="O17" s="251" t="s">
        <v>443</v>
      </c>
      <c r="P17" s="251" t="s">
        <v>443</v>
      </c>
      <c r="Q17" s="251" t="s">
        <v>443</v>
      </c>
      <c r="R17" s="252" t="s">
        <v>443</v>
      </c>
      <c r="S17" s="38"/>
    </row>
    <row r="18" spans="1:271" x14ac:dyDescent="0.25">
      <c r="B18" s="35" t="s">
        <v>239</v>
      </c>
      <c r="C18" s="38"/>
      <c r="D18" s="38"/>
      <c r="E18" s="36"/>
      <c r="F18" s="113"/>
      <c r="G18" s="253">
        <v>6.9491933704709465</v>
      </c>
      <c r="H18" s="253">
        <v>6.9491933704709465</v>
      </c>
      <c r="I18" s="253">
        <v>6.9491933704709465</v>
      </c>
      <c r="J18" s="253">
        <v>6.9491933704709465</v>
      </c>
      <c r="K18" s="253">
        <v>6.9491933704709465</v>
      </c>
      <c r="L18" s="253">
        <v>6.9491933704709465</v>
      </c>
      <c r="M18" s="253">
        <v>0.46392840895300902</v>
      </c>
      <c r="N18" s="253">
        <v>0.46392840895300902</v>
      </c>
      <c r="O18" s="253">
        <v>0.46392840895300902</v>
      </c>
      <c r="P18" s="253">
        <v>0.46392840895300902</v>
      </c>
      <c r="Q18" s="253">
        <v>0.46392840895300902</v>
      </c>
      <c r="R18" s="254">
        <v>0.46392840895300902</v>
      </c>
      <c r="S18" s="38"/>
    </row>
    <row r="19" spans="1:271" x14ac:dyDescent="0.25">
      <c r="B19" s="35" t="s">
        <v>319</v>
      </c>
      <c r="C19" s="38"/>
      <c r="D19" s="38"/>
      <c r="E19" s="36"/>
      <c r="F19" s="113"/>
      <c r="G19" s="253">
        <v>0.74970000000000003</v>
      </c>
      <c r="H19" s="253">
        <v>0.74970000000000003</v>
      </c>
      <c r="I19" s="253">
        <v>0.74970000000000003</v>
      </c>
      <c r="J19" s="253">
        <v>0.74970000000000003</v>
      </c>
      <c r="K19" s="253">
        <v>0.74970000000000003</v>
      </c>
      <c r="L19" s="253">
        <v>0.74970000000000003</v>
      </c>
      <c r="M19" s="253">
        <v>5.0049999999999997E-2</v>
      </c>
      <c r="N19" s="253">
        <v>5.0049999999999997E-2</v>
      </c>
      <c r="O19" s="253">
        <v>5.0049999999999997E-2</v>
      </c>
      <c r="P19" s="253">
        <v>5.0049999999999997E-2</v>
      </c>
      <c r="Q19" s="253">
        <v>5.0049999999999997E-2</v>
      </c>
      <c r="R19" s="254">
        <v>5.0049999999999997E-2</v>
      </c>
      <c r="S19" s="38"/>
    </row>
    <row r="20" spans="1:271" x14ac:dyDescent="0.25">
      <c r="B20" s="56" t="s">
        <v>320</v>
      </c>
      <c r="C20" s="57"/>
      <c r="D20" s="57"/>
      <c r="E20" s="60"/>
      <c r="F20" s="228"/>
      <c r="G20" s="58">
        <v>1</v>
      </c>
      <c r="H20" s="58">
        <v>2</v>
      </c>
      <c r="I20" s="58">
        <v>3</v>
      </c>
      <c r="J20" s="58">
        <v>4</v>
      </c>
      <c r="K20" s="58">
        <v>5</v>
      </c>
      <c r="L20" s="58">
        <v>6</v>
      </c>
      <c r="M20" s="58">
        <v>1</v>
      </c>
      <c r="N20" s="58">
        <v>2</v>
      </c>
      <c r="O20" s="58">
        <v>3</v>
      </c>
      <c r="P20" s="58">
        <v>4</v>
      </c>
      <c r="Q20" s="58">
        <v>5</v>
      </c>
      <c r="R20" s="64">
        <v>6</v>
      </c>
      <c r="S20" s="38"/>
    </row>
    <row r="21" spans="1:271" x14ac:dyDescent="0.25">
      <c r="B21" s="22" t="s">
        <v>236</v>
      </c>
      <c r="C21" s="24"/>
      <c r="D21" s="24"/>
      <c r="E21" s="24"/>
      <c r="F21" s="255"/>
      <c r="G21" s="256">
        <v>-2.5477125441907456</v>
      </c>
      <c r="H21" s="256">
        <v>-2.1935500618431023</v>
      </c>
      <c r="I21" s="256">
        <v>-1.8654235308244023</v>
      </c>
      <c r="J21" s="256">
        <v>-1.5621292265580937</v>
      </c>
      <c r="K21" s="256">
        <v>-1.0192699858482968</v>
      </c>
      <c r="L21" s="256">
        <v>-0.77520276845949909</v>
      </c>
      <c r="M21" s="256">
        <v>3.8569838975644841</v>
      </c>
      <c r="N21" s="256">
        <v>3.8479756148985955</v>
      </c>
      <c r="O21" s="256">
        <v>3.8331667390652631</v>
      </c>
      <c r="P21" s="256">
        <v>3.8126134456122553</v>
      </c>
      <c r="Q21" s="256">
        <v>3.9179942316635867</v>
      </c>
      <c r="R21" s="257">
        <v>3.8810933271073536</v>
      </c>
      <c r="S21" s="38"/>
    </row>
    <row r="22" spans="1:271" x14ac:dyDescent="0.25">
      <c r="B22" s="35" t="s">
        <v>238</v>
      </c>
      <c r="C22" s="38"/>
      <c r="D22" s="38"/>
      <c r="E22" s="38"/>
      <c r="F22" s="258"/>
      <c r="G22" s="253">
        <v>-0.27485493532184729</v>
      </c>
      <c r="H22" s="253">
        <v>-0.2366468154925333</v>
      </c>
      <c r="I22" s="253">
        <v>-0.20124753284340935</v>
      </c>
      <c r="J22" s="253">
        <v>-0.16852722592625674</v>
      </c>
      <c r="K22" s="253">
        <v>-0.1099619290546065</v>
      </c>
      <c r="L22" s="253">
        <v>-8.3631219413700192E-2</v>
      </c>
      <c r="M22" s="253">
        <v>0.41610308907091637</v>
      </c>
      <c r="N22" s="253">
        <v>0.41513124828960868</v>
      </c>
      <c r="O22" s="253">
        <v>0.41353362197236937</v>
      </c>
      <c r="P22" s="253">
        <v>0.41131627050720559</v>
      </c>
      <c r="Q22" s="253">
        <v>0.42268506845120773</v>
      </c>
      <c r="R22" s="254">
        <v>0.41870408725368302</v>
      </c>
      <c r="S22" s="38"/>
    </row>
    <row r="23" spans="1:271" x14ac:dyDescent="0.25">
      <c r="B23" s="35" t="s">
        <v>240</v>
      </c>
      <c r="C23" s="38"/>
      <c r="D23" s="38"/>
      <c r="E23" s="38"/>
      <c r="F23" s="258"/>
      <c r="G23" s="253">
        <v>-0.36661989505381792</v>
      </c>
      <c r="H23" s="253">
        <v>-0.31565534946316304</v>
      </c>
      <c r="I23" s="253">
        <v>-0.26843741875871596</v>
      </c>
      <c r="J23" s="253">
        <v>-0.22479288505569794</v>
      </c>
      <c r="K23" s="253">
        <v>-0.1466745752362365</v>
      </c>
      <c r="L23" s="253">
        <v>-0.11155291371708709</v>
      </c>
      <c r="M23" s="253">
        <v>8.3137480333849432</v>
      </c>
      <c r="N23" s="253">
        <v>8.2943306351570172</v>
      </c>
      <c r="O23" s="253">
        <v>8.2624100294179694</v>
      </c>
      <c r="P23" s="253">
        <v>8.2181073028412719</v>
      </c>
      <c r="Q23" s="253">
        <v>8.4452561129112436</v>
      </c>
      <c r="R23" s="254">
        <v>8.3657160290446164</v>
      </c>
      <c r="S23" s="38"/>
    </row>
    <row r="24" spans="1:271" x14ac:dyDescent="0.25">
      <c r="B24" s="59" t="s">
        <v>223</v>
      </c>
      <c r="C24" s="57"/>
      <c r="D24" s="57"/>
      <c r="E24" s="57"/>
      <c r="F24" s="345"/>
      <c r="G24" s="346">
        <v>0</v>
      </c>
      <c r="H24" s="346">
        <v>0</v>
      </c>
      <c r="I24" s="346">
        <v>0</v>
      </c>
      <c r="J24" s="346">
        <v>0</v>
      </c>
      <c r="K24" s="346">
        <v>0</v>
      </c>
      <c r="L24" s="346">
        <v>0</v>
      </c>
      <c r="M24" s="346">
        <v>0</v>
      </c>
      <c r="N24" s="346">
        <v>0</v>
      </c>
      <c r="O24" s="346">
        <v>0</v>
      </c>
      <c r="P24" s="346">
        <v>0</v>
      </c>
      <c r="Q24" s="346">
        <v>0</v>
      </c>
      <c r="R24" s="347">
        <v>0</v>
      </c>
      <c r="S24" s="38"/>
    </row>
    <row r="25" spans="1:27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7" spans="1:271" x14ac:dyDescent="0.25">
      <c r="B27" s="3" t="s">
        <v>241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5"/>
    </row>
    <row r="28" spans="1:271" x14ac:dyDescent="0.25">
      <c r="B28" s="15"/>
      <c r="C28" s="29"/>
      <c r="D28" s="29"/>
      <c r="E28" s="30"/>
      <c r="F28" s="15" t="s">
        <v>224</v>
      </c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30"/>
      <c r="Z28" s="15" t="s">
        <v>225</v>
      </c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30"/>
      <c r="AT28" s="15" t="s">
        <v>226</v>
      </c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30"/>
      <c r="BN28" s="15" t="s">
        <v>227</v>
      </c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30"/>
      <c r="CH28" s="15" t="s">
        <v>228</v>
      </c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30"/>
      <c r="DB28" s="15" t="s">
        <v>229</v>
      </c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30"/>
      <c r="DV28" s="15" t="s">
        <v>230</v>
      </c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30"/>
      <c r="EP28" s="15" t="s">
        <v>231</v>
      </c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30"/>
      <c r="FJ28" s="15" t="s">
        <v>232</v>
      </c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30"/>
      <c r="GD28" s="15" t="s">
        <v>233</v>
      </c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30"/>
      <c r="GX28" s="15" t="s">
        <v>234</v>
      </c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30"/>
      <c r="HR28" s="15" t="s">
        <v>235</v>
      </c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30"/>
      <c r="IL28" s="15" t="s">
        <v>324</v>
      </c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30"/>
    </row>
    <row r="29" spans="1:271" x14ac:dyDescent="0.25">
      <c r="B29" s="82" t="s">
        <v>6</v>
      </c>
      <c r="C29" s="22"/>
      <c r="D29" s="24"/>
      <c r="E29" s="23"/>
      <c r="F29" s="15" t="s">
        <v>118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30"/>
      <c r="Z29" s="15" t="s">
        <v>118</v>
      </c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30"/>
      <c r="AT29" s="15" t="s">
        <v>118</v>
      </c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30"/>
      <c r="BN29" s="15" t="s">
        <v>118</v>
      </c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30"/>
      <c r="CH29" s="15" t="s">
        <v>118</v>
      </c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30"/>
      <c r="DB29" s="15" t="s">
        <v>118</v>
      </c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30"/>
      <c r="DV29" s="15" t="s">
        <v>118</v>
      </c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30"/>
      <c r="EP29" s="15" t="s">
        <v>118</v>
      </c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30"/>
      <c r="FJ29" s="15" t="s">
        <v>118</v>
      </c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30"/>
      <c r="GD29" s="15" t="s">
        <v>118</v>
      </c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30"/>
      <c r="GX29" s="15" t="s">
        <v>118</v>
      </c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30"/>
      <c r="HR29" s="15" t="s">
        <v>118</v>
      </c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30"/>
      <c r="IL29" s="15" t="s">
        <v>118</v>
      </c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30"/>
    </row>
    <row r="30" spans="1:271" x14ac:dyDescent="0.25">
      <c r="B30" s="83" t="s">
        <v>242</v>
      </c>
      <c r="C30" s="59"/>
      <c r="D30" s="38"/>
      <c r="E30" s="36"/>
      <c r="F30" s="68">
        <v>1</v>
      </c>
      <c r="G30" s="58">
        <v>2</v>
      </c>
      <c r="H30" s="58">
        <v>3</v>
      </c>
      <c r="I30" s="58">
        <v>4</v>
      </c>
      <c r="J30" s="58">
        <v>5</v>
      </c>
      <c r="K30" s="58">
        <v>6</v>
      </c>
      <c r="L30" s="58">
        <v>7</v>
      </c>
      <c r="M30" s="58">
        <v>8</v>
      </c>
      <c r="N30" s="58">
        <v>9</v>
      </c>
      <c r="O30" s="58">
        <v>10</v>
      </c>
      <c r="P30" s="58">
        <v>11</v>
      </c>
      <c r="Q30" s="58">
        <v>12</v>
      </c>
      <c r="R30" s="58">
        <v>13</v>
      </c>
      <c r="S30" s="58">
        <v>14</v>
      </c>
      <c r="T30" s="58">
        <v>15</v>
      </c>
      <c r="U30" s="58">
        <v>16</v>
      </c>
      <c r="V30" s="58">
        <v>17</v>
      </c>
      <c r="W30" s="58">
        <v>18</v>
      </c>
      <c r="X30" s="58">
        <v>19</v>
      </c>
      <c r="Y30" s="64">
        <v>20</v>
      </c>
      <c r="Z30" s="68">
        <v>1</v>
      </c>
      <c r="AA30" s="58">
        <v>2</v>
      </c>
      <c r="AB30" s="58">
        <v>3</v>
      </c>
      <c r="AC30" s="58">
        <v>4</v>
      </c>
      <c r="AD30" s="58">
        <v>5</v>
      </c>
      <c r="AE30" s="58">
        <v>6</v>
      </c>
      <c r="AF30" s="58">
        <v>7</v>
      </c>
      <c r="AG30" s="58">
        <v>8</v>
      </c>
      <c r="AH30" s="58">
        <v>9</v>
      </c>
      <c r="AI30" s="58">
        <v>10</v>
      </c>
      <c r="AJ30" s="58">
        <v>11</v>
      </c>
      <c r="AK30" s="58">
        <v>12</v>
      </c>
      <c r="AL30" s="58">
        <v>13</v>
      </c>
      <c r="AM30" s="58">
        <v>14</v>
      </c>
      <c r="AN30" s="58">
        <v>15</v>
      </c>
      <c r="AO30" s="58">
        <v>16</v>
      </c>
      <c r="AP30" s="58">
        <v>17</v>
      </c>
      <c r="AQ30" s="58">
        <v>18</v>
      </c>
      <c r="AR30" s="58">
        <v>19</v>
      </c>
      <c r="AS30" s="64">
        <v>20</v>
      </c>
      <c r="AT30" s="68">
        <v>1</v>
      </c>
      <c r="AU30" s="58">
        <v>2</v>
      </c>
      <c r="AV30" s="58">
        <v>3</v>
      </c>
      <c r="AW30" s="58">
        <v>4</v>
      </c>
      <c r="AX30" s="58">
        <v>5</v>
      </c>
      <c r="AY30" s="58">
        <v>6</v>
      </c>
      <c r="AZ30" s="58">
        <v>7</v>
      </c>
      <c r="BA30" s="58">
        <v>8</v>
      </c>
      <c r="BB30" s="58">
        <v>9</v>
      </c>
      <c r="BC30" s="58">
        <v>10</v>
      </c>
      <c r="BD30" s="58">
        <v>11</v>
      </c>
      <c r="BE30" s="58">
        <v>12</v>
      </c>
      <c r="BF30" s="58">
        <v>13</v>
      </c>
      <c r="BG30" s="58">
        <v>14</v>
      </c>
      <c r="BH30" s="58">
        <v>15</v>
      </c>
      <c r="BI30" s="58">
        <v>16</v>
      </c>
      <c r="BJ30" s="58">
        <v>17</v>
      </c>
      <c r="BK30" s="58">
        <v>18</v>
      </c>
      <c r="BL30" s="58">
        <v>19</v>
      </c>
      <c r="BM30" s="64">
        <v>20</v>
      </c>
      <c r="BN30" s="68">
        <v>1</v>
      </c>
      <c r="BO30" s="58">
        <v>2</v>
      </c>
      <c r="BP30" s="58">
        <v>3</v>
      </c>
      <c r="BQ30" s="58">
        <v>4</v>
      </c>
      <c r="BR30" s="58">
        <v>5</v>
      </c>
      <c r="BS30" s="58">
        <v>6</v>
      </c>
      <c r="BT30" s="58">
        <v>7</v>
      </c>
      <c r="BU30" s="58">
        <v>8</v>
      </c>
      <c r="BV30" s="58">
        <v>9</v>
      </c>
      <c r="BW30" s="58">
        <v>10</v>
      </c>
      <c r="BX30" s="58">
        <v>11</v>
      </c>
      <c r="BY30" s="58">
        <v>12</v>
      </c>
      <c r="BZ30" s="58">
        <v>13</v>
      </c>
      <c r="CA30" s="58">
        <v>14</v>
      </c>
      <c r="CB30" s="58">
        <v>15</v>
      </c>
      <c r="CC30" s="58">
        <v>16</v>
      </c>
      <c r="CD30" s="58">
        <v>17</v>
      </c>
      <c r="CE30" s="58">
        <v>18</v>
      </c>
      <c r="CF30" s="58">
        <v>19</v>
      </c>
      <c r="CG30" s="64">
        <v>20</v>
      </c>
      <c r="CH30" s="68">
        <v>1</v>
      </c>
      <c r="CI30" s="58">
        <v>2</v>
      </c>
      <c r="CJ30" s="58">
        <v>3</v>
      </c>
      <c r="CK30" s="58">
        <v>4</v>
      </c>
      <c r="CL30" s="58">
        <v>5</v>
      </c>
      <c r="CM30" s="58">
        <v>6</v>
      </c>
      <c r="CN30" s="58">
        <v>7</v>
      </c>
      <c r="CO30" s="58">
        <v>8</v>
      </c>
      <c r="CP30" s="58">
        <v>9</v>
      </c>
      <c r="CQ30" s="58">
        <v>10</v>
      </c>
      <c r="CR30" s="58">
        <v>11</v>
      </c>
      <c r="CS30" s="58">
        <v>12</v>
      </c>
      <c r="CT30" s="58">
        <v>13</v>
      </c>
      <c r="CU30" s="58">
        <v>14</v>
      </c>
      <c r="CV30" s="58">
        <v>15</v>
      </c>
      <c r="CW30" s="58">
        <v>16</v>
      </c>
      <c r="CX30" s="58">
        <v>17</v>
      </c>
      <c r="CY30" s="58">
        <v>18</v>
      </c>
      <c r="CZ30" s="39">
        <v>19</v>
      </c>
      <c r="DA30" s="64">
        <v>20</v>
      </c>
      <c r="DB30" s="68">
        <v>1</v>
      </c>
      <c r="DC30" s="58">
        <v>2</v>
      </c>
      <c r="DD30" s="58">
        <v>3</v>
      </c>
      <c r="DE30" s="58">
        <v>4</v>
      </c>
      <c r="DF30" s="58">
        <v>5</v>
      </c>
      <c r="DG30" s="58">
        <v>6</v>
      </c>
      <c r="DH30" s="58">
        <v>7</v>
      </c>
      <c r="DI30" s="58">
        <v>8</v>
      </c>
      <c r="DJ30" s="58">
        <v>9</v>
      </c>
      <c r="DK30" s="58">
        <v>10</v>
      </c>
      <c r="DL30" s="58">
        <v>11</v>
      </c>
      <c r="DM30" s="58">
        <v>12</v>
      </c>
      <c r="DN30" s="58">
        <v>13</v>
      </c>
      <c r="DO30" s="58">
        <v>14</v>
      </c>
      <c r="DP30" s="58">
        <v>15</v>
      </c>
      <c r="DQ30" s="58">
        <v>16</v>
      </c>
      <c r="DR30" s="58">
        <v>17</v>
      </c>
      <c r="DS30" s="58">
        <v>18</v>
      </c>
      <c r="DT30" s="39">
        <v>19</v>
      </c>
      <c r="DU30" s="64">
        <v>20</v>
      </c>
      <c r="DV30" s="68">
        <v>1</v>
      </c>
      <c r="DW30" s="58">
        <v>2</v>
      </c>
      <c r="DX30" s="58">
        <v>3</v>
      </c>
      <c r="DY30" s="58">
        <v>4</v>
      </c>
      <c r="DZ30" s="58">
        <v>5</v>
      </c>
      <c r="EA30" s="58">
        <v>6</v>
      </c>
      <c r="EB30" s="58">
        <v>7</v>
      </c>
      <c r="EC30" s="58">
        <v>8</v>
      </c>
      <c r="ED30" s="58">
        <v>9</v>
      </c>
      <c r="EE30" s="58">
        <v>10</v>
      </c>
      <c r="EF30" s="58">
        <v>11</v>
      </c>
      <c r="EG30" s="58">
        <v>12</v>
      </c>
      <c r="EH30" s="58">
        <v>13</v>
      </c>
      <c r="EI30" s="58">
        <v>14</v>
      </c>
      <c r="EJ30" s="58">
        <v>15</v>
      </c>
      <c r="EK30" s="58">
        <v>16</v>
      </c>
      <c r="EL30" s="58">
        <v>17</v>
      </c>
      <c r="EM30" s="58">
        <v>18</v>
      </c>
      <c r="EN30" s="58">
        <v>19</v>
      </c>
      <c r="EO30" s="64">
        <v>20</v>
      </c>
      <c r="EP30" s="68">
        <v>1</v>
      </c>
      <c r="EQ30" s="58">
        <v>2</v>
      </c>
      <c r="ER30" s="58">
        <v>3</v>
      </c>
      <c r="ES30" s="58">
        <v>4</v>
      </c>
      <c r="ET30" s="58">
        <v>5</v>
      </c>
      <c r="EU30" s="58">
        <v>6</v>
      </c>
      <c r="EV30" s="58">
        <v>7</v>
      </c>
      <c r="EW30" s="58">
        <v>8</v>
      </c>
      <c r="EX30" s="58">
        <v>9</v>
      </c>
      <c r="EY30" s="58">
        <v>10</v>
      </c>
      <c r="EZ30" s="58">
        <v>11</v>
      </c>
      <c r="FA30" s="58">
        <v>12</v>
      </c>
      <c r="FB30" s="58">
        <v>13</v>
      </c>
      <c r="FC30" s="58">
        <v>14</v>
      </c>
      <c r="FD30" s="58">
        <v>15</v>
      </c>
      <c r="FE30" s="58">
        <v>16</v>
      </c>
      <c r="FF30" s="58">
        <v>17</v>
      </c>
      <c r="FG30" s="58">
        <v>18</v>
      </c>
      <c r="FH30" s="58">
        <v>19</v>
      </c>
      <c r="FI30" s="64">
        <v>20</v>
      </c>
      <c r="FJ30" s="68">
        <v>1</v>
      </c>
      <c r="FK30" s="58">
        <v>2</v>
      </c>
      <c r="FL30" s="58">
        <v>3</v>
      </c>
      <c r="FM30" s="58">
        <v>4</v>
      </c>
      <c r="FN30" s="58">
        <v>5</v>
      </c>
      <c r="FO30" s="58">
        <v>6</v>
      </c>
      <c r="FP30" s="58">
        <v>7</v>
      </c>
      <c r="FQ30" s="58">
        <v>8</v>
      </c>
      <c r="FR30" s="58">
        <v>9</v>
      </c>
      <c r="FS30" s="58">
        <v>10</v>
      </c>
      <c r="FT30" s="58">
        <v>11</v>
      </c>
      <c r="FU30" s="58">
        <v>12</v>
      </c>
      <c r="FV30" s="58">
        <v>13</v>
      </c>
      <c r="FW30" s="58">
        <v>14</v>
      </c>
      <c r="FX30" s="58">
        <v>15</v>
      </c>
      <c r="FY30" s="58">
        <v>16</v>
      </c>
      <c r="FZ30" s="58">
        <v>17</v>
      </c>
      <c r="GA30" s="58">
        <v>18</v>
      </c>
      <c r="GB30" s="58">
        <v>19</v>
      </c>
      <c r="GC30" s="64">
        <v>20</v>
      </c>
      <c r="GD30" s="68">
        <v>1</v>
      </c>
      <c r="GE30" s="58">
        <v>2</v>
      </c>
      <c r="GF30" s="58">
        <v>3</v>
      </c>
      <c r="GG30" s="58">
        <v>4</v>
      </c>
      <c r="GH30" s="58">
        <v>5</v>
      </c>
      <c r="GI30" s="58">
        <v>6</v>
      </c>
      <c r="GJ30" s="58">
        <v>7</v>
      </c>
      <c r="GK30" s="58">
        <v>8</v>
      </c>
      <c r="GL30" s="58">
        <v>9</v>
      </c>
      <c r="GM30" s="58">
        <v>10</v>
      </c>
      <c r="GN30" s="58">
        <v>11</v>
      </c>
      <c r="GO30" s="58">
        <v>12</v>
      </c>
      <c r="GP30" s="58">
        <v>13</v>
      </c>
      <c r="GQ30" s="58">
        <v>14</v>
      </c>
      <c r="GR30" s="58">
        <v>15</v>
      </c>
      <c r="GS30" s="58">
        <v>16</v>
      </c>
      <c r="GT30" s="58">
        <v>17</v>
      </c>
      <c r="GU30" s="58">
        <v>18</v>
      </c>
      <c r="GV30" s="58">
        <v>19</v>
      </c>
      <c r="GW30" s="64">
        <v>20</v>
      </c>
      <c r="GX30" s="68">
        <v>1</v>
      </c>
      <c r="GY30" s="58">
        <v>2</v>
      </c>
      <c r="GZ30" s="58">
        <v>3</v>
      </c>
      <c r="HA30" s="58">
        <v>4</v>
      </c>
      <c r="HB30" s="58">
        <v>5</v>
      </c>
      <c r="HC30" s="58">
        <v>6</v>
      </c>
      <c r="HD30" s="58">
        <v>7</v>
      </c>
      <c r="HE30" s="58">
        <v>8</v>
      </c>
      <c r="HF30" s="58">
        <v>9</v>
      </c>
      <c r="HG30" s="58">
        <v>10</v>
      </c>
      <c r="HH30" s="58">
        <v>11</v>
      </c>
      <c r="HI30" s="58">
        <v>12</v>
      </c>
      <c r="HJ30" s="58">
        <v>13</v>
      </c>
      <c r="HK30" s="58">
        <v>14</v>
      </c>
      <c r="HL30" s="58">
        <v>15</v>
      </c>
      <c r="HM30" s="58">
        <v>16</v>
      </c>
      <c r="HN30" s="58">
        <v>17</v>
      </c>
      <c r="HO30" s="58">
        <v>18</v>
      </c>
      <c r="HP30" s="58">
        <v>19</v>
      </c>
      <c r="HQ30" s="64">
        <v>20</v>
      </c>
      <c r="HR30" s="68">
        <v>1</v>
      </c>
      <c r="HS30" s="58">
        <v>2</v>
      </c>
      <c r="HT30" s="58">
        <v>3</v>
      </c>
      <c r="HU30" s="58">
        <v>4</v>
      </c>
      <c r="HV30" s="58">
        <v>5</v>
      </c>
      <c r="HW30" s="58">
        <v>6</v>
      </c>
      <c r="HX30" s="58">
        <v>7</v>
      </c>
      <c r="HY30" s="58">
        <v>8</v>
      </c>
      <c r="HZ30" s="58">
        <v>9</v>
      </c>
      <c r="IA30" s="58">
        <v>10</v>
      </c>
      <c r="IB30" s="58">
        <v>11</v>
      </c>
      <c r="IC30" s="58">
        <v>12</v>
      </c>
      <c r="ID30" s="58">
        <v>13</v>
      </c>
      <c r="IE30" s="58">
        <v>14</v>
      </c>
      <c r="IF30" s="58">
        <v>15</v>
      </c>
      <c r="IG30" s="58">
        <v>16</v>
      </c>
      <c r="IH30" s="58">
        <v>17</v>
      </c>
      <c r="II30" s="58">
        <v>18</v>
      </c>
      <c r="IJ30" s="58">
        <v>19</v>
      </c>
      <c r="IK30" s="64">
        <v>20</v>
      </c>
      <c r="IL30" s="68">
        <v>1</v>
      </c>
      <c r="IM30" s="58">
        <v>2</v>
      </c>
      <c r="IN30" s="58">
        <v>3</v>
      </c>
      <c r="IO30" s="58">
        <v>4</v>
      </c>
      <c r="IP30" s="58">
        <v>5</v>
      </c>
      <c r="IQ30" s="58">
        <v>6</v>
      </c>
      <c r="IR30" s="58">
        <v>7</v>
      </c>
      <c r="IS30" s="58">
        <v>8</v>
      </c>
      <c r="IT30" s="58">
        <v>9</v>
      </c>
      <c r="IU30" s="58">
        <v>10</v>
      </c>
      <c r="IV30" s="58">
        <v>11</v>
      </c>
      <c r="IW30" s="58">
        <v>12</v>
      </c>
      <c r="IX30" s="58">
        <v>13</v>
      </c>
      <c r="IY30" s="58">
        <v>14</v>
      </c>
      <c r="IZ30" s="58">
        <v>15</v>
      </c>
      <c r="JA30" s="58">
        <v>16</v>
      </c>
      <c r="JB30" s="58">
        <v>17</v>
      </c>
      <c r="JC30" s="58">
        <v>18</v>
      </c>
      <c r="JD30" s="58">
        <v>19</v>
      </c>
      <c r="JE30" s="64">
        <v>20</v>
      </c>
    </row>
    <row r="31" spans="1:271" x14ac:dyDescent="0.25">
      <c r="B31" s="83" t="s">
        <v>205</v>
      </c>
      <c r="C31" s="22" t="s">
        <v>198</v>
      </c>
      <c r="D31" s="22" t="s">
        <v>91</v>
      </c>
      <c r="E31" s="82" t="s">
        <v>101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  <c r="R31" s="173">
        <v>0</v>
      </c>
      <c r="S31" s="173">
        <v>0</v>
      </c>
      <c r="T31" s="173">
        <v>0</v>
      </c>
      <c r="U31" s="173">
        <v>0</v>
      </c>
      <c r="V31" s="173">
        <v>0</v>
      </c>
      <c r="W31" s="173">
        <v>0</v>
      </c>
      <c r="X31" s="173">
        <v>0</v>
      </c>
      <c r="Y31" s="174">
        <v>0</v>
      </c>
      <c r="Z31" s="260"/>
      <c r="AA31" s="260"/>
      <c r="AB31" s="260"/>
      <c r="AC31" s="260"/>
      <c r="AD31" s="260"/>
      <c r="AE31" s="260"/>
      <c r="AF31" s="260"/>
      <c r="AG31" s="260"/>
      <c r="AH31" s="260"/>
      <c r="AI31" s="260"/>
      <c r="AJ31" s="260"/>
      <c r="AK31" s="260"/>
      <c r="AL31" s="260"/>
      <c r="AM31" s="260"/>
      <c r="AN31" s="260"/>
      <c r="AO31" s="260"/>
      <c r="AP31" s="260"/>
      <c r="AQ31" s="260"/>
      <c r="AR31" s="260"/>
      <c r="AS31" s="261"/>
      <c r="AT31" s="260"/>
      <c r="AU31" s="260"/>
      <c r="AV31" s="260"/>
      <c r="AW31" s="260"/>
      <c r="AX31" s="260"/>
      <c r="AY31" s="260"/>
      <c r="AZ31" s="260"/>
      <c r="BA31" s="260"/>
      <c r="BB31" s="260"/>
      <c r="BC31" s="260"/>
      <c r="BD31" s="260"/>
      <c r="BE31" s="260"/>
      <c r="BF31" s="260"/>
      <c r="BG31" s="260"/>
      <c r="BH31" s="260"/>
      <c r="BI31" s="260"/>
      <c r="BJ31" s="260"/>
      <c r="BK31" s="260"/>
      <c r="BL31" s="260"/>
      <c r="BM31" s="261"/>
      <c r="BN31" s="260"/>
      <c r="BO31" s="260"/>
      <c r="BP31" s="260"/>
      <c r="BQ31" s="260"/>
      <c r="BR31" s="260"/>
      <c r="BS31" s="260"/>
      <c r="BT31" s="260"/>
      <c r="BU31" s="260"/>
      <c r="BV31" s="260"/>
      <c r="BW31" s="260"/>
      <c r="BX31" s="260"/>
      <c r="BY31" s="260"/>
      <c r="BZ31" s="260"/>
      <c r="CA31" s="260"/>
      <c r="CB31" s="260"/>
      <c r="CC31" s="260"/>
      <c r="CD31" s="260"/>
      <c r="CE31" s="260"/>
      <c r="CF31" s="260"/>
      <c r="CG31" s="261"/>
      <c r="CH31" s="260"/>
      <c r="CI31" s="260"/>
      <c r="CJ31" s="260"/>
      <c r="CK31" s="260"/>
      <c r="CL31" s="260"/>
      <c r="CM31" s="260"/>
      <c r="CN31" s="260"/>
      <c r="CO31" s="260"/>
      <c r="CP31" s="260"/>
      <c r="CQ31" s="260"/>
      <c r="CR31" s="260"/>
      <c r="CS31" s="260"/>
      <c r="CT31" s="260"/>
      <c r="CU31" s="260"/>
      <c r="CV31" s="260"/>
      <c r="CW31" s="260"/>
      <c r="CX31" s="260"/>
      <c r="CY31" s="260"/>
      <c r="CZ31" s="260"/>
      <c r="DA31" s="261"/>
      <c r="DB31" s="260"/>
      <c r="DC31" s="260"/>
      <c r="DD31" s="260"/>
      <c r="DE31" s="260"/>
      <c r="DF31" s="260"/>
      <c r="DG31" s="260"/>
      <c r="DH31" s="260"/>
      <c r="DI31" s="260"/>
      <c r="DJ31" s="260"/>
      <c r="DK31" s="260"/>
      <c r="DL31" s="260"/>
      <c r="DM31" s="260"/>
      <c r="DN31" s="260"/>
      <c r="DO31" s="260"/>
      <c r="DP31" s="260"/>
      <c r="DQ31" s="260"/>
      <c r="DR31" s="260"/>
      <c r="DS31" s="260"/>
      <c r="DT31" s="260"/>
      <c r="DU31" s="261"/>
      <c r="DV31" s="260"/>
      <c r="DW31" s="260"/>
      <c r="DX31" s="260"/>
      <c r="DY31" s="260"/>
      <c r="DZ31" s="260"/>
      <c r="EA31" s="260"/>
      <c r="EB31" s="260"/>
      <c r="EC31" s="260"/>
      <c r="ED31" s="260"/>
      <c r="EE31" s="260"/>
      <c r="EF31" s="260"/>
      <c r="EG31" s="260"/>
      <c r="EH31" s="260"/>
      <c r="EI31" s="260"/>
      <c r="EJ31" s="260"/>
      <c r="EK31" s="260"/>
      <c r="EL31" s="260"/>
      <c r="EM31" s="260"/>
      <c r="EN31" s="260"/>
      <c r="EO31" s="261"/>
      <c r="EP31" s="260"/>
      <c r="EQ31" s="260"/>
      <c r="ER31" s="260"/>
      <c r="ES31" s="260"/>
      <c r="ET31" s="260"/>
      <c r="EU31" s="260"/>
      <c r="EV31" s="260"/>
      <c r="EW31" s="260"/>
      <c r="EX31" s="260"/>
      <c r="EY31" s="260"/>
      <c r="EZ31" s="260"/>
      <c r="FA31" s="260"/>
      <c r="FB31" s="260"/>
      <c r="FC31" s="260"/>
      <c r="FD31" s="260"/>
      <c r="FE31" s="260"/>
      <c r="FF31" s="260"/>
      <c r="FG31" s="260"/>
      <c r="FH31" s="260"/>
      <c r="FI31" s="261"/>
      <c r="FJ31" s="260"/>
      <c r="FK31" s="260"/>
      <c r="FL31" s="260"/>
      <c r="FM31" s="260"/>
      <c r="FN31" s="260"/>
      <c r="FO31" s="260"/>
      <c r="FP31" s="260"/>
      <c r="FQ31" s="260"/>
      <c r="FR31" s="260"/>
      <c r="FS31" s="260"/>
      <c r="FT31" s="260"/>
      <c r="FU31" s="260"/>
      <c r="FV31" s="260"/>
      <c r="FW31" s="260"/>
      <c r="FX31" s="260"/>
      <c r="FY31" s="260"/>
      <c r="FZ31" s="260"/>
      <c r="GA31" s="260"/>
      <c r="GB31" s="260"/>
      <c r="GC31" s="261"/>
      <c r="GD31" s="260"/>
      <c r="GE31" s="260"/>
      <c r="GF31" s="260"/>
      <c r="GG31" s="260"/>
      <c r="GH31" s="260"/>
      <c r="GI31" s="260"/>
      <c r="GJ31" s="260"/>
      <c r="GK31" s="260"/>
      <c r="GL31" s="260"/>
      <c r="GM31" s="260"/>
      <c r="GN31" s="260"/>
      <c r="GO31" s="260"/>
      <c r="GP31" s="260"/>
      <c r="GQ31" s="260"/>
      <c r="GR31" s="260"/>
      <c r="GS31" s="260"/>
      <c r="GT31" s="260"/>
      <c r="GU31" s="260"/>
      <c r="GV31" s="260"/>
      <c r="GW31" s="261"/>
      <c r="GX31" s="260"/>
      <c r="GY31" s="260"/>
      <c r="GZ31" s="260"/>
      <c r="HA31" s="260"/>
      <c r="HB31" s="260"/>
      <c r="HC31" s="260"/>
      <c r="HD31" s="260"/>
      <c r="HE31" s="260"/>
      <c r="HF31" s="260"/>
      <c r="HG31" s="260"/>
      <c r="HH31" s="260"/>
      <c r="HI31" s="260"/>
      <c r="HJ31" s="260"/>
      <c r="HK31" s="260"/>
      <c r="HL31" s="260"/>
      <c r="HM31" s="260"/>
      <c r="HN31" s="260"/>
      <c r="HO31" s="260"/>
      <c r="HP31" s="260"/>
      <c r="HQ31" s="261"/>
      <c r="HR31" s="260"/>
      <c r="HS31" s="260"/>
      <c r="HT31" s="260"/>
      <c r="HU31" s="260"/>
      <c r="HV31" s="260"/>
      <c r="HW31" s="260"/>
      <c r="HX31" s="260"/>
      <c r="HY31" s="260"/>
      <c r="HZ31" s="260"/>
      <c r="IA31" s="260"/>
      <c r="IB31" s="260"/>
      <c r="IC31" s="260"/>
      <c r="ID31" s="260"/>
      <c r="IE31" s="260"/>
      <c r="IF31" s="260"/>
      <c r="IG31" s="260"/>
      <c r="IH31" s="260"/>
      <c r="II31" s="260"/>
      <c r="IJ31" s="260"/>
      <c r="IK31" s="261"/>
      <c r="IL31" s="260"/>
      <c r="IM31" s="260"/>
      <c r="IN31" s="260"/>
      <c r="IO31" s="260"/>
      <c r="IP31" s="260"/>
      <c r="IQ31" s="260"/>
      <c r="IR31" s="260"/>
      <c r="IS31" s="260"/>
      <c r="IT31" s="260"/>
      <c r="IU31" s="260"/>
      <c r="IV31" s="260"/>
      <c r="IW31" s="260"/>
      <c r="IX31" s="260"/>
      <c r="IY31" s="260"/>
      <c r="IZ31" s="260"/>
      <c r="JA31" s="260"/>
      <c r="JB31" s="260"/>
      <c r="JC31" s="260"/>
      <c r="JD31" s="260"/>
      <c r="JE31" s="261"/>
    </row>
    <row r="32" spans="1:271" x14ac:dyDescent="0.25">
      <c r="B32" s="83" t="s">
        <v>243</v>
      </c>
      <c r="C32" s="35" t="s">
        <v>60</v>
      </c>
      <c r="D32" s="35" t="s">
        <v>213</v>
      </c>
      <c r="E32" s="83" t="s">
        <v>101</v>
      </c>
      <c r="F32" s="172">
        <v>0</v>
      </c>
      <c r="G32" s="172">
        <v>0</v>
      </c>
      <c r="H32" s="172">
        <v>0</v>
      </c>
      <c r="I32" s="172">
        <v>0</v>
      </c>
      <c r="J32" s="172">
        <v>0</v>
      </c>
      <c r="K32" s="172">
        <v>0</v>
      </c>
      <c r="L32" s="172">
        <v>0</v>
      </c>
      <c r="M32" s="172">
        <v>0</v>
      </c>
      <c r="N32" s="172">
        <v>0</v>
      </c>
      <c r="O32" s="172">
        <v>0</v>
      </c>
      <c r="P32" s="172">
        <v>0</v>
      </c>
      <c r="Q32" s="172">
        <v>0</v>
      </c>
      <c r="R32" s="172">
        <v>0</v>
      </c>
      <c r="S32" s="172">
        <v>0</v>
      </c>
      <c r="T32" s="172">
        <v>0</v>
      </c>
      <c r="U32" s="172">
        <v>0</v>
      </c>
      <c r="V32" s="172">
        <v>0</v>
      </c>
      <c r="W32" s="172">
        <v>0</v>
      </c>
      <c r="X32" s="172">
        <v>0</v>
      </c>
      <c r="Y32" s="175">
        <v>0</v>
      </c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3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2"/>
      <c r="BG32" s="262"/>
      <c r="BH32" s="262"/>
      <c r="BI32" s="262"/>
      <c r="BJ32" s="262"/>
      <c r="BK32" s="262"/>
      <c r="BL32" s="262"/>
      <c r="BM32" s="263"/>
      <c r="BN32" s="262"/>
      <c r="BO32" s="262"/>
      <c r="BP32" s="262"/>
      <c r="BQ32" s="262"/>
      <c r="BR32" s="262"/>
      <c r="BS32" s="262"/>
      <c r="BT32" s="262"/>
      <c r="BU32" s="262"/>
      <c r="BV32" s="262"/>
      <c r="BW32" s="262"/>
      <c r="BX32" s="262"/>
      <c r="BY32" s="262"/>
      <c r="BZ32" s="262"/>
      <c r="CA32" s="262"/>
      <c r="CB32" s="262"/>
      <c r="CC32" s="262"/>
      <c r="CD32" s="262"/>
      <c r="CE32" s="262"/>
      <c r="CF32" s="262"/>
      <c r="CG32" s="263"/>
      <c r="CH32" s="262"/>
      <c r="CI32" s="262"/>
      <c r="CJ32" s="262"/>
      <c r="CK32" s="262"/>
      <c r="CL32" s="262"/>
      <c r="CM32" s="262"/>
      <c r="CN32" s="262"/>
      <c r="CO32" s="262"/>
      <c r="CP32" s="262"/>
      <c r="CQ32" s="262"/>
      <c r="CR32" s="262"/>
      <c r="CS32" s="262"/>
      <c r="CT32" s="262"/>
      <c r="CU32" s="262"/>
      <c r="CV32" s="262"/>
      <c r="CW32" s="262"/>
      <c r="CX32" s="262"/>
      <c r="CY32" s="262"/>
      <c r="CZ32" s="262"/>
      <c r="DA32" s="263"/>
      <c r="DB32" s="262"/>
      <c r="DC32" s="262"/>
      <c r="DD32" s="262"/>
      <c r="DE32" s="262"/>
      <c r="DF32" s="262"/>
      <c r="DG32" s="262"/>
      <c r="DH32" s="262"/>
      <c r="DI32" s="262"/>
      <c r="DJ32" s="262"/>
      <c r="DK32" s="262"/>
      <c r="DL32" s="262"/>
      <c r="DM32" s="262"/>
      <c r="DN32" s="262"/>
      <c r="DO32" s="262"/>
      <c r="DP32" s="262"/>
      <c r="DQ32" s="262"/>
      <c r="DR32" s="262"/>
      <c r="DS32" s="262"/>
      <c r="DT32" s="262"/>
      <c r="DU32" s="263"/>
      <c r="DV32" s="262"/>
      <c r="DW32" s="262"/>
      <c r="DX32" s="262"/>
      <c r="DY32" s="262"/>
      <c r="DZ32" s="262"/>
      <c r="EA32" s="262"/>
      <c r="EB32" s="262"/>
      <c r="EC32" s="262"/>
      <c r="ED32" s="262"/>
      <c r="EE32" s="262"/>
      <c r="EF32" s="262"/>
      <c r="EG32" s="262"/>
      <c r="EH32" s="262"/>
      <c r="EI32" s="262"/>
      <c r="EJ32" s="262"/>
      <c r="EK32" s="262"/>
      <c r="EL32" s="262"/>
      <c r="EM32" s="262"/>
      <c r="EN32" s="262"/>
      <c r="EO32" s="263"/>
      <c r="EP32" s="262"/>
      <c r="EQ32" s="262"/>
      <c r="ER32" s="262"/>
      <c r="ES32" s="262"/>
      <c r="ET32" s="262"/>
      <c r="EU32" s="262"/>
      <c r="EV32" s="262"/>
      <c r="EW32" s="262"/>
      <c r="EX32" s="262"/>
      <c r="EY32" s="262"/>
      <c r="EZ32" s="262"/>
      <c r="FA32" s="262"/>
      <c r="FB32" s="262"/>
      <c r="FC32" s="262"/>
      <c r="FD32" s="262"/>
      <c r="FE32" s="262"/>
      <c r="FF32" s="262"/>
      <c r="FG32" s="262"/>
      <c r="FH32" s="262"/>
      <c r="FI32" s="263"/>
      <c r="FJ32" s="262"/>
      <c r="FK32" s="262"/>
      <c r="FL32" s="262"/>
      <c r="FM32" s="262"/>
      <c r="FN32" s="262"/>
      <c r="FO32" s="262"/>
      <c r="FP32" s="262"/>
      <c r="FQ32" s="262"/>
      <c r="FR32" s="262"/>
      <c r="FS32" s="262"/>
      <c r="FT32" s="262"/>
      <c r="FU32" s="262"/>
      <c r="FV32" s="262"/>
      <c r="FW32" s="262"/>
      <c r="FX32" s="262"/>
      <c r="FY32" s="262"/>
      <c r="FZ32" s="262"/>
      <c r="GA32" s="262"/>
      <c r="GB32" s="262"/>
      <c r="GC32" s="263"/>
      <c r="GD32" s="262"/>
      <c r="GE32" s="262"/>
      <c r="GF32" s="262"/>
      <c r="GG32" s="262"/>
      <c r="GH32" s="262"/>
      <c r="GI32" s="262"/>
      <c r="GJ32" s="262"/>
      <c r="GK32" s="262"/>
      <c r="GL32" s="262"/>
      <c r="GM32" s="262"/>
      <c r="GN32" s="262"/>
      <c r="GO32" s="262"/>
      <c r="GP32" s="262"/>
      <c r="GQ32" s="262"/>
      <c r="GR32" s="262"/>
      <c r="GS32" s="262"/>
      <c r="GT32" s="262"/>
      <c r="GU32" s="262"/>
      <c r="GV32" s="262"/>
      <c r="GW32" s="263"/>
      <c r="GX32" s="262"/>
      <c r="GY32" s="262"/>
      <c r="GZ32" s="262"/>
      <c r="HA32" s="262"/>
      <c r="HB32" s="262"/>
      <c r="HC32" s="262"/>
      <c r="HD32" s="262"/>
      <c r="HE32" s="262"/>
      <c r="HF32" s="262"/>
      <c r="HG32" s="262"/>
      <c r="HH32" s="262"/>
      <c r="HI32" s="262"/>
      <c r="HJ32" s="262"/>
      <c r="HK32" s="262"/>
      <c r="HL32" s="262"/>
      <c r="HM32" s="262"/>
      <c r="HN32" s="262"/>
      <c r="HO32" s="262"/>
      <c r="HP32" s="262"/>
      <c r="HQ32" s="263"/>
      <c r="HR32" s="262"/>
      <c r="HS32" s="262"/>
      <c r="HT32" s="262"/>
      <c r="HU32" s="262"/>
      <c r="HV32" s="262"/>
      <c r="HW32" s="262"/>
      <c r="HX32" s="262"/>
      <c r="HY32" s="262"/>
      <c r="HZ32" s="262"/>
      <c r="IA32" s="262"/>
      <c r="IB32" s="262"/>
      <c r="IC32" s="262"/>
      <c r="ID32" s="262"/>
      <c r="IE32" s="262"/>
      <c r="IF32" s="262"/>
      <c r="IG32" s="262"/>
      <c r="IH32" s="262"/>
      <c r="II32" s="262"/>
      <c r="IJ32" s="262"/>
      <c r="IK32" s="263"/>
      <c r="IL32" s="262"/>
      <c r="IM32" s="262"/>
      <c r="IN32" s="262"/>
      <c r="IO32" s="262"/>
      <c r="IP32" s="262"/>
      <c r="IQ32" s="262"/>
      <c r="IR32" s="262"/>
      <c r="IS32" s="262"/>
      <c r="IT32" s="262"/>
      <c r="IU32" s="262"/>
      <c r="IV32" s="262"/>
      <c r="IW32" s="262"/>
      <c r="IX32" s="262"/>
      <c r="IY32" s="262"/>
      <c r="IZ32" s="262"/>
      <c r="JA32" s="262"/>
      <c r="JB32" s="262"/>
      <c r="JC32" s="262"/>
      <c r="JD32" s="262"/>
      <c r="JE32" s="263"/>
    </row>
    <row r="33" spans="2:265" x14ac:dyDescent="0.25">
      <c r="B33" s="83"/>
      <c r="C33" s="35"/>
      <c r="D33" s="35" t="s">
        <v>214</v>
      </c>
      <c r="E33" s="83" t="s">
        <v>101</v>
      </c>
      <c r="F33" s="172">
        <v>111.62500000000001</v>
      </c>
      <c r="G33" s="172">
        <v>118.32250000000002</v>
      </c>
      <c r="H33" s="172">
        <v>125.42185000000002</v>
      </c>
      <c r="I33" s="172">
        <v>132.94716100000002</v>
      </c>
      <c r="J33" s="172">
        <v>140.92399066000002</v>
      </c>
      <c r="K33" s="172">
        <v>149.37943009960003</v>
      </c>
      <c r="L33" s="172">
        <v>158.34219590557603</v>
      </c>
      <c r="M33" s="172">
        <v>167.84272765991059</v>
      </c>
      <c r="N33" s="172">
        <v>177.91329131950522</v>
      </c>
      <c r="O33" s="172">
        <v>188.58808879867553</v>
      </c>
      <c r="P33" s="172">
        <v>199.90337412659605</v>
      </c>
      <c r="Q33" s="172">
        <v>211.89757657419182</v>
      </c>
      <c r="R33" s="172">
        <v>224.61143116864332</v>
      </c>
      <c r="S33" s="172">
        <v>238.08811703876191</v>
      </c>
      <c r="T33" s="172">
        <v>252.37340406108763</v>
      </c>
      <c r="U33" s="172">
        <v>267.51580830475291</v>
      </c>
      <c r="V33" s="172">
        <v>283.56675680303806</v>
      </c>
      <c r="W33" s="172">
        <v>300.58076221122036</v>
      </c>
      <c r="X33" s="172">
        <v>318.61560794389356</v>
      </c>
      <c r="Y33" s="175">
        <v>337.73254442052718</v>
      </c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3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2"/>
      <c r="BG33" s="262"/>
      <c r="BH33" s="262"/>
      <c r="BI33" s="262"/>
      <c r="BJ33" s="262"/>
      <c r="BK33" s="262"/>
      <c r="BL33" s="262"/>
      <c r="BM33" s="263"/>
      <c r="BN33" s="262"/>
      <c r="BO33" s="262"/>
      <c r="BP33" s="262"/>
      <c r="BQ33" s="262"/>
      <c r="BR33" s="262"/>
      <c r="BS33" s="262"/>
      <c r="BT33" s="262"/>
      <c r="BU33" s="262"/>
      <c r="BV33" s="262"/>
      <c r="BW33" s="262"/>
      <c r="BX33" s="262"/>
      <c r="BY33" s="262"/>
      <c r="BZ33" s="262"/>
      <c r="CA33" s="262"/>
      <c r="CB33" s="262"/>
      <c r="CC33" s="262"/>
      <c r="CD33" s="262"/>
      <c r="CE33" s="262"/>
      <c r="CF33" s="262"/>
      <c r="CG33" s="263"/>
      <c r="CH33" s="262"/>
      <c r="CI33" s="262"/>
      <c r="CJ33" s="262"/>
      <c r="CK33" s="262"/>
      <c r="CL33" s="262"/>
      <c r="CM33" s="262"/>
      <c r="CN33" s="262"/>
      <c r="CO33" s="262"/>
      <c r="CP33" s="262"/>
      <c r="CQ33" s="262"/>
      <c r="CR33" s="262"/>
      <c r="CS33" s="262"/>
      <c r="CT33" s="262"/>
      <c r="CU33" s="262"/>
      <c r="CV33" s="262"/>
      <c r="CW33" s="262"/>
      <c r="CX33" s="262"/>
      <c r="CY33" s="262"/>
      <c r="CZ33" s="262"/>
      <c r="DA33" s="263"/>
      <c r="DB33" s="262"/>
      <c r="DC33" s="262"/>
      <c r="DD33" s="262"/>
      <c r="DE33" s="262"/>
      <c r="DF33" s="262"/>
      <c r="DG33" s="262"/>
      <c r="DH33" s="262"/>
      <c r="DI33" s="262"/>
      <c r="DJ33" s="262"/>
      <c r="DK33" s="262"/>
      <c r="DL33" s="262"/>
      <c r="DM33" s="262"/>
      <c r="DN33" s="262"/>
      <c r="DO33" s="262"/>
      <c r="DP33" s="262"/>
      <c r="DQ33" s="262"/>
      <c r="DR33" s="262"/>
      <c r="DS33" s="262"/>
      <c r="DT33" s="262"/>
      <c r="DU33" s="263"/>
      <c r="DV33" s="262"/>
      <c r="DW33" s="262"/>
      <c r="DX33" s="262"/>
      <c r="DY33" s="262"/>
      <c r="DZ33" s="262"/>
      <c r="EA33" s="262"/>
      <c r="EB33" s="262"/>
      <c r="EC33" s="262"/>
      <c r="ED33" s="262"/>
      <c r="EE33" s="262"/>
      <c r="EF33" s="262"/>
      <c r="EG33" s="262"/>
      <c r="EH33" s="262"/>
      <c r="EI33" s="262"/>
      <c r="EJ33" s="262"/>
      <c r="EK33" s="262"/>
      <c r="EL33" s="262"/>
      <c r="EM33" s="262"/>
      <c r="EN33" s="262"/>
      <c r="EO33" s="263"/>
      <c r="EP33" s="262"/>
      <c r="EQ33" s="262"/>
      <c r="ER33" s="262"/>
      <c r="ES33" s="262"/>
      <c r="ET33" s="262"/>
      <c r="EU33" s="262"/>
      <c r="EV33" s="262"/>
      <c r="EW33" s="262"/>
      <c r="EX33" s="262"/>
      <c r="EY33" s="262"/>
      <c r="EZ33" s="262"/>
      <c r="FA33" s="262"/>
      <c r="FB33" s="262"/>
      <c r="FC33" s="262"/>
      <c r="FD33" s="262"/>
      <c r="FE33" s="262"/>
      <c r="FF33" s="262"/>
      <c r="FG33" s="262"/>
      <c r="FH33" s="262"/>
      <c r="FI33" s="263"/>
      <c r="FJ33" s="262"/>
      <c r="FK33" s="262"/>
      <c r="FL33" s="262"/>
      <c r="FM33" s="262"/>
      <c r="FN33" s="262"/>
      <c r="FO33" s="262"/>
      <c r="FP33" s="262"/>
      <c r="FQ33" s="262"/>
      <c r="FR33" s="262"/>
      <c r="FS33" s="262"/>
      <c r="FT33" s="262"/>
      <c r="FU33" s="262"/>
      <c r="FV33" s="262"/>
      <c r="FW33" s="262"/>
      <c r="FX33" s="262"/>
      <c r="FY33" s="262"/>
      <c r="FZ33" s="262"/>
      <c r="GA33" s="262"/>
      <c r="GB33" s="262"/>
      <c r="GC33" s="263"/>
      <c r="GD33" s="262"/>
      <c r="GE33" s="262"/>
      <c r="GF33" s="262"/>
      <c r="GG33" s="262"/>
      <c r="GH33" s="262"/>
      <c r="GI33" s="262"/>
      <c r="GJ33" s="262"/>
      <c r="GK33" s="262"/>
      <c r="GL33" s="262"/>
      <c r="GM33" s="262"/>
      <c r="GN33" s="262"/>
      <c r="GO33" s="262"/>
      <c r="GP33" s="262"/>
      <c r="GQ33" s="262"/>
      <c r="GR33" s="262"/>
      <c r="GS33" s="262"/>
      <c r="GT33" s="262"/>
      <c r="GU33" s="262"/>
      <c r="GV33" s="262"/>
      <c r="GW33" s="263"/>
      <c r="GX33" s="262"/>
      <c r="GY33" s="262"/>
      <c r="GZ33" s="262"/>
      <c r="HA33" s="262"/>
      <c r="HB33" s="262"/>
      <c r="HC33" s="262"/>
      <c r="HD33" s="262"/>
      <c r="HE33" s="262"/>
      <c r="HF33" s="262"/>
      <c r="HG33" s="262"/>
      <c r="HH33" s="262"/>
      <c r="HI33" s="262"/>
      <c r="HJ33" s="262"/>
      <c r="HK33" s="262"/>
      <c r="HL33" s="262"/>
      <c r="HM33" s="262"/>
      <c r="HN33" s="262"/>
      <c r="HO33" s="262"/>
      <c r="HP33" s="262"/>
      <c r="HQ33" s="263"/>
      <c r="HR33" s="262"/>
      <c r="HS33" s="262"/>
      <c r="HT33" s="262"/>
      <c r="HU33" s="262"/>
      <c r="HV33" s="262"/>
      <c r="HW33" s="262"/>
      <c r="HX33" s="262"/>
      <c r="HY33" s="262"/>
      <c r="HZ33" s="262"/>
      <c r="IA33" s="262"/>
      <c r="IB33" s="262"/>
      <c r="IC33" s="262"/>
      <c r="ID33" s="262"/>
      <c r="IE33" s="262"/>
      <c r="IF33" s="262"/>
      <c r="IG33" s="262"/>
      <c r="IH33" s="262"/>
      <c r="II33" s="262"/>
      <c r="IJ33" s="262"/>
      <c r="IK33" s="263"/>
      <c r="IL33" s="262"/>
      <c r="IM33" s="262"/>
      <c r="IN33" s="262"/>
      <c r="IO33" s="262"/>
      <c r="IP33" s="262"/>
      <c r="IQ33" s="262"/>
      <c r="IR33" s="262"/>
      <c r="IS33" s="262"/>
      <c r="IT33" s="262"/>
      <c r="IU33" s="262"/>
      <c r="IV33" s="262"/>
      <c r="IW33" s="262"/>
      <c r="IX33" s="262"/>
      <c r="IY33" s="262"/>
      <c r="IZ33" s="262"/>
      <c r="JA33" s="262"/>
      <c r="JB33" s="262"/>
      <c r="JC33" s="262"/>
      <c r="JD33" s="262"/>
      <c r="JE33" s="263"/>
    </row>
    <row r="34" spans="2:265" x14ac:dyDescent="0.25">
      <c r="B34" s="83"/>
      <c r="C34" s="35"/>
      <c r="D34" s="35" t="s">
        <v>173</v>
      </c>
      <c r="E34" s="83" t="s">
        <v>101</v>
      </c>
      <c r="F34" s="172">
        <v>102.18750000000001</v>
      </c>
      <c r="G34" s="172">
        <v>108.31875000000001</v>
      </c>
      <c r="H34" s="172">
        <v>114.81787500000002</v>
      </c>
      <c r="I34" s="172">
        <v>121.70694750000001</v>
      </c>
      <c r="J34" s="172">
        <v>129.00936435000003</v>
      </c>
      <c r="K34" s="172">
        <v>136.74992621100003</v>
      </c>
      <c r="L34" s="172">
        <v>144.95492178366004</v>
      </c>
      <c r="M34" s="172">
        <v>153.65221709067964</v>
      </c>
      <c r="N34" s="172">
        <v>162.87135011612042</v>
      </c>
      <c r="O34" s="172">
        <v>172.64363112308766</v>
      </c>
      <c r="P34" s="172">
        <v>183.00224899047291</v>
      </c>
      <c r="Q34" s="172">
        <v>193.98238392990129</v>
      </c>
      <c r="R34" s="172">
        <v>205.62132696569537</v>
      </c>
      <c r="S34" s="172">
        <v>217.95860658363711</v>
      </c>
      <c r="T34" s="172">
        <v>231.03612297865533</v>
      </c>
      <c r="U34" s="172">
        <v>244.89829035737463</v>
      </c>
      <c r="V34" s="172">
        <v>259.59218777881711</v>
      </c>
      <c r="W34" s="172">
        <v>275.16771904554611</v>
      </c>
      <c r="X34" s="172">
        <v>291.67778218827885</v>
      </c>
      <c r="Y34" s="175">
        <v>309.17844911957559</v>
      </c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3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2"/>
      <c r="BG34" s="262"/>
      <c r="BH34" s="262"/>
      <c r="BI34" s="262"/>
      <c r="BJ34" s="262"/>
      <c r="BK34" s="262"/>
      <c r="BL34" s="262"/>
      <c r="BM34" s="263"/>
      <c r="BN34" s="262"/>
      <c r="BO34" s="262"/>
      <c r="BP34" s="262"/>
      <c r="BQ34" s="262"/>
      <c r="BR34" s="262"/>
      <c r="BS34" s="262"/>
      <c r="BT34" s="262"/>
      <c r="BU34" s="262"/>
      <c r="BV34" s="262"/>
      <c r="BW34" s="262"/>
      <c r="BX34" s="262"/>
      <c r="BY34" s="262"/>
      <c r="BZ34" s="262"/>
      <c r="CA34" s="262"/>
      <c r="CB34" s="262"/>
      <c r="CC34" s="262"/>
      <c r="CD34" s="262"/>
      <c r="CE34" s="262"/>
      <c r="CF34" s="262"/>
      <c r="CG34" s="263"/>
      <c r="CH34" s="262"/>
      <c r="CI34" s="262"/>
      <c r="CJ34" s="262"/>
      <c r="CK34" s="262"/>
      <c r="CL34" s="262"/>
      <c r="CM34" s="262"/>
      <c r="CN34" s="262"/>
      <c r="CO34" s="262"/>
      <c r="CP34" s="262"/>
      <c r="CQ34" s="262"/>
      <c r="CR34" s="262"/>
      <c r="CS34" s="262"/>
      <c r="CT34" s="262"/>
      <c r="CU34" s="262"/>
      <c r="CV34" s="262"/>
      <c r="CW34" s="262"/>
      <c r="CX34" s="262"/>
      <c r="CY34" s="262"/>
      <c r="CZ34" s="262"/>
      <c r="DA34" s="263"/>
      <c r="DB34" s="262"/>
      <c r="DC34" s="262"/>
      <c r="DD34" s="262"/>
      <c r="DE34" s="262"/>
      <c r="DF34" s="262"/>
      <c r="DG34" s="262"/>
      <c r="DH34" s="262"/>
      <c r="DI34" s="262"/>
      <c r="DJ34" s="262"/>
      <c r="DK34" s="262"/>
      <c r="DL34" s="262"/>
      <c r="DM34" s="262"/>
      <c r="DN34" s="262"/>
      <c r="DO34" s="262"/>
      <c r="DP34" s="262"/>
      <c r="DQ34" s="262"/>
      <c r="DR34" s="262"/>
      <c r="DS34" s="262"/>
      <c r="DT34" s="262"/>
      <c r="DU34" s="263"/>
      <c r="DV34" s="262"/>
      <c r="DW34" s="262"/>
      <c r="DX34" s="262"/>
      <c r="DY34" s="262"/>
      <c r="DZ34" s="262"/>
      <c r="EA34" s="262"/>
      <c r="EB34" s="262"/>
      <c r="EC34" s="262"/>
      <c r="ED34" s="262"/>
      <c r="EE34" s="262"/>
      <c r="EF34" s="262"/>
      <c r="EG34" s="262"/>
      <c r="EH34" s="262"/>
      <c r="EI34" s="262"/>
      <c r="EJ34" s="262"/>
      <c r="EK34" s="262"/>
      <c r="EL34" s="262"/>
      <c r="EM34" s="262"/>
      <c r="EN34" s="262"/>
      <c r="EO34" s="263"/>
      <c r="EP34" s="262"/>
      <c r="EQ34" s="262"/>
      <c r="ER34" s="262"/>
      <c r="ES34" s="262"/>
      <c r="ET34" s="262"/>
      <c r="EU34" s="262"/>
      <c r="EV34" s="262"/>
      <c r="EW34" s="262"/>
      <c r="EX34" s="262"/>
      <c r="EY34" s="262"/>
      <c r="EZ34" s="262"/>
      <c r="FA34" s="262"/>
      <c r="FB34" s="262"/>
      <c r="FC34" s="262"/>
      <c r="FD34" s="262"/>
      <c r="FE34" s="262"/>
      <c r="FF34" s="262"/>
      <c r="FG34" s="262"/>
      <c r="FH34" s="262"/>
      <c r="FI34" s="263"/>
      <c r="FJ34" s="262"/>
      <c r="FK34" s="262"/>
      <c r="FL34" s="262"/>
      <c r="FM34" s="262"/>
      <c r="FN34" s="262"/>
      <c r="FO34" s="262"/>
      <c r="FP34" s="262"/>
      <c r="FQ34" s="262"/>
      <c r="FR34" s="262"/>
      <c r="FS34" s="262"/>
      <c r="FT34" s="262"/>
      <c r="FU34" s="262"/>
      <c r="FV34" s="262"/>
      <c r="FW34" s="262"/>
      <c r="FX34" s="262"/>
      <c r="FY34" s="262"/>
      <c r="FZ34" s="262"/>
      <c r="GA34" s="262"/>
      <c r="GB34" s="262"/>
      <c r="GC34" s="263"/>
      <c r="GD34" s="262"/>
      <c r="GE34" s="262"/>
      <c r="GF34" s="262"/>
      <c r="GG34" s="262"/>
      <c r="GH34" s="262"/>
      <c r="GI34" s="262"/>
      <c r="GJ34" s="262"/>
      <c r="GK34" s="262"/>
      <c r="GL34" s="262"/>
      <c r="GM34" s="262"/>
      <c r="GN34" s="262"/>
      <c r="GO34" s="262"/>
      <c r="GP34" s="262"/>
      <c r="GQ34" s="262"/>
      <c r="GR34" s="262"/>
      <c r="GS34" s="262"/>
      <c r="GT34" s="262"/>
      <c r="GU34" s="262"/>
      <c r="GV34" s="262"/>
      <c r="GW34" s="263"/>
      <c r="GX34" s="262"/>
      <c r="GY34" s="262"/>
      <c r="GZ34" s="262"/>
      <c r="HA34" s="262"/>
      <c r="HB34" s="262"/>
      <c r="HC34" s="262"/>
      <c r="HD34" s="262"/>
      <c r="HE34" s="262"/>
      <c r="HF34" s="262"/>
      <c r="HG34" s="262"/>
      <c r="HH34" s="262"/>
      <c r="HI34" s="262"/>
      <c r="HJ34" s="262"/>
      <c r="HK34" s="262"/>
      <c r="HL34" s="262"/>
      <c r="HM34" s="262"/>
      <c r="HN34" s="262"/>
      <c r="HO34" s="262"/>
      <c r="HP34" s="262"/>
      <c r="HQ34" s="263"/>
      <c r="HR34" s="262"/>
      <c r="HS34" s="262"/>
      <c r="HT34" s="262"/>
      <c r="HU34" s="262"/>
      <c r="HV34" s="262"/>
      <c r="HW34" s="262"/>
      <c r="HX34" s="262"/>
      <c r="HY34" s="262"/>
      <c r="HZ34" s="262"/>
      <c r="IA34" s="262"/>
      <c r="IB34" s="262"/>
      <c r="IC34" s="262"/>
      <c r="ID34" s="262"/>
      <c r="IE34" s="262"/>
      <c r="IF34" s="262"/>
      <c r="IG34" s="262"/>
      <c r="IH34" s="262"/>
      <c r="II34" s="262"/>
      <c r="IJ34" s="262"/>
      <c r="IK34" s="263"/>
      <c r="IL34" s="262"/>
      <c r="IM34" s="262"/>
      <c r="IN34" s="262"/>
      <c r="IO34" s="262"/>
      <c r="IP34" s="262"/>
      <c r="IQ34" s="262"/>
      <c r="IR34" s="262"/>
      <c r="IS34" s="262"/>
      <c r="IT34" s="262"/>
      <c r="IU34" s="262"/>
      <c r="IV34" s="262"/>
      <c r="IW34" s="262"/>
      <c r="IX34" s="262"/>
      <c r="IY34" s="262"/>
      <c r="IZ34" s="262"/>
      <c r="JA34" s="262"/>
      <c r="JB34" s="262"/>
      <c r="JC34" s="262"/>
      <c r="JD34" s="262"/>
      <c r="JE34" s="263"/>
    </row>
    <row r="35" spans="2:265" x14ac:dyDescent="0.25">
      <c r="B35" s="83"/>
      <c r="C35" s="35"/>
      <c r="D35" s="35" t="s">
        <v>215</v>
      </c>
      <c r="E35" s="83" t="s">
        <v>101</v>
      </c>
      <c r="F35" s="172">
        <v>0</v>
      </c>
      <c r="G35" s="172">
        <v>0</v>
      </c>
      <c r="H35" s="172">
        <v>0</v>
      </c>
      <c r="I35" s="172">
        <v>0</v>
      </c>
      <c r="J35" s="172">
        <v>0</v>
      </c>
      <c r="K35" s="172">
        <v>0</v>
      </c>
      <c r="L35" s="172">
        <v>0</v>
      </c>
      <c r="M35" s="172">
        <v>0</v>
      </c>
      <c r="N35" s="172">
        <v>0</v>
      </c>
      <c r="O35" s="172">
        <v>0</v>
      </c>
      <c r="P35" s="172">
        <v>0</v>
      </c>
      <c r="Q35" s="172">
        <v>0</v>
      </c>
      <c r="R35" s="172">
        <v>0</v>
      </c>
      <c r="S35" s="172">
        <v>0</v>
      </c>
      <c r="T35" s="172">
        <v>0</v>
      </c>
      <c r="U35" s="172">
        <v>0</v>
      </c>
      <c r="V35" s="172">
        <v>0</v>
      </c>
      <c r="W35" s="172">
        <v>0</v>
      </c>
      <c r="X35" s="172">
        <v>0</v>
      </c>
      <c r="Y35" s="175">
        <v>0</v>
      </c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3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2"/>
      <c r="BG35" s="262"/>
      <c r="BH35" s="262"/>
      <c r="BI35" s="262"/>
      <c r="BJ35" s="262"/>
      <c r="BK35" s="262"/>
      <c r="BL35" s="262"/>
      <c r="BM35" s="263"/>
      <c r="BN35" s="262"/>
      <c r="BO35" s="262"/>
      <c r="BP35" s="262"/>
      <c r="BQ35" s="262"/>
      <c r="BR35" s="262"/>
      <c r="BS35" s="262"/>
      <c r="BT35" s="262"/>
      <c r="BU35" s="262"/>
      <c r="BV35" s="262"/>
      <c r="BW35" s="262"/>
      <c r="BX35" s="262"/>
      <c r="BY35" s="262"/>
      <c r="BZ35" s="262"/>
      <c r="CA35" s="262"/>
      <c r="CB35" s="262"/>
      <c r="CC35" s="262"/>
      <c r="CD35" s="262"/>
      <c r="CE35" s="262"/>
      <c r="CF35" s="262"/>
      <c r="CG35" s="263"/>
      <c r="CH35" s="262"/>
      <c r="CI35" s="262"/>
      <c r="CJ35" s="262"/>
      <c r="CK35" s="262"/>
      <c r="CL35" s="262"/>
      <c r="CM35" s="262"/>
      <c r="CN35" s="262"/>
      <c r="CO35" s="262"/>
      <c r="CP35" s="262"/>
      <c r="CQ35" s="262"/>
      <c r="CR35" s="262"/>
      <c r="CS35" s="262"/>
      <c r="CT35" s="262"/>
      <c r="CU35" s="262"/>
      <c r="CV35" s="262"/>
      <c r="CW35" s="262"/>
      <c r="CX35" s="262"/>
      <c r="CY35" s="262"/>
      <c r="CZ35" s="262"/>
      <c r="DA35" s="263"/>
      <c r="DB35" s="262"/>
      <c r="DC35" s="262"/>
      <c r="DD35" s="262"/>
      <c r="DE35" s="262"/>
      <c r="DF35" s="262"/>
      <c r="DG35" s="262"/>
      <c r="DH35" s="262"/>
      <c r="DI35" s="262"/>
      <c r="DJ35" s="262"/>
      <c r="DK35" s="262"/>
      <c r="DL35" s="262"/>
      <c r="DM35" s="262"/>
      <c r="DN35" s="262"/>
      <c r="DO35" s="262"/>
      <c r="DP35" s="262"/>
      <c r="DQ35" s="262"/>
      <c r="DR35" s="262"/>
      <c r="DS35" s="262"/>
      <c r="DT35" s="262"/>
      <c r="DU35" s="263"/>
      <c r="DV35" s="262"/>
      <c r="DW35" s="262"/>
      <c r="DX35" s="262"/>
      <c r="DY35" s="262"/>
      <c r="DZ35" s="262"/>
      <c r="EA35" s="262"/>
      <c r="EB35" s="262"/>
      <c r="EC35" s="262"/>
      <c r="ED35" s="262"/>
      <c r="EE35" s="262"/>
      <c r="EF35" s="262"/>
      <c r="EG35" s="262"/>
      <c r="EH35" s="262"/>
      <c r="EI35" s="262"/>
      <c r="EJ35" s="262"/>
      <c r="EK35" s="262"/>
      <c r="EL35" s="262"/>
      <c r="EM35" s="262"/>
      <c r="EN35" s="262"/>
      <c r="EO35" s="263"/>
      <c r="EP35" s="262"/>
      <c r="EQ35" s="262"/>
      <c r="ER35" s="262"/>
      <c r="ES35" s="262"/>
      <c r="ET35" s="262"/>
      <c r="EU35" s="262"/>
      <c r="EV35" s="262"/>
      <c r="EW35" s="262"/>
      <c r="EX35" s="262"/>
      <c r="EY35" s="262"/>
      <c r="EZ35" s="262"/>
      <c r="FA35" s="262"/>
      <c r="FB35" s="262"/>
      <c r="FC35" s="262"/>
      <c r="FD35" s="262"/>
      <c r="FE35" s="262"/>
      <c r="FF35" s="262"/>
      <c r="FG35" s="262"/>
      <c r="FH35" s="262"/>
      <c r="FI35" s="263"/>
      <c r="FJ35" s="262"/>
      <c r="FK35" s="262"/>
      <c r="FL35" s="262"/>
      <c r="FM35" s="262"/>
      <c r="FN35" s="262"/>
      <c r="FO35" s="262"/>
      <c r="FP35" s="262"/>
      <c r="FQ35" s="262"/>
      <c r="FR35" s="262"/>
      <c r="FS35" s="262"/>
      <c r="FT35" s="262"/>
      <c r="FU35" s="262"/>
      <c r="FV35" s="262"/>
      <c r="FW35" s="262"/>
      <c r="FX35" s="262"/>
      <c r="FY35" s="262"/>
      <c r="FZ35" s="262"/>
      <c r="GA35" s="262"/>
      <c r="GB35" s="262"/>
      <c r="GC35" s="263"/>
      <c r="GD35" s="262"/>
      <c r="GE35" s="262"/>
      <c r="GF35" s="262"/>
      <c r="GG35" s="262"/>
      <c r="GH35" s="262"/>
      <c r="GI35" s="262"/>
      <c r="GJ35" s="262"/>
      <c r="GK35" s="262"/>
      <c r="GL35" s="262"/>
      <c r="GM35" s="262"/>
      <c r="GN35" s="262"/>
      <c r="GO35" s="262"/>
      <c r="GP35" s="262"/>
      <c r="GQ35" s="262"/>
      <c r="GR35" s="262"/>
      <c r="GS35" s="262"/>
      <c r="GT35" s="262"/>
      <c r="GU35" s="262"/>
      <c r="GV35" s="262"/>
      <c r="GW35" s="263"/>
      <c r="GX35" s="262"/>
      <c r="GY35" s="262"/>
      <c r="GZ35" s="262"/>
      <c r="HA35" s="262"/>
      <c r="HB35" s="262"/>
      <c r="HC35" s="262"/>
      <c r="HD35" s="262"/>
      <c r="HE35" s="262"/>
      <c r="HF35" s="262"/>
      <c r="HG35" s="262"/>
      <c r="HH35" s="262"/>
      <c r="HI35" s="262"/>
      <c r="HJ35" s="262"/>
      <c r="HK35" s="262"/>
      <c r="HL35" s="262"/>
      <c r="HM35" s="262"/>
      <c r="HN35" s="262"/>
      <c r="HO35" s="262"/>
      <c r="HP35" s="262"/>
      <c r="HQ35" s="263"/>
      <c r="HR35" s="262"/>
      <c r="HS35" s="262"/>
      <c r="HT35" s="262"/>
      <c r="HU35" s="262"/>
      <c r="HV35" s="262"/>
      <c r="HW35" s="262"/>
      <c r="HX35" s="262"/>
      <c r="HY35" s="262"/>
      <c r="HZ35" s="262"/>
      <c r="IA35" s="262"/>
      <c r="IB35" s="262"/>
      <c r="IC35" s="262"/>
      <c r="ID35" s="262"/>
      <c r="IE35" s="262"/>
      <c r="IF35" s="262"/>
      <c r="IG35" s="262"/>
      <c r="IH35" s="262"/>
      <c r="II35" s="262"/>
      <c r="IJ35" s="262"/>
      <c r="IK35" s="263"/>
      <c r="IL35" s="262"/>
      <c r="IM35" s="262"/>
      <c r="IN35" s="262"/>
      <c r="IO35" s="262"/>
      <c r="IP35" s="262"/>
      <c r="IQ35" s="262"/>
      <c r="IR35" s="262"/>
      <c r="IS35" s="262"/>
      <c r="IT35" s="262"/>
      <c r="IU35" s="262"/>
      <c r="IV35" s="262"/>
      <c r="IW35" s="262"/>
      <c r="IX35" s="262"/>
      <c r="IY35" s="262"/>
      <c r="IZ35" s="262"/>
      <c r="JA35" s="262"/>
      <c r="JB35" s="262"/>
      <c r="JC35" s="262"/>
      <c r="JD35" s="262"/>
      <c r="JE35" s="263"/>
    </row>
    <row r="36" spans="2:265" x14ac:dyDescent="0.25">
      <c r="B36" s="83"/>
      <c r="C36" s="35"/>
      <c r="D36" s="35" t="s">
        <v>216</v>
      </c>
      <c r="E36" s="83" t="s">
        <v>101</v>
      </c>
      <c r="F36" s="172">
        <v>25.062499999999996</v>
      </c>
      <c r="G36" s="172">
        <v>26.566249999999997</v>
      </c>
      <c r="H36" s="172">
        <v>28.160224999999997</v>
      </c>
      <c r="I36" s="172">
        <v>29.849838499999997</v>
      </c>
      <c r="J36" s="172">
        <v>31.640828809999999</v>
      </c>
      <c r="K36" s="172">
        <v>33.539278538600001</v>
      </c>
      <c r="L36" s="172">
        <v>35.551635250916</v>
      </c>
      <c r="M36" s="172">
        <v>37.684733365970963</v>
      </c>
      <c r="N36" s="172">
        <v>39.945817367929223</v>
      </c>
      <c r="O36" s="172">
        <v>42.342566410004977</v>
      </c>
      <c r="P36" s="172">
        <v>44.883120394605278</v>
      </c>
      <c r="Q36" s="172">
        <v>47.576107618281597</v>
      </c>
      <c r="R36" s="172">
        <v>50.430674075378491</v>
      </c>
      <c r="S36" s="172">
        <v>53.456514519901198</v>
      </c>
      <c r="T36" s="172">
        <v>56.66390539109527</v>
      </c>
      <c r="U36" s="172">
        <v>60.063739714560988</v>
      </c>
      <c r="V36" s="172">
        <v>63.667564097434649</v>
      </c>
      <c r="W36" s="172">
        <v>67.487617943280725</v>
      </c>
      <c r="X36" s="172">
        <v>71.53687501987757</v>
      </c>
      <c r="Y36" s="175">
        <v>75.829087521070221</v>
      </c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3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62"/>
      <c r="BM36" s="263"/>
      <c r="BN36" s="262"/>
      <c r="BO36" s="262"/>
      <c r="BP36" s="262"/>
      <c r="BQ36" s="262"/>
      <c r="BR36" s="262"/>
      <c r="BS36" s="262"/>
      <c r="BT36" s="262"/>
      <c r="BU36" s="262"/>
      <c r="BV36" s="262"/>
      <c r="BW36" s="262"/>
      <c r="BX36" s="262"/>
      <c r="BY36" s="262"/>
      <c r="BZ36" s="262"/>
      <c r="CA36" s="262"/>
      <c r="CB36" s="262"/>
      <c r="CC36" s="262"/>
      <c r="CD36" s="262"/>
      <c r="CE36" s="262"/>
      <c r="CF36" s="262"/>
      <c r="CG36" s="263"/>
      <c r="CH36" s="262"/>
      <c r="CI36" s="262"/>
      <c r="CJ36" s="262"/>
      <c r="CK36" s="262"/>
      <c r="CL36" s="262"/>
      <c r="CM36" s="262"/>
      <c r="CN36" s="262"/>
      <c r="CO36" s="262"/>
      <c r="CP36" s="262"/>
      <c r="CQ36" s="262"/>
      <c r="CR36" s="262"/>
      <c r="CS36" s="262"/>
      <c r="CT36" s="262"/>
      <c r="CU36" s="262"/>
      <c r="CV36" s="262"/>
      <c r="CW36" s="262"/>
      <c r="CX36" s="262"/>
      <c r="CY36" s="262"/>
      <c r="CZ36" s="262"/>
      <c r="DA36" s="263"/>
      <c r="DB36" s="262"/>
      <c r="DC36" s="262"/>
      <c r="DD36" s="262"/>
      <c r="DE36" s="262"/>
      <c r="DF36" s="262"/>
      <c r="DG36" s="262"/>
      <c r="DH36" s="262"/>
      <c r="DI36" s="262"/>
      <c r="DJ36" s="262"/>
      <c r="DK36" s="262"/>
      <c r="DL36" s="262"/>
      <c r="DM36" s="262"/>
      <c r="DN36" s="262"/>
      <c r="DO36" s="262"/>
      <c r="DP36" s="262"/>
      <c r="DQ36" s="262"/>
      <c r="DR36" s="262"/>
      <c r="DS36" s="262"/>
      <c r="DT36" s="262"/>
      <c r="DU36" s="263"/>
      <c r="DV36" s="262"/>
      <c r="DW36" s="262"/>
      <c r="DX36" s="262"/>
      <c r="DY36" s="262"/>
      <c r="DZ36" s="262"/>
      <c r="EA36" s="262"/>
      <c r="EB36" s="262"/>
      <c r="EC36" s="262"/>
      <c r="ED36" s="262"/>
      <c r="EE36" s="262"/>
      <c r="EF36" s="262"/>
      <c r="EG36" s="262"/>
      <c r="EH36" s="262"/>
      <c r="EI36" s="262"/>
      <c r="EJ36" s="262"/>
      <c r="EK36" s="262"/>
      <c r="EL36" s="262"/>
      <c r="EM36" s="262"/>
      <c r="EN36" s="262"/>
      <c r="EO36" s="263"/>
      <c r="EP36" s="262"/>
      <c r="EQ36" s="262"/>
      <c r="ER36" s="262"/>
      <c r="ES36" s="262"/>
      <c r="ET36" s="262"/>
      <c r="EU36" s="262"/>
      <c r="EV36" s="262"/>
      <c r="EW36" s="262"/>
      <c r="EX36" s="262"/>
      <c r="EY36" s="262"/>
      <c r="EZ36" s="262"/>
      <c r="FA36" s="262"/>
      <c r="FB36" s="262"/>
      <c r="FC36" s="262"/>
      <c r="FD36" s="262"/>
      <c r="FE36" s="262"/>
      <c r="FF36" s="262"/>
      <c r="FG36" s="262"/>
      <c r="FH36" s="262"/>
      <c r="FI36" s="263"/>
      <c r="FJ36" s="262"/>
      <c r="FK36" s="262"/>
      <c r="FL36" s="262"/>
      <c r="FM36" s="262"/>
      <c r="FN36" s="262"/>
      <c r="FO36" s="262"/>
      <c r="FP36" s="262"/>
      <c r="FQ36" s="262"/>
      <c r="FR36" s="262"/>
      <c r="FS36" s="262"/>
      <c r="FT36" s="262"/>
      <c r="FU36" s="262"/>
      <c r="FV36" s="262"/>
      <c r="FW36" s="262"/>
      <c r="FX36" s="262"/>
      <c r="FY36" s="262"/>
      <c r="FZ36" s="262"/>
      <c r="GA36" s="262"/>
      <c r="GB36" s="262"/>
      <c r="GC36" s="263"/>
      <c r="GD36" s="262"/>
      <c r="GE36" s="262"/>
      <c r="GF36" s="262"/>
      <c r="GG36" s="262"/>
      <c r="GH36" s="262"/>
      <c r="GI36" s="262"/>
      <c r="GJ36" s="262"/>
      <c r="GK36" s="262"/>
      <c r="GL36" s="262"/>
      <c r="GM36" s="262"/>
      <c r="GN36" s="262"/>
      <c r="GO36" s="262"/>
      <c r="GP36" s="262"/>
      <c r="GQ36" s="262"/>
      <c r="GR36" s="262"/>
      <c r="GS36" s="262"/>
      <c r="GT36" s="262"/>
      <c r="GU36" s="262"/>
      <c r="GV36" s="262"/>
      <c r="GW36" s="263"/>
      <c r="GX36" s="262"/>
      <c r="GY36" s="262"/>
      <c r="GZ36" s="262"/>
      <c r="HA36" s="262"/>
      <c r="HB36" s="262"/>
      <c r="HC36" s="262"/>
      <c r="HD36" s="262"/>
      <c r="HE36" s="262"/>
      <c r="HF36" s="262"/>
      <c r="HG36" s="262"/>
      <c r="HH36" s="262"/>
      <c r="HI36" s="262"/>
      <c r="HJ36" s="262"/>
      <c r="HK36" s="262"/>
      <c r="HL36" s="262"/>
      <c r="HM36" s="262"/>
      <c r="HN36" s="262"/>
      <c r="HO36" s="262"/>
      <c r="HP36" s="262"/>
      <c r="HQ36" s="263"/>
      <c r="HR36" s="262"/>
      <c r="HS36" s="262"/>
      <c r="HT36" s="262"/>
      <c r="HU36" s="262"/>
      <c r="HV36" s="262"/>
      <c r="HW36" s="262"/>
      <c r="HX36" s="262"/>
      <c r="HY36" s="262"/>
      <c r="HZ36" s="262"/>
      <c r="IA36" s="262"/>
      <c r="IB36" s="262"/>
      <c r="IC36" s="262"/>
      <c r="ID36" s="262"/>
      <c r="IE36" s="262"/>
      <c r="IF36" s="262"/>
      <c r="IG36" s="262"/>
      <c r="IH36" s="262"/>
      <c r="II36" s="262"/>
      <c r="IJ36" s="262"/>
      <c r="IK36" s="263"/>
      <c r="IL36" s="262"/>
      <c r="IM36" s="262"/>
      <c r="IN36" s="262"/>
      <c r="IO36" s="262"/>
      <c r="IP36" s="262"/>
      <c r="IQ36" s="262"/>
      <c r="IR36" s="262"/>
      <c r="IS36" s="262"/>
      <c r="IT36" s="262"/>
      <c r="IU36" s="262"/>
      <c r="IV36" s="262"/>
      <c r="IW36" s="262"/>
      <c r="IX36" s="262"/>
      <c r="IY36" s="262"/>
      <c r="IZ36" s="262"/>
      <c r="JA36" s="262"/>
      <c r="JB36" s="262"/>
      <c r="JC36" s="262"/>
      <c r="JD36" s="262"/>
      <c r="JE36" s="263"/>
    </row>
    <row r="37" spans="2:265" x14ac:dyDescent="0.25">
      <c r="B37" s="83"/>
      <c r="C37" s="35"/>
      <c r="D37" s="35" t="s">
        <v>217</v>
      </c>
      <c r="E37" s="83" t="s">
        <v>101</v>
      </c>
      <c r="F37" s="172">
        <v>29.3125</v>
      </c>
      <c r="G37" s="172">
        <v>31.071249999999999</v>
      </c>
      <c r="H37" s="172">
        <v>32.935524999999998</v>
      </c>
      <c r="I37" s="172">
        <v>34.911656499999999</v>
      </c>
      <c r="J37" s="172">
        <v>37.006355890000002</v>
      </c>
      <c r="K37" s="172">
        <v>39.226737243400002</v>
      </c>
      <c r="L37" s="172">
        <v>41.580341478004001</v>
      </c>
      <c r="M37" s="172">
        <v>44.075161966684242</v>
      </c>
      <c r="N37" s="172">
        <v>46.719671684685295</v>
      </c>
      <c r="O37" s="172">
        <v>49.522851985766415</v>
      </c>
      <c r="P37" s="172">
        <v>52.4942231049124</v>
      </c>
      <c r="Q37" s="172">
        <v>55.643876491207145</v>
      </c>
      <c r="R37" s="172">
        <v>58.98250908067957</v>
      </c>
      <c r="S37" s="172">
        <v>62.521459625520343</v>
      </c>
      <c r="T37" s="172">
        <v>66.272747203051566</v>
      </c>
      <c r="U37" s="172">
        <v>70.24911203523466</v>
      </c>
      <c r="V37" s="172">
        <v>74.464058757348738</v>
      </c>
      <c r="W37" s="172">
        <v>78.931902282789665</v>
      </c>
      <c r="X37" s="172">
        <v>83.667816419757045</v>
      </c>
      <c r="Y37" s="175">
        <v>88.687885404942463</v>
      </c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3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2"/>
      <c r="BG37" s="262"/>
      <c r="BH37" s="262"/>
      <c r="BI37" s="262"/>
      <c r="BJ37" s="262"/>
      <c r="BK37" s="262"/>
      <c r="BL37" s="262"/>
      <c r="BM37" s="263"/>
      <c r="BN37" s="262"/>
      <c r="BO37" s="262"/>
      <c r="BP37" s="262"/>
      <c r="BQ37" s="262"/>
      <c r="BR37" s="262"/>
      <c r="BS37" s="262"/>
      <c r="BT37" s="262"/>
      <c r="BU37" s="262"/>
      <c r="BV37" s="262"/>
      <c r="BW37" s="262"/>
      <c r="BX37" s="262"/>
      <c r="BY37" s="262"/>
      <c r="BZ37" s="262"/>
      <c r="CA37" s="262"/>
      <c r="CB37" s="262"/>
      <c r="CC37" s="262"/>
      <c r="CD37" s="262"/>
      <c r="CE37" s="262"/>
      <c r="CF37" s="262"/>
      <c r="CG37" s="263"/>
      <c r="CH37" s="262"/>
      <c r="CI37" s="262"/>
      <c r="CJ37" s="262"/>
      <c r="CK37" s="262"/>
      <c r="CL37" s="262"/>
      <c r="CM37" s="262"/>
      <c r="CN37" s="262"/>
      <c r="CO37" s="262"/>
      <c r="CP37" s="262"/>
      <c r="CQ37" s="262"/>
      <c r="CR37" s="262"/>
      <c r="CS37" s="262"/>
      <c r="CT37" s="262"/>
      <c r="CU37" s="262"/>
      <c r="CV37" s="262"/>
      <c r="CW37" s="262"/>
      <c r="CX37" s="262"/>
      <c r="CY37" s="262"/>
      <c r="CZ37" s="262"/>
      <c r="DA37" s="263"/>
      <c r="DB37" s="262"/>
      <c r="DC37" s="262"/>
      <c r="DD37" s="262"/>
      <c r="DE37" s="262"/>
      <c r="DF37" s="262"/>
      <c r="DG37" s="262"/>
      <c r="DH37" s="262"/>
      <c r="DI37" s="262"/>
      <c r="DJ37" s="262"/>
      <c r="DK37" s="262"/>
      <c r="DL37" s="262"/>
      <c r="DM37" s="262"/>
      <c r="DN37" s="262"/>
      <c r="DO37" s="262"/>
      <c r="DP37" s="262"/>
      <c r="DQ37" s="262"/>
      <c r="DR37" s="262"/>
      <c r="DS37" s="262"/>
      <c r="DT37" s="262"/>
      <c r="DU37" s="263"/>
      <c r="DV37" s="262"/>
      <c r="DW37" s="262"/>
      <c r="DX37" s="262"/>
      <c r="DY37" s="262"/>
      <c r="DZ37" s="262"/>
      <c r="EA37" s="262"/>
      <c r="EB37" s="262"/>
      <c r="EC37" s="262"/>
      <c r="ED37" s="262"/>
      <c r="EE37" s="262"/>
      <c r="EF37" s="262"/>
      <c r="EG37" s="262"/>
      <c r="EH37" s="262"/>
      <c r="EI37" s="262"/>
      <c r="EJ37" s="262"/>
      <c r="EK37" s="262"/>
      <c r="EL37" s="262"/>
      <c r="EM37" s="262"/>
      <c r="EN37" s="262"/>
      <c r="EO37" s="263"/>
      <c r="EP37" s="262"/>
      <c r="EQ37" s="262"/>
      <c r="ER37" s="262"/>
      <c r="ES37" s="262"/>
      <c r="ET37" s="262"/>
      <c r="EU37" s="262"/>
      <c r="EV37" s="262"/>
      <c r="EW37" s="262"/>
      <c r="EX37" s="262"/>
      <c r="EY37" s="262"/>
      <c r="EZ37" s="262"/>
      <c r="FA37" s="262"/>
      <c r="FB37" s="262"/>
      <c r="FC37" s="262"/>
      <c r="FD37" s="262"/>
      <c r="FE37" s="262"/>
      <c r="FF37" s="262"/>
      <c r="FG37" s="262"/>
      <c r="FH37" s="262"/>
      <c r="FI37" s="263"/>
      <c r="FJ37" s="262"/>
      <c r="FK37" s="262"/>
      <c r="FL37" s="262"/>
      <c r="FM37" s="262"/>
      <c r="FN37" s="262"/>
      <c r="FO37" s="262"/>
      <c r="FP37" s="262"/>
      <c r="FQ37" s="262"/>
      <c r="FR37" s="262"/>
      <c r="FS37" s="262"/>
      <c r="FT37" s="262"/>
      <c r="FU37" s="262"/>
      <c r="FV37" s="262"/>
      <c r="FW37" s="262"/>
      <c r="FX37" s="262"/>
      <c r="FY37" s="262"/>
      <c r="FZ37" s="262"/>
      <c r="GA37" s="262"/>
      <c r="GB37" s="262"/>
      <c r="GC37" s="263"/>
      <c r="GD37" s="262"/>
      <c r="GE37" s="262"/>
      <c r="GF37" s="262"/>
      <c r="GG37" s="262"/>
      <c r="GH37" s="262"/>
      <c r="GI37" s="262"/>
      <c r="GJ37" s="262"/>
      <c r="GK37" s="262"/>
      <c r="GL37" s="262"/>
      <c r="GM37" s="262"/>
      <c r="GN37" s="262"/>
      <c r="GO37" s="262"/>
      <c r="GP37" s="262"/>
      <c r="GQ37" s="262"/>
      <c r="GR37" s="262"/>
      <c r="GS37" s="262"/>
      <c r="GT37" s="262"/>
      <c r="GU37" s="262"/>
      <c r="GV37" s="262"/>
      <c r="GW37" s="263"/>
      <c r="GX37" s="262"/>
      <c r="GY37" s="262"/>
      <c r="GZ37" s="262"/>
      <c r="HA37" s="262"/>
      <c r="HB37" s="262"/>
      <c r="HC37" s="262"/>
      <c r="HD37" s="262"/>
      <c r="HE37" s="262"/>
      <c r="HF37" s="262"/>
      <c r="HG37" s="262"/>
      <c r="HH37" s="262"/>
      <c r="HI37" s="262"/>
      <c r="HJ37" s="262"/>
      <c r="HK37" s="262"/>
      <c r="HL37" s="262"/>
      <c r="HM37" s="262"/>
      <c r="HN37" s="262"/>
      <c r="HO37" s="262"/>
      <c r="HP37" s="262"/>
      <c r="HQ37" s="263"/>
      <c r="HR37" s="262"/>
      <c r="HS37" s="262"/>
      <c r="HT37" s="262"/>
      <c r="HU37" s="262"/>
      <c r="HV37" s="262"/>
      <c r="HW37" s="262"/>
      <c r="HX37" s="262"/>
      <c r="HY37" s="262"/>
      <c r="HZ37" s="262"/>
      <c r="IA37" s="262"/>
      <c r="IB37" s="262"/>
      <c r="IC37" s="262"/>
      <c r="ID37" s="262"/>
      <c r="IE37" s="262"/>
      <c r="IF37" s="262"/>
      <c r="IG37" s="262"/>
      <c r="IH37" s="262"/>
      <c r="II37" s="262"/>
      <c r="IJ37" s="262"/>
      <c r="IK37" s="263"/>
      <c r="IL37" s="262"/>
      <c r="IM37" s="262"/>
      <c r="IN37" s="262"/>
      <c r="IO37" s="262"/>
      <c r="IP37" s="262"/>
      <c r="IQ37" s="262"/>
      <c r="IR37" s="262"/>
      <c r="IS37" s="262"/>
      <c r="IT37" s="262"/>
      <c r="IU37" s="262"/>
      <c r="IV37" s="262"/>
      <c r="IW37" s="262"/>
      <c r="IX37" s="262"/>
      <c r="IY37" s="262"/>
      <c r="IZ37" s="262"/>
      <c r="JA37" s="262"/>
      <c r="JB37" s="262"/>
      <c r="JC37" s="262"/>
      <c r="JD37" s="262"/>
      <c r="JE37" s="263"/>
    </row>
    <row r="38" spans="2:265" x14ac:dyDescent="0.25">
      <c r="B38" s="83"/>
      <c r="C38" s="35"/>
      <c r="D38" s="35" t="s">
        <v>218</v>
      </c>
      <c r="E38" s="83" t="s">
        <v>101</v>
      </c>
      <c r="F38" s="172">
        <v>12.8125</v>
      </c>
      <c r="G38" s="172">
        <v>13.581250000000001</v>
      </c>
      <c r="H38" s="172">
        <v>14.396125000000001</v>
      </c>
      <c r="I38" s="172">
        <v>15.259892500000001</v>
      </c>
      <c r="J38" s="172">
        <v>16.17548605</v>
      </c>
      <c r="K38" s="172">
        <v>17.146015212999998</v>
      </c>
      <c r="L38" s="172">
        <v>18.174776125779999</v>
      </c>
      <c r="M38" s="172">
        <v>19.2652626933268</v>
      </c>
      <c r="N38" s="172">
        <v>20.421178454926409</v>
      </c>
      <c r="O38" s="172">
        <v>21.646449162221995</v>
      </c>
      <c r="P38" s="172">
        <v>22.945236111955314</v>
      </c>
      <c r="Q38" s="172">
        <v>24.321950278672631</v>
      </c>
      <c r="R38" s="172">
        <v>25.78126729539299</v>
      </c>
      <c r="S38" s="172">
        <v>27.328143333116568</v>
      </c>
      <c r="T38" s="172">
        <v>28.967831933103561</v>
      </c>
      <c r="U38" s="172">
        <v>30.705901849089773</v>
      </c>
      <c r="V38" s="172">
        <v>32.548255960035156</v>
      </c>
      <c r="W38" s="172">
        <v>34.501151317637266</v>
      </c>
      <c r="X38" s="172">
        <v>36.571220396695502</v>
      </c>
      <c r="Y38" s="175">
        <v>38.765493620497232</v>
      </c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3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2"/>
      <c r="BG38" s="262"/>
      <c r="BH38" s="262"/>
      <c r="BI38" s="262"/>
      <c r="BJ38" s="262"/>
      <c r="BK38" s="262"/>
      <c r="BL38" s="262"/>
      <c r="BM38" s="263"/>
      <c r="BN38" s="262"/>
      <c r="BO38" s="262"/>
      <c r="BP38" s="262"/>
      <c r="BQ38" s="262"/>
      <c r="BR38" s="262"/>
      <c r="BS38" s="262"/>
      <c r="BT38" s="262"/>
      <c r="BU38" s="262"/>
      <c r="BV38" s="262"/>
      <c r="BW38" s="262"/>
      <c r="BX38" s="262"/>
      <c r="BY38" s="262"/>
      <c r="BZ38" s="262"/>
      <c r="CA38" s="262"/>
      <c r="CB38" s="262"/>
      <c r="CC38" s="262"/>
      <c r="CD38" s="262"/>
      <c r="CE38" s="262"/>
      <c r="CF38" s="262"/>
      <c r="CG38" s="263"/>
      <c r="CH38" s="262"/>
      <c r="CI38" s="262"/>
      <c r="CJ38" s="262"/>
      <c r="CK38" s="262"/>
      <c r="CL38" s="262"/>
      <c r="CM38" s="262"/>
      <c r="CN38" s="262"/>
      <c r="CO38" s="262"/>
      <c r="CP38" s="262"/>
      <c r="CQ38" s="262"/>
      <c r="CR38" s="262"/>
      <c r="CS38" s="262"/>
      <c r="CT38" s="262"/>
      <c r="CU38" s="262"/>
      <c r="CV38" s="262"/>
      <c r="CW38" s="262"/>
      <c r="CX38" s="262"/>
      <c r="CY38" s="262"/>
      <c r="CZ38" s="262"/>
      <c r="DA38" s="263"/>
      <c r="DB38" s="262"/>
      <c r="DC38" s="262"/>
      <c r="DD38" s="262"/>
      <c r="DE38" s="262"/>
      <c r="DF38" s="262"/>
      <c r="DG38" s="262"/>
      <c r="DH38" s="262"/>
      <c r="DI38" s="262"/>
      <c r="DJ38" s="262"/>
      <c r="DK38" s="262"/>
      <c r="DL38" s="262"/>
      <c r="DM38" s="262"/>
      <c r="DN38" s="262"/>
      <c r="DO38" s="262"/>
      <c r="DP38" s="262"/>
      <c r="DQ38" s="262"/>
      <c r="DR38" s="262"/>
      <c r="DS38" s="262"/>
      <c r="DT38" s="262"/>
      <c r="DU38" s="263"/>
      <c r="DV38" s="262"/>
      <c r="DW38" s="262"/>
      <c r="DX38" s="262"/>
      <c r="DY38" s="262"/>
      <c r="DZ38" s="262"/>
      <c r="EA38" s="262"/>
      <c r="EB38" s="262"/>
      <c r="EC38" s="262"/>
      <c r="ED38" s="262"/>
      <c r="EE38" s="262"/>
      <c r="EF38" s="262"/>
      <c r="EG38" s="262"/>
      <c r="EH38" s="262"/>
      <c r="EI38" s="262"/>
      <c r="EJ38" s="262"/>
      <c r="EK38" s="262"/>
      <c r="EL38" s="262"/>
      <c r="EM38" s="262"/>
      <c r="EN38" s="262"/>
      <c r="EO38" s="263"/>
      <c r="EP38" s="262"/>
      <c r="EQ38" s="262"/>
      <c r="ER38" s="262"/>
      <c r="ES38" s="262"/>
      <c r="ET38" s="262"/>
      <c r="EU38" s="262"/>
      <c r="EV38" s="262"/>
      <c r="EW38" s="262"/>
      <c r="EX38" s="262"/>
      <c r="EY38" s="262"/>
      <c r="EZ38" s="262"/>
      <c r="FA38" s="262"/>
      <c r="FB38" s="262"/>
      <c r="FC38" s="262"/>
      <c r="FD38" s="262"/>
      <c r="FE38" s="262"/>
      <c r="FF38" s="262"/>
      <c r="FG38" s="262"/>
      <c r="FH38" s="262"/>
      <c r="FI38" s="263"/>
      <c r="FJ38" s="262"/>
      <c r="FK38" s="262"/>
      <c r="FL38" s="262"/>
      <c r="FM38" s="262"/>
      <c r="FN38" s="262"/>
      <c r="FO38" s="262"/>
      <c r="FP38" s="262"/>
      <c r="FQ38" s="262"/>
      <c r="FR38" s="262"/>
      <c r="FS38" s="262"/>
      <c r="FT38" s="262"/>
      <c r="FU38" s="262"/>
      <c r="FV38" s="262"/>
      <c r="FW38" s="262"/>
      <c r="FX38" s="262"/>
      <c r="FY38" s="262"/>
      <c r="FZ38" s="262"/>
      <c r="GA38" s="262"/>
      <c r="GB38" s="262"/>
      <c r="GC38" s="263"/>
      <c r="GD38" s="262"/>
      <c r="GE38" s="262"/>
      <c r="GF38" s="262"/>
      <c r="GG38" s="262"/>
      <c r="GH38" s="262"/>
      <c r="GI38" s="262"/>
      <c r="GJ38" s="262"/>
      <c r="GK38" s="262"/>
      <c r="GL38" s="262"/>
      <c r="GM38" s="262"/>
      <c r="GN38" s="262"/>
      <c r="GO38" s="262"/>
      <c r="GP38" s="262"/>
      <c r="GQ38" s="262"/>
      <c r="GR38" s="262"/>
      <c r="GS38" s="262"/>
      <c r="GT38" s="262"/>
      <c r="GU38" s="262"/>
      <c r="GV38" s="262"/>
      <c r="GW38" s="263"/>
      <c r="GX38" s="262"/>
      <c r="GY38" s="262"/>
      <c r="GZ38" s="262"/>
      <c r="HA38" s="262"/>
      <c r="HB38" s="262"/>
      <c r="HC38" s="262"/>
      <c r="HD38" s="262"/>
      <c r="HE38" s="262"/>
      <c r="HF38" s="262"/>
      <c r="HG38" s="262"/>
      <c r="HH38" s="262"/>
      <c r="HI38" s="262"/>
      <c r="HJ38" s="262"/>
      <c r="HK38" s="262"/>
      <c r="HL38" s="262"/>
      <c r="HM38" s="262"/>
      <c r="HN38" s="262"/>
      <c r="HO38" s="262"/>
      <c r="HP38" s="262"/>
      <c r="HQ38" s="263"/>
      <c r="HR38" s="262"/>
      <c r="HS38" s="262"/>
      <c r="HT38" s="262"/>
      <c r="HU38" s="262"/>
      <c r="HV38" s="262"/>
      <c r="HW38" s="262"/>
      <c r="HX38" s="262"/>
      <c r="HY38" s="262"/>
      <c r="HZ38" s="262"/>
      <c r="IA38" s="262"/>
      <c r="IB38" s="262"/>
      <c r="IC38" s="262"/>
      <c r="ID38" s="262"/>
      <c r="IE38" s="262"/>
      <c r="IF38" s="262"/>
      <c r="IG38" s="262"/>
      <c r="IH38" s="262"/>
      <c r="II38" s="262"/>
      <c r="IJ38" s="262"/>
      <c r="IK38" s="263"/>
      <c r="IL38" s="262"/>
      <c r="IM38" s="262"/>
      <c r="IN38" s="262"/>
      <c r="IO38" s="262"/>
      <c r="IP38" s="262"/>
      <c r="IQ38" s="262"/>
      <c r="IR38" s="262"/>
      <c r="IS38" s="262"/>
      <c r="IT38" s="262"/>
      <c r="IU38" s="262"/>
      <c r="IV38" s="262"/>
      <c r="IW38" s="262"/>
      <c r="IX38" s="262"/>
      <c r="IY38" s="262"/>
      <c r="IZ38" s="262"/>
      <c r="JA38" s="262"/>
      <c r="JB38" s="262"/>
      <c r="JC38" s="262"/>
      <c r="JD38" s="262"/>
      <c r="JE38" s="263"/>
    </row>
    <row r="39" spans="2:265" x14ac:dyDescent="0.25">
      <c r="B39" s="83"/>
      <c r="C39" s="35"/>
      <c r="D39" s="35" t="s">
        <v>219</v>
      </c>
      <c r="E39" s="83" t="s">
        <v>101</v>
      </c>
      <c r="F39" s="172">
        <v>16.6875</v>
      </c>
      <c r="G39" s="172">
        <v>17.688749999999999</v>
      </c>
      <c r="H39" s="172">
        <v>18.750074999999999</v>
      </c>
      <c r="I39" s="172">
        <v>19.875079499999998</v>
      </c>
      <c r="J39" s="172">
        <v>21.067584269999998</v>
      </c>
      <c r="K39" s="172">
        <v>22.331639326199998</v>
      </c>
      <c r="L39" s="172">
        <v>23.671537685771998</v>
      </c>
      <c r="M39" s="172">
        <v>25.091829946918317</v>
      </c>
      <c r="N39" s="172">
        <v>26.597339743733414</v>
      </c>
      <c r="O39" s="172">
        <v>28.193180128357419</v>
      </c>
      <c r="P39" s="172">
        <v>29.884770936058864</v>
      </c>
      <c r="Q39" s="172">
        <v>31.677857192222394</v>
      </c>
      <c r="R39" s="172">
        <v>33.578528623755737</v>
      </c>
      <c r="S39" s="172">
        <v>35.59324034118108</v>
      </c>
      <c r="T39" s="172">
        <v>37.728834761651946</v>
      </c>
      <c r="U39" s="172">
        <v>39.992564847351062</v>
      </c>
      <c r="V39" s="172">
        <v>42.392118738192124</v>
      </c>
      <c r="W39" s="172">
        <v>44.935645862483653</v>
      </c>
      <c r="X39" s="172">
        <v>47.631784614232672</v>
      </c>
      <c r="Y39" s="175">
        <v>50.489691691086634</v>
      </c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3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2"/>
      <c r="BG39" s="262"/>
      <c r="BH39" s="262"/>
      <c r="BI39" s="262"/>
      <c r="BJ39" s="262"/>
      <c r="BK39" s="262"/>
      <c r="BL39" s="262"/>
      <c r="BM39" s="263"/>
      <c r="BN39" s="262"/>
      <c r="BO39" s="262"/>
      <c r="BP39" s="262"/>
      <c r="BQ39" s="262"/>
      <c r="BR39" s="262"/>
      <c r="BS39" s="262"/>
      <c r="BT39" s="262"/>
      <c r="BU39" s="262"/>
      <c r="BV39" s="262"/>
      <c r="BW39" s="262"/>
      <c r="BX39" s="262"/>
      <c r="BY39" s="262"/>
      <c r="BZ39" s="262"/>
      <c r="CA39" s="262"/>
      <c r="CB39" s="262"/>
      <c r="CC39" s="262"/>
      <c r="CD39" s="262"/>
      <c r="CE39" s="262"/>
      <c r="CF39" s="262"/>
      <c r="CG39" s="263"/>
      <c r="CH39" s="262"/>
      <c r="CI39" s="262"/>
      <c r="CJ39" s="262"/>
      <c r="CK39" s="262"/>
      <c r="CL39" s="262"/>
      <c r="CM39" s="262"/>
      <c r="CN39" s="262"/>
      <c r="CO39" s="262"/>
      <c r="CP39" s="262"/>
      <c r="CQ39" s="262"/>
      <c r="CR39" s="262"/>
      <c r="CS39" s="262"/>
      <c r="CT39" s="262"/>
      <c r="CU39" s="262"/>
      <c r="CV39" s="262"/>
      <c r="CW39" s="262"/>
      <c r="CX39" s="262"/>
      <c r="CY39" s="262"/>
      <c r="CZ39" s="262"/>
      <c r="DA39" s="263"/>
      <c r="DB39" s="262"/>
      <c r="DC39" s="262"/>
      <c r="DD39" s="262"/>
      <c r="DE39" s="262"/>
      <c r="DF39" s="262"/>
      <c r="DG39" s="262"/>
      <c r="DH39" s="262"/>
      <c r="DI39" s="262"/>
      <c r="DJ39" s="262"/>
      <c r="DK39" s="262"/>
      <c r="DL39" s="262"/>
      <c r="DM39" s="262"/>
      <c r="DN39" s="262"/>
      <c r="DO39" s="262"/>
      <c r="DP39" s="262"/>
      <c r="DQ39" s="262"/>
      <c r="DR39" s="262"/>
      <c r="DS39" s="262"/>
      <c r="DT39" s="262"/>
      <c r="DU39" s="263"/>
      <c r="DV39" s="262"/>
      <c r="DW39" s="262"/>
      <c r="DX39" s="262"/>
      <c r="DY39" s="262"/>
      <c r="DZ39" s="262"/>
      <c r="EA39" s="262"/>
      <c r="EB39" s="262"/>
      <c r="EC39" s="262"/>
      <c r="ED39" s="262"/>
      <c r="EE39" s="262"/>
      <c r="EF39" s="262"/>
      <c r="EG39" s="262"/>
      <c r="EH39" s="262"/>
      <c r="EI39" s="262"/>
      <c r="EJ39" s="262"/>
      <c r="EK39" s="262"/>
      <c r="EL39" s="262"/>
      <c r="EM39" s="262"/>
      <c r="EN39" s="262"/>
      <c r="EO39" s="263"/>
      <c r="EP39" s="262"/>
      <c r="EQ39" s="262"/>
      <c r="ER39" s="262"/>
      <c r="ES39" s="262"/>
      <c r="ET39" s="262"/>
      <c r="EU39" s="262"/>
      <c r="EV39" s="262"/>
      <c r="EW39" s="262"/>
      <c r="EX39" s="262"/>
      <c r="EY39" s="262"/>
      <c r="EZ39" s="262"/>
      <c r="FA39" s="262"/>
      <c r="FB39" s="262"/>
      <c r="FC39" s="262"/>
      <c r="FD39" s="262"/>
      <c r="FE39" s="262"/>
      <c r="FF39" s="262"/>
      <c r="FG39" s="262"/>
      <c r="FH39" s="262"/>
      <c r="FI39" s="263"/>
      <c r="FJ39" s="262"/>
      <c r="FK39" s="262"/>
      <c r="FL39" s="262"/>
      <c r="FM39" s="262"/>
      <c r="FN39" s="262"/>
      <c r="FO39" s="262"/>
      <c r="FP39" s="262"/>
      <c r="FQ39" s="262"/>
      <c r="FR39" s="262"/>
      <c r="FS39" s="262"/>
      <c r="FT39" s="262"/>
      <c r="FU39" s="262"/>
      <c r="FV39" s="262"/>
      <c r="FW39" s="262"/>
      <c r="FX39" s="262"/>
      <c r="FY39" s="262"/>
      <c r="FZ39" s="262"/>
      <c r="GA39" s="262"/>
      <c r="GB39" s="262"/>
      <c r="GC39" s="263"/>
      <c r="GD39" s="262"/>
      <c r="GE39" s="262"/>
      <c r="GF39" s="262"/>
      <c r="GG39" s="262"/>
      <c r="GH39" s="262"/>
      <c r="GI39" s="262"/>
      <c r="GJ39" s="262"/>
      <c r="GK39" s="262"/>
      <c r="GL39" s="262"/>
      <c r="GM39" s="262"/>
      <c r="GN39" s="262"/>
      <c r="GO39" s="262"/>
      <c r="GP39" s="262"/>
      <c r="GQ39" s="262"/>
      <c r="GR39" s="262"/>
      <c r="GS39" s="262"/>
      <c r="GT39" s="262"/>
      <c r="GU39" s="262"/>
      <c r="GV39" s="262"/>
      <c r="GW39" s="263"/>
      <c r="GX39" s="262"/>
      <c r="GY39" s="262"/>
      <c r="GZ39" s="262"/>
      <c r="HA39" s="262"/>
      <c r="HB39" s="262"/>
      <c r="HC39" s="262"/>
      <c r="HD39" s="262"/>
      <c r="HE39" s="262"/>
      <c r="HF39" s="262"/>
      <c r="HG39" s="262"/>
      <c r="HH39" s="262"/>
      <c r="HI39" s="262"/>
      <c r="HJ39" s="262"/>
      <c r="HK39" s="262"/>
      <c r="HL39" s="262"/>
      <c r="HM39" s="262"/>
      <c r="HN39" s="262"/>
      <c r="HO39" s="262"/>
      <c r="HP39" s="262"/>
      <c r="HQ39" s="263"/>
      <c r="HR39" s="262"/>
      <c r="HS39" s="262"/>
      <c r="HT39" s="262"/>
      <c r="HU39" s="262"/>
      <c r="HV39" s="262"/>
      <c r="HW39" s="262"/>
      <c r="HX39" s="262"/>
      <c r="HY39" s="262"/>
      <c r="HZ39" s="262"/>
      <c r="IA39" s="262"/>
      <c r="IB39" s="262"/>
      <c r="IC39" s="262"/>
      <c r="ID39" s="262"/>
      <c r="IE39" s="262"/>
      <c r="IF39" s="262"/>
      <c r="IG39" s="262"/>
      <c r="IH39" s="262"/>
      <c r="II39" s="262"/>
      <c r="IJ39" s="262"/>
      <c r="IK39" s="263"/>
      <c r="IL39" s="262"/>
      <c r="IM39" s="262"/>
      <c r="IN39" s="262"/>
      <c r="IO39" s="262"/>
      <c r="IP39" s="262"/>
      <c r="IQ39" s="262"/>
      <c r="IR39" s="262"/>
      <c r="IS39" s="262"/>
      <c r="IT39" s="262"/>
      <c r="IU39" s="262"/>
      <c r="IV39" s="262"/>
      <c r="IW39" s="262"/>
      <c r="IX39" s="262"/>
      <c r="IY39" s="262"/>
      <c r="IZ39" s="262"/>
      <c r="JA39" s="262"/>
      <c r="JB39" s="262"/>
      <c r="JC39" s="262"/>
      <c r="JD39" s="262"/>
      <c r="JE39" s="263"/>
    </row>
    <row r="40" spans="2:265" x14ac:dyDescent="0.25">
      <c r="B40" s="83"/>
      <c r="C40" s="35"/>
      <c r="D40" s="35" t="s">
        <v>220</v>
      </c>
      <c r="E40" s="83" t="s">
        <v>101</v>
      </c>
      <c r="F40" s="172">
        <v>56.4375</v>
      </c>
      <c r="G40" s="172">
        <v>59.823749999999997</v>
      </c>
      <c r="H40" s="172">
        <v>63.413174999999995</v>
      </c>
      <c r="I40" s="172">
        <v>67.217965499999991</v>
      </c>
      <c r="J40" s="172">
        <v>71.251043429999996</v>
      </c>
      <c r="K40" s="172">
        <v>75.526106035799998</v>
      </c>
      <c r="L40" s="172">
        <v>80.057672397947997</v>
      </c>
      <c r="M40" s="172">
        <v>84.861132741824875</v>
      </c>
      <c r="N40" s="172">
        <v>89.952800706334372</v>
      </c>
      <c r="O40" s="172">
        <v>95.349968748714431</v>
      </c>
      <c r="P40" s="172">
        <v>101.0709668736373</v>
      </c>
      <c r="Q40" s="172">
        <v>107.13522488605554</v>
      </c>
      <c r="R40" s="172">
        <v>113.56333837921888</v>
      </c>
      <c r="S40" s="172">
        <v>120.37713868197201</v>
      </c>
      <c r="T40" s="172">
        <v>127.59976700289033</v>
      </c>
      <c r="U40" s="172">
        <v>135.25575302306376</v>
      </c>
      <c r="V40" s="172">
        <v>143.37109820444758</v>
      </c>
      <c r="W40" s="172">
        <v>151.97336409671442</v>
      </c>
      <c r="X40" s="172">
        <v>161.0917659425173</v>
      </c>
      <c r="Y40" s="175">
        <v>170.75727189906834</v>
      </c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3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2"/>
      <c r="BG40" s="262"/>
      <c r="BH40" s="262"/>
      <c r="BI40" s="262"/>
      <c r="BJ40" s="262"/>
      <c r="BK40" s="262"/>
      <c r="BL40" s="262"/>
      <c r="BM40" s="263"/>
      <c r="BN40" s="262"/>
      <c r="BO40" s="262"/>
      <c r="BP40" s="262"/>
      <c r="BQ40" s="262"/>
      <c r="BR40" s="262"/>
      <c r="BS40" s="262"/>
      <c r="BT40" s="262"/>
      <c r="BU40" s="262"/>
      <c r="BV40" s="262"/>
      <c r="BW40" s="262"/>
      <c r="BX40" s="262"/>
      <c r="BY40" s="262"/>
      <c r="BZ40" s="262"/>
      <c r="CA40" s="262"/>
      <c r="CB40" s="262"/>
      <c r="CC40" s="262"/>
      <c r="CD40" s="262"/>
      <c r="CE40" s="262"/>
      <c r="CF40" s="262"/>
      <c r="CG40" s="263"/>
      <c r="CH40" s="262"/>
      <c r="CI40" s="262"/>
      <c r="CJ40" s="262"/>
      <c r="CK40" s="262"/>
      <c r="CL40" s="262"/>
      <c r="CM40" s="262"/>
      <c r="CN40" s="262"/>
      <c r="CO40" s="262"/>
      <c r="CP40" s="262"/>
      <c r="CQ40" s="262"/>
      <c r="CR40" s="262"/>
      <c r="CS40" s="262"/>
      <c r="CT40" s="262"/>
      <c r="CU40" s="262"/>
      <c r="CV40" s="262"/>
      <c r="CW40" s="262"/>
      <c r="CX40" s="262"/>
      <c r="CY40" s="262"/>
      <c r="CZ40" s="262"/>
      <c r="DA40" s="263"/>
      <c r="DB40" s="262"/>
      <c r="DC40" s="262"/>
      <c r="DD40" s="262"/>
      <c r="DE40" s="262"/>
      <c r="DF40" s="262"/>
      <c r="DG40" s="262"/>
      <c r="DH40" s="262"/>
      <c r="DI40" s="262"/>
      <c r="DJ40" s="262"/>
      <c r="DK40" s="262"/>
      <c r="DL40" s="262"/>
      <c r="DM40" s="262"/>
      <c r="DN40" s="262"/>
      <c r="DO40" s="262"/>
      <c r="DP40" s="262"/>
      <c r="DQ40" s="262"/>
      <c r="DR40" s="262"/>
      <c r="DS40" s="262"/>
      <c r="DT40" s="262"/>
      <c r="DU40" s="263"/>
      <c r="DV40" s="262"/>
      <c r="DW40" s="262"/>
      <c r="DX40" s="262"/>
      <c r="DY40" s="262"/>
      <c r="DZ40" s="262"/>
      <c r="EA40" s="262"/>
      <c r="EB40" s="262"/>
      <c r="EC40" s="262"/>
      <c r="ED40" s="262"/>
      <c r="EE40" s="262"/>
      <c r="EF40" s="262"/>
      <c r="EG40" s="262"/>
      <c r="EH40" s="262"/>
      <c r="EI40" s="262"/>
      <c r="EJ40" s="262"/>
      <c r="EK40" s="262"/>
      <c r="EL40" s="262"/>
      <c r="EM40" s="262"/>
      <c r="EN40" s="262"/>
      <c r="EO40" s="263"/>
      <c r="EP40" s="262"/>
      <c r="EQ40" s="262"/>
      <c r="ER40" s="262"/>
      <c r="ES40" s="262"/>
      <c r="ET40" s="262"/>
      <c r="EU40" s="262"/>
      <c r="EV40" s="262"/>
      <c r="EW40" s="262"/>
      <c r="EX40" s="262"/>
      <c r="EY40" s="262"/>
      <c r="EZ40" s="262"/>
      <c r="FA40" s="262"/>
      <c r="FB40" s="262"/>
      <c r="FC40" s="262"/>
      <c r="FD40" s="262"/>
      <c r="FE40" s="262"/>
      <c r="FF40" s="262"/>
      <c r="FG40" s="262"/>
      <c r="FH40" s="262"/>
      <c r="FI40" s="263"/>
      <c r="FJ40" s="262"/>
      <c r="FK40" s="262"/>
      <c r="FL40" s="262"/>
      <c r="FM40" s="262"/>
      <c r="FN40" s="262"/>
      <c r="FO40" s="262"/>
      <c r="FP40" s="262"/>
      <c r="FQ40" s="262"/>
      <c r="FR40" s="262"/>
      <c r="FS40" s="262"/>
      <c r="FT40" s="262"/>
      <c r="FU40" s="262"/>
      <c r="FV40" s="262"/>
      <c r="FW40" s="262"/>
      <c r="FX40" s="262"/>
      <c r="FY40" s="262"/>
      <c r="FZ40" s="262"/>
      <c r="GA40" s="262"/>
      <c r="GB40" s="262"/>
      <c r="GC40" s="263"/>
      <c r="GD40" s="262"/>
      <c r="GE40" s="262"/>
      <c r="GF40" s="262"/>
      <c r="GG40" s="262"/>
      <c r="GH40" s="262"/>
      <c r="GI40" s="262"/>
      <c r="GJ40" s="262"/>
      <c r="GK40" s="262"/>
      <c r="GL40" s="262"/>
      <c r="GM40" s="262"/>
      <c r="GN40" s="262"/>
      <c r="GO40" s="262"/>
      <c r="GP40" s="262"/>
      <c r="GQ40" s="262"/>
      <c r="GR40" s="262"/>
      <c r="GS40" s="262"/>
      <c r="GT40" s="262"/>
      <c r="GU40" s="262"/>
      <c r="GV40" s="262"/>
      <c r="GW40" s="263"/>
      <c r="GX40" s="262"/>
      <c r="GY40" s="262"/>
      <c r="GZ40" s="262"/>
      <c r="HA40" s="262"/>
      <c r="HB40" s="262"/>
      <c r="HC40" s="262"/>
      <c r="HD40" s="262"/>
      <c r="HE40" s="262"/>
      <c r="HF40" s="262"/>
      <c r="HG40" s="262"/>
      <c r="HH40" s="262"/>
      <c r="HI40" s="262"/>
      <c r="HJ40" s="262"/>
      <c r="HK40" s="262"/>
      <c r="HL40" s="262"/>
      <c r="HM40" s="262"/>
      <c r="HN40" s="262"/>
      <c r="HO40" s="262"/>
      <c r="HP40" s="262"/>
      <c r="HQ40" s="263"/>
      <c r="HR40" s="262"/>
      <c r="HS40" s="262"/>
      <c r="HT40" s="262"/>
      <c r="HU40" s="262"/>
      <c r="HV40" s="262"/>
      <c r="HW40" s="262"/>
      <c r="HX40" s="262"/>
      <c r="HY40" s="262"/>
      <c r="HZ40" s="262"/>
      <c r="IA40" s="262"/>
      <c r="IB40" s="262"/>
      <c r="IC40" s="262"/>
      <c r="ID40" s="262"/>
      <c r="IE40" s="262"/>
      <c r="IF40" s="262"/>
      <c r="IG40" s="262"/>
      <c r="IH40" s="262"/>
      <c r="II40" s="262"/>
      <c r="IJ40" s="262"/>
      <c r="IK40" s="263"/>
      <c r="IL40" s="262"/>
      <c r="IM40" s="262"/>
      <c r="IN40" s="262"/>
      <c r="IO40" s="262"/>
      <c r="IP40" s="262"/>
      <c r="IQ40" s="262"/>
      <c r="IR40" s="262"/>
      <c r="IS40" s="262"/>
      <c r="IT40" s="262"/>
      <c r="IU40" s="262"/>
      <c r="IV40" s="262"/>
      <c r="IW40" s="262"/>
      <c r="IX40" s="262"/>
      <c r="IY40" s="262"/>
      <c r="IZ40" s="262"/>
      <c r="JA40" s="262"/>
      <c r="JB40" s="262"/>
      <c r="JC40" s="262"/>
      <c r="JD40" s="262"/>
      <c r="JE40" s="263"/>
    </row>
    <row r="41" spans="2:265" x14ac:dyDescent="0.25">
      <c r="B41" s="83"/>
      <c r="C41" s="35"/>
      <c r="D41" s="35" t="s">
        <v>221</v>
      </c>
      <c r="E41" s="83" t="s">
        <v>101</v>
      </c>
      <c r="F41" s="172">
        <v>10.4375</v>
      </c>
      <c r="G41" s="172">
        <v>11.063750000000001</v>
      </c>
      <c r="H41" s="172">
        <v>11.727575</v>
      </c>
      <c r="I41" s="172">
        <v>12.431229500000001</v>
      </c>
      <c r="J41" s="172">
        <v>13.17710327</v>
      </c>
      <c r="K41" s="172">
        <v>13.9677294662</v>
      </c>
      <c r="L41" s="172">
        <v>14.805793234172</v>
      </c>
      <c r="M41" s="172">
        <v>15.69414082822232</v>
      </c>
      <c r="N41" s="172">
        <v>16.635789277915659</v>
      </c>
      <c r="O41" s="172">
        <v>17.633936634590597</v>
      </c>
      <c r="P41" s="172">
        <v>18.691972832666032</v>
      </c>
      <c r="Q41" s="172">
        <v>19.813491202625993</v>
      </c>
      <c r="R41" s="172">
        <v>21.002300674783552</v>
      </c>
      <c r="S41" s="172">
        <v>22.262438715270566</v>
      </c>
      <c r="T41" s="172">
        <v>23.598185038186799</v>
      </c>
      <c r="U41" s="172">
        <v>25.014076140478007</v>
      </c>
      <c r="V41" s="172">
        <v>26.514920708906686</v>
      </c>
      <c r="W41" s="172">
        <v>28.105815951441087</v>
      </c>
      <c r="X41" s="172">
        <v>29.792164908527553</v>
      </c>
      <c r="Y41" s="175">
        <v>31.579694803039207</v>
      </c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3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2"/>
      <c r="BG41" s="262"/>
      <c r="BH41" s="262"/>
      <c r="BI41" s="262"/>
      <c r="BJ41" s="262"/>
      <c r="BK41" s="262"/>
      <c r="BL41" s="262"/>
      <c r="BM41" s="263"/>
      <c r="BN41" s="262"/>
      <c r="BO41" s="262"/>
      <c r="BP41" s="262"/>
      <c r="BQ41" s="262"/>
      <c r="BR41" s="262"/>
      <c r="BS41" s="262"/>
      <c r="BT41" s="262"/>
      <c r="BU41" s="262"/>
      <c r="BV41" s="262"/>
      <c r="BW41" s="262"/>
      <c r="BX41" s="262"/>
      <c r="BY41" s="262"/>
      <c r="BZ41" s="262"/>
      <c r="CA41" s="262"/>
      <c r="CB41" s="262"/>
      <c r="CC41" s="262"/>
      <c r="CD41" s="262"/>
      <c r="CE41" s="262"/>
      <c r="CF41" s="262"/>
      <c r="CG41" s="263"/>
      <c r="CH41" s="262"/>
      <c r="CI41" s="262"/>
      <c r="CJ41" s="262"/>
      <c r="CK41" s="262"/>
      <c r="CL41" s="262"/>
      <c r="CM41" s="262"/>
      <c r="CN41" s="262"/>
      <c r="CO41" s="262"/>
      <c r="CP41" s="262"/>
      <c r="CQ41" s="262"/>
      <c r="CR41" s="262"/>
      <c r="CS41" s="262"/>
      <c r="CT41" s="262"/>
      <c r="CU41" s="262"/>
      <c r="CV41" s="262"/>
      <c r="CW41" s="262"/>
      <c r="CX41" s="262"/>
      <c r="CY41" s="262"/>
      <c r="CZ41" s="262"/>
      <c r="DA41" s="263"/>
      <c r="DB41" s="262"/>
      <c r="DC41" s="262"/>
      <c r="DD41" s="262"/>
      <c r="DE41" s="262"/>
      <c r="DF41" s="262"/>
      <c r="DG41" s="262"/>
      <c r="DH41" s="262"/>
      <c r="DI41" s="262"/>
      <c r="DJ41" s="262"/>
      <c r="DK41" s="262"/>
      <c r="DL41" s="262"/>
      <c r="DM41" s="262"/>
      <c r="DN41" s="262"/>
      <c r="DO41" s="262"/>
      <c r="DP41" s="262"/>
      <c r="DQ41" s="262"/>
      <c r="DR41" s="262"/>
      <c r="DS41" s="262"/>
      <c r="DT41" s="262"/>
      <c r="DU41" s="263"/>
      <c r="DV41" s="262"/>
      <c r="DW41" s="262"/>
      <c r="DX41" s="262"/>
      <c r="DY41" s="262"/>
      <c r="DZ41" s="262"/>
      <c r="EA41" s="262"/>
      <c r="EB41" s="262"/>
      <c r="EC41" s="262"/>
      <c r="ED41" s="262"/>
      <c r="EE41" s="262"/>
      <c r="EF41" s="262"/>
      <c r="EG41" s="262"/>
      <c r="EH41" s="262"/>
      <c r="EI41" s="262"/>
      <c r="EJ41" s="262"/>
      <c r="EK41" s="262"/>
      <c r="EL41" s="262"/>
      <c r="EM41" s="262"/>
      <c r="EN41" s="262"/>
      <c r="EO41" s="263"/>
      <c r="EP41" s="262"/>
      <c r="EQ41" s="262"/>
      <c r="ER41" s="262"/>
      <c r="ES41" s="262"/>
      <c r="ET41" s="262"/>
      <c r="EU41" s="262"/>
      <c r="EV41" s="262"/>
      <c r="EW41" s="262"/>
      <c r="EX41" s="262"/>
      <c r="EY41" s="262"/>
      <c r="EZ41" s="262"/>
      <c r="FA41" s="262"/>
      <c r="FB41" s="262"/>
      <c r="FC41" s="262"/>
      <c r="FD41" s="262"/>
      <c r="FE41" s="262"/>
      <c r="FF41" s="262"/>
      <c r="FG41" s="262"/>
      <c r="FH41" s="262"/>
      <c r="FI41" s="263"/>
      <c r="FJ41" s="262"/>
      <c r="FK41" s="262"/>
      <c r="FL41" s="262"/>
      <c r="FM41" s="262"/>
      <c r="FN41" s="262"/>
      <c r="FO41" s="262"/>
      <c r="FP41" s="262"/>
      <c r="FQ41" s="262"/>
      <c r="FR41" s="262"/>
      <c r="FS41" s="262"/>
      <c r="FT41" s="262"/>
      <c r="FU41" s="262"/>
      <c r="FV41" s="262"/>
      <c r="FW41" s="262"/>
      <c r="FX41" s="262"/>
      <c r="FY41" s="262"/>
      <c r="FZ41" s="262"/>
      <c r="GA41" s="262"/>
      <c r="GB41" s="262"/>
      <c r="GC41" s="263"/>
      <c r="GD41" s="262"/>
      <c r="GE41" s="262"/>
      <c r="GF41" s="262"/>
      <c r="GG41" s="262"/>
      <c r="GH41" s="262"/>
      <c r="GI41" s="262"/>
      <c r="GJ41" s="262"/>
      <c r="GK41" s="262"/>
      <c r="GL41" s="262"/>
      <c r="GM41" s="262"/>
      <c r="GN41" s="262"/>
      <c r="GO41" s="262"/>
      <c r="GP41" s="262"/>
      <c r="GQ41" s="262"/>
      <c r="GR41" s="262"/>
      <c r="GS41" s="262"/>
      <c r="GT41" s="262"/>
      <c r="GU41" s="262"/>
      <c r="GV41" s="262"/>
      <c r="GW41" s="263"/>
      <c r="GX41" s="262"/>
      <c r="GY41" s="262"/>
      <c r="GZ41" s="262"/>
      <c r="HA41" s="262"/>
      <c r="HB41" s="262"/>
      <c r="HC41" s="262"/>
      <c r="HD41" s="262"/>
      <c r="HE41" s="262"/>
      <c r="HF41" s="262"/>
      <c r="HG41" s="262"/>
      <c r="HH41" s="262"/>
      <c r="HI41" s="262"/>
      <c r="HJ41" s="262"/>
      <c r="HK41" s="262"/>
      <c r="HL41" s="262"/>
      <c r="HM41" s="262"/>
      <c r="HN41" s="262"/>
      <c r="HO41" s="262"/>
      <c r="HP41" s="262"/>
      <c r="HQ41" s="263"/>
      <c r="HR41" s="262"/>
      <c r="HS41" s="262"/>
      <c r="HT41" s="262"/>
      <c r="HU41" s="262"/>
      <c r="HV41" s="262"/>
      <c r="HW41" s="262"/>
      <c r="HX41" s="262"/>
      <c r="HY41" s="262"/>
      <c r="HZ41" s="262"/>
      <c r="IA41" s="262"/>
      <c r="IB41" s="262"/>
      <c r="IC41" s="262"/>
      <c r="ID41" s="262"/>
      <c r="IE41" s="262"/>
      <c r="IF41" s="262"/>
      <c r="IG41" s="262"/>
      <c r="IH41" s="262"/>
      <c r="II41" s="262"/>
      <c r="IJ41" s="262"/>
      <c r="IK41" s="263"/>
      <c r="IL41" s="262"/>
      <c r="IM41" s="262"/>
      <c r="IN41" s="262"/>
      <c r="IO41" s="262"/>
      <c r="IP41" s="262"/>
      <c r="IQ41" s="262"/>
      <c r="IR41" s="262"/>
      <c r="IS41" s="262"/>
      <c r="IT41" s="262"/>
      <c r="IU41" s="262"/>
      <c r="IV41" s="262"/>
      <c r="IW41" s="262"/>
      <c r="IX41" s="262"/>
      <c r="IY41" s="262"/>
      <c r="IZ41" s="262"/>
      <c r="JA41" s="262"/>
      <c r="JB41" s="262"/>
      <c r="JC41" s="262"/>
      <c r="JD41" s="262"/>
      <c r="JE41" s="263"/>
    </row>
    <row r="42" spans="2:265" x14ac:dyDescent="0.25">
      <c r="B42" s="83"/>
      <c r="C42" s="35"/>
      <c r="D42" s="35" t="s">
        <v>222</v>
      </c>
      <c r="E42" s="83" t="s">
        <v>101</v>
      </c>
      <c r="F42" s="172">
        <v>10.4375</v>
      </c>
      <c r="G42" s="172">
        <v>11.063750000000001</v>
      </c>
      <c r="H42" s="172">
        <v>11.727575</v>
      </c>
      <c r="I42" s="172">
        <v>12.431229500000001</v>
      </c>
      <c r="J42" s="172">
        <v>13.17710327</v>
      </c>
      <c r="K42" s="172">
        <v>13.9677294662</v>
      </c>
      <c r="L42" s="172">
        <v>14.805793234172</v>
      </c>
      <c r="M42" s="172">
        <v>15.69414082822232</v>
      </c>
      <c r="N42" s="172">
        <v>16.635789277915659</v>
      </c>
      <c r="O42" s="172">
        <v>17.633936634590597</v>
      </c>
      <c r="P42" s="172">
        <v>18.691972832666032</v>
      </c>
      <c r="Q42" s="172">
        <v>19.813491202625993</v>
      </c>
      <c r="R42" s="172">
        <v>21.002300674783552</v>
      </c>
      <c r="S42" s="172">
        <v>22.262438715270566</v>
      </c>
      <c r="T42" s="172">
        <v>23.598185038186799</v>
      </c>
      <c r="U42" s="172">
        <v>25.014076140478007</v>
      </c>
      <c r="V42" s="172">
        <v>26.514920708906686</v>
      </c>
      <c r="W42" s="172">
        <v>28.105815951441087</v>
      </c>
      <c r="X42" s="172">
        <v>29.792164908527553</v>
      </c>
      <c r="Y42" s="175">
        <v>31.579694803039207</v>
      </c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3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2"/>
      <c r="BG42" s="262"/>
      <c r="BH42" s="262"/>
      <c r="BI42" s="262"/>
      <c r="BJ42" s="262"/>
      <c r="BK42" s="262"/>
      <c r="BL42" s="262"/>
      <c r="BM42" s="263"/>
      <c r="BN42" s="262"/>
      <c r="BO42" s="262"/>
      <c r="BP42" s="262"/>
      <c r="BQ42" s="262"/>
      <c r="BR42" s="262"/>
      <c r="BS42" s="262"/>
      <c r="BT42" s="262"/>
      <c r="BU42" s="262"/>
      <c r="BV42" s="262"/>
      <c r="BW42" s="262"/>
      <c r="BX42" s="262"/>
      <c r="BY42" s="262"/>
      <c r="BZ42" s="262"/>
      <c r="CA42" s="262"/>
      <c r="CB42" s="262"/>
      <c r="CC42" s="262"/>
      <c r="CD42" s="262"/>
      <c r="CE42" s="262"/>
      <c r="CF42" s="262"/>
      <c r="CG42" s="263"/>
      <c r="CH42" s="262"/>
      <c r="CI42" s="262"/>
      <c r="CJ42" s="262"/>
      <c r="CK42" s="262"/>
      <c r="CL42" s="262"/>
      <c r="CM42" s="262"/>
      <c r="CN42" s="262"/>
      <c r="CO42" s="262"/>
      <c r="CP42" s="262"/>
      <c r="CQ42" s="262"/>
      <c r="CR42" s="262"/>
      <c r="CS42" s="262"/>
      <c r="CT42" s="262"/>
      <c r="CU42" s="262"/>
      <c r="CV42" s="262"/>
      <c r="CW42" s="262"/>
      <c r="CX42" s="262"/>
      <c r="CY42" s="262"/>
      <c r="CZ42" s="262"/>
      <c r="DA42" s="263"/>
      <c r="DB42" s="262"/>
      <c r="DC42" s="262"/>
      <c r="DD42" s="262"/>
      <c r="DE42" s="262"/>
      <c r="DF42" s="262"/>
      <c r="DG42" s="262"/>
      <c r="DH42" s="262"/>
      <c r="DI42" s="262"/>
      <c r="DJ42" s="262"/>
      <c r="DK42" s="262"/>
      <c r="DL42" s="262"/>
      <c r="DM42" s="262"/>
      <c r="DN42" s="262"/>
      <c r="DO42" s="262"/>
      <c r="DP42" s="262"/>
      <c r="DQ42" s="262"/>
      <c r="DR42" s="262"/>
      <c r="DS42" s="262"/>
      <c r="DT42" s="262"/>
      <c r="DU42" s="263"/>
      <c r="DV42" s="262"/>
      <c r="DW42" s="262"/>
      <c r="DX42" s="262"/>
      <c r="DY42" s="262"/>
      <c r="DZ42" s="262"/>
      <c r="EA42" s="262"/>
      <c r="EB42" s="262"/>
      <c r="EC42" s="262"/>
      <c r="ED42" s="262"/>
      <c r="EE42" s="262"/>
      <c r="EF42" s="262"/>
      <c r="EG42" s="262"/>
      <c r="EH42" s="262"/>
      <c r="EI42" s="262"/>
      <c r="EJ42" s="262"/>
      <c r="EK42" s="262"/>
      <c r="EL42" s="262"/>
      <c r="EM42" s="262"/>
      <c r="EN42" s="262"/>
      <c r="EO42" s="263"/>
      <c r="EP42" s="262"/>
      <c r="EQ42" s="262"/>
      <c r="ER42" s="262"/>
      <c r="ES42" s="262"/>
      <c r="ET42" s="262"/>
      <c r="EU42" s="262"/>
      <c r="EV42" s="262"/>
      <c r="EW42" s="262"/>
      <c r="EX42" s="262"/>
      <c r="EY42" s="262"/>
      <c r="EZ42" s="262"/>
      <c r="FA42" s="262"/>
      <c r="FB42" s="262"/>
      <c r="FC42" s="262"/>
      <c r="FD42" s="262"/>
      <c r="FE42" s="262"/>
      <c r="FF42" s="262"/>
      <c r="FG42" s="262"/>
      <c r="FH42" s="262"/>
      <c r="FI42" s="263"/>
      <c r="FJ42" s="262"/>
      <c r="FK42" s="262"/>
      <c r="FL42" s="262"/>
      <c r="FM42" s="262"/>
      <c r="FN42" s="262"/>
      <c r="FO42" s="262"/>
      <c r="FP42" s="262"/>
      <c r="FQ42" s="262"/>
      <c r="FR42" s="262"/>
      <c r="FS42" s="262"/>
      <c r="FT42" s="262"/>
      <c r="FU42" s="262"/>
      <c r="FV42" s="262"/>
      <c r="FW42" s="262"/>
      <c r="FX42" s="262"/>
      <c r="FY42" s="262"/>
      <c r="FZ42" s="262"/>
      <c r="GA42" s="262"/>
      <c r="GB42" s="262"/>
      <c r="GC42" s="263"/>
      <c r="GD42" s="262"/>
      <c r="GE42" s="262"/>
      <c r="GF42" s="262"/>
      <c r="GG42" s="262"/>
      <c r="GH42" s="262"/>
      <c r="GI42" s="262"/>
      <c r="GJ42" s="262"/>
      <c r="GK42" s="262"/>
      <c r="GL42" s="262"/>
      <c r="GM42" s="262"/>
      <c r="GN42" s="262"/>
      <c r="GO42" s="262"/>
      <c r="GP42" s="262"/>
      <c r="GQ42" s="262"/>
      <c r="GR42" s="262"/>
      <c r="GS42" s="262"/>
      <c r="GT42" s="262"/>
      <c r="GU42" s="262"/>
      <c r="GV42" s="262"/>
      <c r="GW42" s="263"/>
      <c r="GX42" s="262"/>
      <c r="GY42" s="262"/>
      <c r="GZ42" s="262"/>
      <c r="HA42" s="262"/>
      <c r="HB42" s="262"/>
      <c r="HC42" s="262"/>
      <c r="HD42" s="262"/>
      <c r="HE42" s="262"/>
      <c r="HF42" s="262"/>
      <c r="HG42" s="262"/>
      <c r="HH42" s="262"/>
      <c r="HI42" s="262"/>
      <c r="HJ42" s="262"/>
      <c r="HK42" s="262"/>
      <c r="HL42" s="262"/>
      <c r="HM42" s="262"/>
      <c r="HN42" s="262"/>
      <c r="HO42" s="262"/>
      <c r="HP42" s="262"/>
      <c r="HQ42" s="263"/>
      <c r="HR42" s="262"/>
      <c r="HS42" s="262"/>
      <c r="HT42" s="262"/>
      <c r="HU42" s="262"/>
      <c r="HV42" s="262"/>
      <c r="HW42" s="262"/>
      <c r="HX42" s="262"/>
      <c r="HY42" s="262"/>
      <c r="HZ42" s="262"/>
      <c r="IA42" s="262"/>
      <c r="IB42" s="262"/>
      <c r="IC42" s="262"/>
      <c r="ID42" s="262"/>
      <c r="IE42" s="262"/>
      <c r="IF42" s="262"/>
      <c r="IG42" s="262"/>
      <c r="IH42" s="262"/>
      <c r="II42" s="262"/>
      <c r="IJ42" s="262"/>
      <c r="IK42" s="263"/>
      <c r="IL42" s="262"/>
      <c r="IM42" s="262"/>
      <c r="IN42" s="262"/>
      <c r="IO42" s="262"/>
      <c r="IP42" s="262"/>
      <c r="IQ42" s="262"/>
      <c r="IR42" s="262"/>
      <c r="IS42" s="262"/>
      <c r="IT42" s="262"/>
      <c r="IU42" s="262"/>
      <c r="IV42" s="262"/>
      <c r="IW42" s="262"/>
      <c r="IX42" s="262"/>
      <c r="IY42" s="262"/>
      <c r="IZ42" s="262"/>
      <c r="JA42" s="262"/>
      <c r="JB42" s="262"/>
      <c r="JC42" s="262"/>
      <c r="JD42" s="262"/>
      <c r="JE42" s="263"/>
    </row>
    <row r="43" spans="2:265" x14ac:dyDescent="0.25">
      <c r="B43" s="83"/>
      <c r="C43" s="35"/>
      <c r="D43" s="59" t="s">
        <v>131</v>
      </c>
      <c r="E43" s="138" t="s">
        <v>101</v>
      </c>
      <c r="F43" s="264">
        <v>375</v>
      </c>
      <c r="G43" s="264">
        <v>397.50000000000011</v>
      </c>
      <c r="H43" s="264">
        <v>421.34999999999991</v>
      </c>
      <c r="I43" s="264">
        <v>446.63099999999997</v>
      </c>
      <c r="J43" s="264">
        <v>473.42885999999999</v>
      </c>
      <c r="K43" s="264">
        <v>501.83459160000012</v>
      </c>
      <c r="L43" s="264">
        <v>531.9446670960001</v>
      </c>
      <c r="M43" s="264">
        <v>563.86134712175999</v>
      </c>
      <c r="N43" s="264">
        <v>597.69302794906582</v>
      </c>
      <c r="O43" s="264">
        <v>633.55460962600955</v>
      </c>
      <c r="P43" s="264">
        <v>671.56788620357008</v>
      </c>
      <c r="Q43" s="264">
        <v>711.86195937578441</v>
      </c>
      <c r="R43" s="264">
        <v>754.57367693833146</v>
      </c>
      <c r="S43" s="264">
        <v>799.84809755463141</v>
      </c>
      <c r="T43" s="264">
        <v>847.83898340790915</v>
      </c>
      <c r="U43" s="264">
        <v>898.70932241238381</v>
      </c>
      <c r="V43" s="264">
        <v>952.63188175712685</v>
      </c>
      <c r="W43" s="264">
        <v>1009.7897946625544</v>
      </c>
      <c r="X43" s="264">
        <v>1070.3771823423076</v>
      </c>
      <c r="Y43" s="265">
        <v>1134.5998132828461</v>
      </c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7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7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  <c r="BY43" s="266"/>
      <c r="BZ43" s="266"/>
      <c r="CA43" s="266"/>
      <c r="CB43" s="266"/>
      <c r="CC43" s="266"/>
      <c r="CD43" s="266"/>
      <c r="CE43" s="266"/>
      <c r="CF43" s="266"/>
      <c r="CG43" s="267"/>
      <c r="CH43" s="266"/>
      <c r="CI43" s="266"/>
      <c r="CJ43" s="266"/>
      <c r="CK43" s="266"/>
      <c r="CL43" s="266"/>
      <c r="CM43" s="266"/>
      <c r="CN43" s="266"/>
      <c r="CO43" s="266"/>
      <c r="CP43" s="266"/>
      <c r="CQ43" s="266"/>
      <c r="CR43" s="266"/>
      <c r="CS43" s="266"/>
      <c r="CT43" s="266"/>
      <c r="CU43" s="266"/>
      <c r="CV43" s="266"/>
      <c r="CW43" s="266"/>
      <c r="CX43" s="266"/>
      <c r="CY43" s="266"/>
      <c r="CZ43" s="266"/>
      <c r="DA43" s="267"/>
      <c r="DB43" s="266"/>
      <c r="DC43" s="266"/>
      <c r="DD43" s="266"/>
      <c r="DE43" s="266"/>
      <c r="DF43" s="266"/>
      <c r="DG43" s="266"/>
      <c r="DH43" s="266"/>
      <c r="DI43" s="266"/>
      <c r="DJ43" s="266"/>
      <c r="DK43" s="266"/>
      <c r="DL43" s="266"/>
      <c r="DM43" s="266"/>
      <c r="DN43" s="266"/>
      <c r="DO43" s="266"/>
      <c r="DP43" s="266"/>
      <c r="DQ43" s="266"/>
      <c r="DR43" s="266"/>
      <c r="DS43" s="266"/>
      <c r="DT43" s="266"/>
      <c r="DU43" s="267"/>
      <c r="DV43" s="266"/>
      <c r="DW43" s="266"/>
      <c r="DX43" s="266"/>
      <c r="DY43" s="266"/>
      <c r="DZ43" s="266"/>
      <c r="EA43" s="266"/>
      <c r="EB43" s="266"/>
      <c r="EC43" s="266"/>
      <c r="ED43" s="266"/>
      <c r="EE43" s="266"/>
      <c r="EF43" s="266"/>
      <c r="EG43" s="266"/>
      <c r="EH43" s="266"/>
      <c r="EI43" s="266"/>
      <c r="EJ43" s="266"/>
      <c r="EK43" s="266"/>
      <c r="EL43" s="266"/>
      <c r="EM43" s="266"/>
      <c r="EN43" s="266"/>
      <c r="EO43" s="267"/>
      <c r="EP43" s="266"/>
      <c r="EQ43" s="266"/>
      <c r="ER43" s="266"/>
      <c r="ES43" s="266"/>
      <c r="ET43" s="266"/>
      <c r="EU43" s="266"/>
      <c r="EV43" s="266"/>
      <c r="EW43" s="266"/>
      <c r="EX43" s="266"/>
      <c r="EY43" s="266"/>
      <c r="EZ43" s="266"/>
      <c r="FA43" s="266"/>
      <c r="FB43" s="266"/>
      <c r="FC43" s="266"/>
      <c r="FD43" s="266"/>
      <c r="FE43" s="266"/>
      <c r="FF43" s="266"/>
      <c r="FG43" s="266"/>
      <c r="FH43" s="266"/>
      <c r="FI43" s="267"/>
      <c r="FJ43" s="266"/>
      <c r="FK43" s="266"/>
      <c r="FL43" s="266"/>
      <c r="FM43" s="266"/>
      <c r="FN43" s="266"/>
      <c r="FO43" s="266"/>
      <c r="FP43" s="266"/>
      <c r="FQ43" s="266"/>
      <c r="FR43" s="266"/>
      <c r="FS43" s="266"/>
      <c r="FT43" s="266"/>
      <c r="FU43" s="266"/>
      <c r="FV43" s="266"/>
      <c r="FW43" s="266"/>
      <c r="FX43" s="266"/>
      <c r="FY43" s="266"/>
      <c r="FZ43" s="266"/>
      <c r="GA43" s="266"/>
      <c r="GB43" s="266"/>
      <c r="GC43" s="267"/>
      <c r="GD43" s="266"/>
      <c r="GE43" s="266"/>
      <c r="GF43" s="266"/>
      <c r="GG43" s="266"/>
      <c r="GH43" s="266"/>
      <c r="GI43" s="266"/>
      <c r="GJ43" s="266"/>
      <c r="GK43" s="266"/>
      <c r="GL43" s="266"/>
      <c r="GM43" s="266"/>
      <c r="GN43" s="266"/>
      <c r="GO43" s="266"/>
      <c r="GP43" s="266"/>
      <c r="GQ43" s="266"/>
      <c r="GR43" s="266"/>
      <c r="GS43" s="266"/>
      <c r="GT43" s="266"/>
      <c r="GU43" s="266"/>
      <c r="GV43" s="266"/>
      <c r="GW43" s="267"/>
      <c r="GX43" s="266"/>
      <c r="GY43" s="266"/>
      <c r="GZ43" s="266"/>
      <c r="HA43" s="266"/>
      <c r="HB43" s="266"/>
      <c r="HC43" s="266"/>
      <c r="HD43" s="266"/>
      <c r="HE43" s="266"/>
      <c r="HF43" s="266"/>
      <c r="HG43" s="266"/>
      <c r="HH43" s="266"/>
      <c r="HI43" s="266"/>
      <c r="HJ43" s="266"/>
      <c r="HK43" s="266"/>
      <c r="HL43" s="266"/>
      <c r="HM43" s="266"/>
      <c r="HN43" s="266"/>
      <c r="HO43" s="266"/>
      <c r="HP43" s="266"/>
      <c r="HQ43" s="267"/>
      <c r="HR43" s="266"/>
      <c r="HS43" s="266"/>
      <c r="HT43" s="266"/>
      <c r="HU43" s="266"/>
      <c r="HV43" s="266"/>
      <c r="HW43" s="266"/>
      <c r="HX43" s="266"/>
      <c r="HY43" s="266"/>
      <c r="HZ43" s="266"/>
      <c r="IA43" s="266"/>
      <c r="IB43" s="266"/>
      <c r="IC43" s="266"/>
      <c r="ID43" s="266"/>
      <c r="IE43" s="266"/>
      <c r="IF43" s="266"/>
      <c r="IG43" s="266"/>
      <c r="IH43" s="266"/>
      <c r="II43" s="266"/>
      <c r="IJ43" s="266"/>
      <c r="IK43" s="267"/>
      <c r="IL43" s="266"/>
      <c r="IM43" s="266"/>
      <c r="IN43" s="266"/>
      <c r="IO43" s="266"/>
      <c r="IP43" s="266"/>
      <c r="IQ43" s="266"/>
      <c r="IR43" s="266"/>
      <c r="IS43" s="266"/>
      <c r="IT43" s="266"/>
      <c r="IU43" s="266"/>
      <c r="IV43" s="266"/>
      <c r="IW43" s="266"/>
      <c r="IX43" s="266"/>
      <c r="IY43" s="266"/>
      <c r="IZ43" s="266"/>
      <c r="JA43" s="266"/>
      <c r="JB43" s="266"/>
      <c r="JC43" s="266"/>
      <c r="JD43" s="266"/>
      <c r="JE43" s="267"/>
    </row>
    <row r="44" spans="2:265" x14ac:dyDescent="0.25">
      <c r="B44" s="83"/>
      <c r="C44" s="15" t="s">
        <v>199</v>
      </c>
      <c r="D44" s="15" t="s">
        <v>196</v>
      </c>
      <c r="E44" s="166" t="s">
        <v>197</v>
      </c>
      <c r="F44" s="268">
        <v>3.2054071874999999E-2</v>
      </c>
      <c r="G44" s="269">
        <v>3.3977316187500002E-2</v>
      </c>
      <c r="H44" s="269">
        <v>3.6015955158750008E-2</v>
      </c>
      <c r="I44" s="269">
        <v>3.8176912468275002E-2</v>
      </c>
      <c r="J44" s="269">
        <v>4.04675272163715E-2</v>
      </c>
      <c r="K44" s="269">
        <v>4.2895578849353785E-2</v>
      </c>
      <c r="L44" s="269">
        <v>4.5469313580315016E-2</v>
      </c>
      <c r="M44" s="269">
        <v>4.8197472395133917E-2</v>
      </c>
      <c r="N44" s="269">
        <v>5.1089320738841953E-2</v>
      </c>
      <c r="O44" s="269">
        <v>5.4154679983172464E-2</v>
      </c>
      <c r="P44" s="269">
        <v>5.7403960782162818E-2</v>
      </c>
      <c r="Q44" s="269">
        <v>6.084819842909258E-2</v>
      </c>
      <c r="R44" s="269">
        <v>6.4499090334838138E-2</v>
      </c>
      <c r="S44" s="269">
        <v>6.836903575492842E-2</v>
      </c>
      <c r="T44" s="269">
        <v>7.2471177900224115E-2</v>
      </c>
      <c r="U44" s="269">
        <v>7.6819448574237573E-2</v>
      </c>
      <c r="V44" s="269">
        <v>8.1428615488691819E-2</v>
      </c>
      <c r="W44" s="269">
        <v>8.631433241801334E-2</v>
      </c>
      <c r="X44" s="269">
        <v>9.1493192363094139E-2</v>
      </c>
      <c r="Y44" s="270">
        <v>9.6982783904879785E-2</v>
      </c>
      <c r="Z44" s="271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2"/>
      <c r="AQ44" s="272"/>
      <c r="AR44" s="272"/>
      <c r="AS44" s="273"/>
      <c r="AT44" s="271"/>
      <c r="AU44" s="272"/>
      <c r="AV44" s="272"/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  <c r="BG44" s="272"/>
      <c r="BH44" s="272"/>
      <c r="BI44" s="272"/>
      <c r="BJ44" s="272"/>
      <c r="BK44" s="272"/>
      <c r="BL44" s="272"/>
      <c r="BM44" s="273"/>
      <c r="BN44" s="271"/>
      <c r="BO44" s="272"/>
      <c r="BP44" s="272"/>
      <c r="BQ44" s="272"/>
      <c r="BR44" s="272"/>
      <c r="BS44" s="272"/>
      <c r="BT44" s="272"/>
      <c r="BU44" s="272"/>
      <c r="BV44" s="272"/>
      <c r="BW44" s="272"/>
      <c r="BX44" s="272"/>
      <c r="BY44" s="272"/>
      <c r="BZ44" s="272"/>
      <c r="CA44" s="272"/>
      <c r="CB44" s="272"/>
      <c r="CC44" s="272"/>
      <c r="CD44" s="272"/>
      <c r="CE44" s="272"/>
      <c r="CF44" s="272"/>
      <c r="CG44" s="273"/>
      <c r="CH44" s="271"/>
      <c r="CI44" s="272"/>
      <c r="CJ44" s="272"/>
      <c r="CK44" s="272"/>
      <c r="CL44" s="272"/>
      <c r="CM44" s="272"/>
      <c r="CN44" s="272"/>
      <c r="CO44" s="272"/>
      <c r="CP44" s="272"/>
      <c r="CQ44" s="272"/>
      <c r="CR44" s="272"/>
      <c r="CS44" s="272"/>
      <c r="CT44" s="272"/>
      <c r="CU44" s="272"/>
      <c r="CV44" s="272"/>
      <c r="CW44" s="272"/>
      <c r="CX44" s="272"/>
      <c r="CY44" s="272"/>
      <c r="CZ44" s="272"/>
      <c r="DA44" s="273"/>
      <c r="DB44" s="271"/>
      <c r="DC44" s="272"/>
      <c r="DD44" s="272"/>
      <c r="DE44" s="272"/>
      <c r="DF44" s="272"/>
      <c r="DG44" s="272"/>
      <c r="DH44" s="272"/>
      <c r="DI44" s="272"/>
      <c r="DJ44" s="272"/>
      <c r="DK44" s="272"/>
      <c r="DL44" s="272"/>
      <c r="DM44" s="272"/>
      <c r="DN44" s="272"/>
      <c r="DO44" s="272"/>
      <c r="DP44" s="272"/>
      <c r="DQ44" s="272"/>
      <c r="DR44" s="272"/>
      <c r="DS44" s="272"/>
      <c r="DT44" s="272"/>
      <c r="DU44" s="273"/>
      <c r="DV44" s="271"/>
      <c r="DW44" s="272"/>
      <c r="DX44" s="272"/>
      <c r="DY44" s="272"/>
      <c r="DZ44" s="272"/>
      <c r="EA44" s="272"/>
      <c r="EB44" s="272"/>
      <c r="EC44" s="272"/>
      <c r="ED44" s="272"/>
      <c r="EE44" s="272"/>
      <c r="EF44" s="272"/>
      <c r="EG44" s="272"/>
      <c r="EH44" s="272"/>
      <c r="EI44" s="272"/>
      <c r="EJ44" s="272"/>
      <c r="EK44" s="272"/>
      <c r="EL44" s="272"/>
      <c r="EM44" s="272"/>
      <c r="EN44" s="272"/>
      <c r="EO44" s="273"/>
      <c r="EP44" s="271"/>
      <c r="EQ44" s="272"/>
      <c r="ER44" s="272"/>
      <c r="ES44" s="272"/>
      <c r="ET44" s="272"/>
      <c r="EU44" s="272"/>
      <c r="EV44" s="272"/>
      <c r="EW44" s="272"/>
      <c r="EX44" s="272"/>
      <c r="EY44" s="272"/>
      <c r="EZ44" s="272"/>
      <c r="FA44" s="272"/>
      <c r="FB44" s="272"/>
      <c r="FC44" s="272"/>
      <c r="FD44" s="272"/>
      <c r="FE44" s="272"/>
      <c r="FF44" s="272"/>
      <c r="FG44" s="272"/>
      <c r="FH44" s="272"/>
      <c r="FI44" s="273"/>
      <c r="FJ44" s="271"/>
      <c r="FK44" s="272"/>
      <c r="FL44" s="272"/>
      <c r="FM44" s="272"/>
      <c r="FN44" s="272"/>
      <c r="FO44" s="272"/>
      <c r="FP44" s="272"/>
      <c r="FQ44" s="272"/>
      <c r="FR44" s="272"/>
      <c r="FS44" s="272"/>
      <c r="FT44" s="272"/>
      <c r="FU44" s="272"/>
      <c r="FV44" s="272"/>
      <c r="FW44" s="272"/>
      <c r="FX44" s="272"/>
      <c r="FY44" s="272"/>
      <c r="FZ44" s="272"/>
      <c r="GA44" s="272"/>
      <c r="GB44" s="272"/>
      <c r="GC44" s="273"/>
      <c r="GD44" s="271"/>
      <c r="GE44" s="272"/>
      <c r="GF44" s="272"/>
      <c r="GG44" s="272"/>
      <c r="GH44" s="272"/>
      <c r="GI44" s="272"/>
      <c r="GJ44" s="272"/>
      <c r="GK44" s="272"/>
      <c r="GL44" s="272"/>
      <c r="GM44" s="272"/>
      <c r="GN44" s="272"/>
      <c r="GO44" s="272"/>
      <c r="GP44" s="272"/>
      <c r="GQ44" s="272"/>
      <c r="GR44" s="272"/>
      <c r="GS44" s="272"/>
      <c r="GT44" s="272"/>
      <c r="GU44" s="272"/>
      <c r="GV44" s="272"/>
      <c r="GW44" s="273"/>
      <c r="GX44" s="271"/>
      <c r="GY44" s="272"/>
      <c r="GZ44" s="272"/>
      <c r="HA44" s="272"/>
      <c r="HB44" s="272"/>
      <c r="HC44" s="272"/>
      <c r="HD44" s="272"/>
      <c r="HE44" s="272"/>
      <c r="HF44" s="272"/>
      <c r="HG44" s="272"/>
      <c r="HH44" s="272"/>
      <c r="HI44" s="272"/>
      <c r="HJ44" s="272"/>
      <c r="HK44" s="272"/>
      <c r="HL44" s="272"/>
      <c r="HM44" s="272"/>
      <c r="HN44" s="272"/>
      <c r="HO44" s="272"/>
      <c r="HP44" s="272"/>
      <c r="HQ44" s="273"/>
      <c r="HR44" s="271"/>
      <c r="HS44" s="272"/>
      <c r="HT44" s="272"/>
      <c r="HU44" s="272"/>
      <c r="HV44" s="272"/>
      <c r="HW44" s="272"/>
      <c r="HX44" s="272"/>
      <c r="HY44" s="272"/>
      <c r="HZ44" s="272"/>
      <c r="IA44" s="272"/>
      <c r="IB44" s="272"/>
      <c r="IC44" s="272"/>
      <c r="ID44" s="272"/>
      <c r="IE44" s="272"/>
      <c r="IF44" s="272"/>
      <c r="IG44" s="272"/>
      <c r="IH44" s="272"/>
      <c r="II44" s="272"/>
      <c r="IJ44" s="272"/>
      <c r="IK44" s="273"/>
      <c r="IL44" s="271"/>
      <c r="IM44" s="272"/>
      <c r="IN44" s="272"/>
      <c r="IO44" s="272"/>
      <c r="IP44" s="272"/>
      <c r="IQ44" s="272"/>
      <c r="IR44" s="272"/>
      <c r="IS44" s="272"/>
      <c r="IT44" s="272"/>
      <c r="IU44" s="272"/>
      <c r="IV44" s="272"/>
      <c r="IW44" s="272"/>
      <c r="IX44" s="272"/>
      <c r="IY44" s="272"/>
      <c r="IZ44" s="272"/>
      <c r="JA44" s="272"/>
      <c r="JB44" s="272"/>
      <c r="JC44" s="272"/>
      <c r="JD44" s="272"/>
      <c r="JE44" s="273"/>
    </row>
    <row r="45" spans="2:265" x14ac:dyDescent="0.25">
      <c r="B45" s="83"/>
      <c r="C45" s="15" t="s">
        <v>290</v>
      </c>
      <c r="D45" s="166" t="s">
        <v>296</v>
      </c>
      <c r="E45" s="166" t="s">
        <v>58</v>
      </c>
      <c r="F45" s="131"/>
      <c r="G45" s="129"/>
      <c r="H45" s="129"/>
      <c r="I45" s="129"/>
      <c r="J45" s="129"/>
      <c r="K45" s="129"/>
      <c r="L45" s="129"/>
      <c r="M45" s="129"/>
      <c r="N45" s="129"/>
      <c r="O45" s="129" t="s">
        <v>503</v>
      </c>
      <c r="P45" s="129"/>
      <c r="Q45" s="129"/>
      <c r="R45" s="129"/>
      <c r="S45" s="129"/>
      <c r="T45" s="129"/>
      <c r="U45" s="129"/>
      <c r="V45" s="129"/>
      <c r="W45" s="129" t="s">
        <v>502</v>
      </c>
      <c r="X45" s="129"/>
      <c r="Y45" s="130"/>
      <c r="Z45" s="131" t="s">
        <v>503</v>
      </c>
      <c r="AA45" s="129"/>
      <c r="AB45" s="129"/>
      <c r="AC45" s="129"/>
      <c r="AD45" s="129"/>
      <c r="AE45" s="129"/>
      <c r="AF45" s="129"/>
      <c r="AG45" s="129"/>
      <c r="AH45" s="129" t="s">
        <v>502</v>
      </c>
      <c r="AI45" s="129"/>
      <c r="AJ45" s="129"/>
      <c r="AK45" s="129"/>
      <c r="AL45" s="129"/>
      <c r="AM45" s="129"/>
      <c r="AN45" s="129"/>
      <c r="AO45" s="129"/>
      <c r="AP45" s="129" t="s">
        <v>502</v>
      </c>
      <c r="AQ45" s="129"/>
      <c r="AR45" s="129"/>
      <c r="AS45" s="130"/>
      <c r="AT45" s="131"/>
      <c r="AU45" s="129" t="s">
        <v>503</v>
      </c>
      <c r="AV45" s="129"/>
      <c r="AW45" s="129"/>
      <c r="AX45" s="129"/>
      <c r="AY45" s="129"/>
      <c r="AZ45" s="129"/>
      <c r="BA45" s="129"/>
      <c r="BB45" s="129"/>
      <c r="BC45" s="129" t="s">
        <v>502</v>
      </c>
      <c r="BD45" s="129"/>
      <c r="BE45" s="129"/>
      <c r="BF45" s="129"/>
      <c r="BG45" s="129"/>
      <c r="BH45" s="129"/>
      <c r="BI45" s="129"/>
      <c r="BJ45" s="129"/>
      <c r="BK45" s="129" t="s">
        <v>502</v>
      </c>
      <c r="BL45" s="129"/>
      <c r="BM45" s="130"/>
      <c r="BN45" s="131"/>
      <c r="BO45" s="129"/>
      <c r="BP45" s="129" t="s">
        <v>503</v>
      </c>
      <c r="BQ45" s="129"/>
      <c r="BR45" s="129"/>
      <c r="BS45" s="129"/>
      <c r="BT45" s="129"/>
      <c r="BU45" s="129"/>
      <c r="BV45" s="129"/>
      <c r="BW45" s="129"/>
      <c r="BX45" s="129" t="s">
        <v>502</v>
      </c>
      <c r="BY45" s="129"/>
      <c r="BZ45" s="129"/>
      <c r="CA45" s="129"/>
      <c r="CB45" s="129"/>
      <c r="CC45" s="129"/>
      <c r="CD45" s="129"/>
      <c r="CE45" s="129"/>
      <c r="CF45" s="129" t="s">
        <v>502</v>
      </c>
      <c r="CG45" s="130"/>
      <c r="CH45" s="131"/>
      <c r="CI45" s="129"/>
      <c r="CJ45" s="129"/>
      <c r="CK45" s="129" t="s">
        <v>503</v>
      </c>
      <c r="CL45" s="129"/>
      <c r="CM45" s="129"/>
      <c r="CN45" s="129"/>
      <c r="CO45" s="129"/>
      <c r="CP45" s="129"/>
      <c r="CQ45" s="129"/>
      <c r="CR45" s="129"/>
      <c r="CS45" s="129" t="s">
        <v>502</v>
      </c>
      <c r="CT45" s="129"/>
      <c r="CU45" s="129"/>
      <c r="CV45" s="129"/>
      <c r="CW45" s="129"/>
      <c r="CX45" s="129"/>
      <c r="CY45" s="129"/>
      <c r="CZ45" s="129"/>
      <c r="DA45" s="130" t="s">
        <v>502</v>
      </c>
      <c r="DB45" s="131"/>
      <c r="DC45" s="129"/>
      <c r="DD45" s="129"/>
      <c r="DE45" s="129"/>
      <c r="DF45" s="129" t="s">
        <v>503</v>
      </c>
      <c r="DG45" s="129"/>
      <c r="DH45" s="129"/>
      <c r="DI45" s="129"/>
      <c r="DJ45" s="129"/>
      <c r="DK45" s="129"/>
      <c r="DL45" s="129"/>
      <c r="DM45" s="129"/>
      <c r="DN45" s="129" t="s">
        <v>502</v>
      </c>
      <c r="DO45" s="129"/>
      <c r="DP45" s="129"/>
      <c r="DQ45" s="129"/>
      <c r="DR45" s="129"/>
      <c r="DS45" s="129"/>
      <c r="DT45" s="129"/>
      <c r="DU45" s="130"/>
      <c r="DV45" s="131"/>
      <c r="DW45" s="129"/>
      <c r="DX45" s="129"/>
      <c r="DY45" s="129"/>
      <c r="DZ45" s="129"/>
      <c r="EA45" s="129" t="s">
        <v>503</v>
      </c>
      <c r="EB45" s="129"/>
      <c r="EC45" s="129"/>
      <c r="ED45" s="129"/>
      <c r="EE45" s="129"/>
      <c r="EF45" s="129"/>
      <c r="EG45" s="129"/>
      <c r="EH45" s="129"/>
      <c r="EI45" s="129" t="s">
        <v>502</v>
      </c>
      <c r="EJ45" s="129"/>
      <c r="EK45" s="129"/>
      <c r="EL45" s="129"/>
      <c r="EM45" s="129"/>
      <c r="EN45" s="129"/>
      <c r="EO45" s="130"/>
      <c r="EP45" s="131" t="s">
        <v>502</v>
      </c>
      <c r="EQ45" s="129"/>
      <c r="ER45" s="129"/>
      <c r="ES45" s="129"/>
      <c r="ET45" s="129"/>
      <c r="EU45" s="129"/>
      <c r="EV45" s="129"/>
      <c r="EW45" s="129"/>
      <c r="EX45" s="129" t="s">
        <v>502</v>
      </c>
      <c r="EY45" s="129"/>
      <c r="EZ45" s="129"/>
      <c r="FA45" s="129"/>
      <c r="FB45" s="129"/>
      <c r="FC45" s="129"/>
      <c r="FD45" s="129"/>
      <c r="FE45" s="129"/>
      <c r="FF45" s="129" t="s">
        <v>502</v>
      </c>
      <c r="FG45" s="129"/>
      <c r="FH45" s="129"/>
      <c r="FI45" s="130"/>
      <c r="FJ45" s="131"/>
      <c r="FK45" s="129" t="s">
        <v>502</v>
      </c>
      <c r="FL45" s="129"/>
      <c r="FM45" s="129"/>
      <c r="FN45" s="129"/>
      <c r="FO45" s="129"/>
      <c r="FP45" s="129"/>
      <c r="FQ45" s="129"/>
      <c r="FR45" s="129"/>
      <c r="FS45" s="129" t="s">
        <v>502</v>
      </c>
      <c r="FT45" s="129"/>
      <c r="FU45" s="129"/>
      <c r="FV45" s="129"/>
      <c r="FW45" s="129"/>
      <c r="FX45" s="129"/>
      <c r="FY45" s="129"/>
      <c r="FZ45" s="129"/>
      <c r="GA45" s="129" t="s">
        <v>502</v>
      </c>
      <c r="GB45" s="129"/>
      <c r="GC45" s="130"/>
      <c r="GD45" s="131"/>
      <c r="GE45" s="129"/>
      <c r="GF45" s="129" t="s">
        <v>502</v>
      </c>
      <c r="GG45" s="129"/>
      <c r="GH45" s="129"/>
      <c r="GI45" s="129"/>
      <c r="GJ45" s="129"/>
      <c r="GK45" s="129"/>
      <c r="GL45" s="129"/>
      <c r="GM45" s="129"/>
      <c r="GN45" s="129" t="s">
        <v>502</v>
      </c>
      <c r="GO45" s="129"/>
      <c r="GP45" s="129"/>
      <c r="GQ45" s="129"/>
      <c r="GR45" s="129"/>
      <c r="GS45" s="129"/>
      <c r="GT45" s="129"/>
      <c r="GU45" s="129"/>
      <c r="GV45" s="129" t="s">
        <v>502</v>
      </c>
      <c r="GW45" s="130"/>
      <c r="GX45" s="131"/>
      <c r="GY45" s="129"/>
      <c r="GZ45" s="129"/>
      <c r="HA45" s="129" t="s">
        <v>502</v>
      </c>
      <c r="HB45" s="129"/>
      <c r="HC45" s="129"/>
      <c r="HD45" s="129"/>
      <c r="HE45" s="129"/>
      <c r="HF45" s="129"/>
      <c r="HG45" s="129"/>
      <c r="HH45" s="129"/>
      <c r="HI45" s="129" t="s">
        <v>502</v>
      </c>
      <c r="HJ45" s="129"/>
      <c r="HK45" s="129"/>
      <c r="HL45" s="129"/>
      <c r="HM45" s="129"/>
      <c r="HN45" s="129"/>
      <c r="HO45" s="129"/>
      <c r="HP45" s="129"/>
      <c r="HQ45" s="130" t="s">
        <v>502</v>
      </c>
      <c r="HR45" s="131"/>
      <c r="HS45" s="129"/>
      <c r="HT45" s="129"/>
      <c r="HU45" s="129"/>
      <c r="HV45" s="129" t="s">
        <v>502</v>
      </c>
      <c r="HW45" s="129"/>
      <c r="HX45" s="129"/>
      <c r="HY45" s="129"/>
      <c r="HZ45" s="129"/>
      <c r="IA45" s="129"/>
      <c r="IB45" s="129"/>
      <c r="IC45" s="129"/>
      <c r="ID45" s="129" t="s">
        <v>502</v>
      </c>
      <c r="IE45" s="129"/>
      <c r="IF45" s="129"/>
      <c r="IG45" s="129"/>
      <c r="IH45" s="129"/>
      <c r="II45" s="129"/>
      <c r="IJ45" s="129"/>
      <c r="IK45" s="130"/>
      <c r="IL45" s="131"/>
      <c r="IM45" s="129"/>
      <c r="IN45" s="129"/>
      <c r="IO45" s="129"/>
      <c r="IP45" s="129"/>
      <c r="IQ45" s="129" t="s">
        <v>502</v>
      </c>
      <c r="IR45" s="129"/>
      <c r="IS45" s="129"/>
      <c r="IT45" s="129"/>
      <c r="IU45" s="129"/>
      <c r="IV45" s="129"/>
      <c r="IW45" s="129"/>
      <c r="IX45" s="129"/>
      <c r="IY45" s="129" t="s">
        <v>502</v>
      </c>
      <c r="IZ45" s="129"/>
      <c r="JA45" s="129"/>
      <c r="JB45" s="129"/>
      <c r="JC45" s="129"/>
      <c r="JD45" s="129"/>
      <c r="JE45" s="130"/>
    </row>
    <row r="46" spans="2:265" x14ac:dyDescent="0.25">
      <c r="B46" s="83"/>
      <c r="C46" s="35" t="s">
        <v>6</v>
      </c>
      <c r="D46" s="83" t="s">
        <v>12</v>
      </c>
      <c r="E46" s="83" t="s">
        <v>66</v>
      </c>
      <c r="F46" s="274">
        <v>7.1849999999999996</v>
      </c>
      <c r="G46" s="275">
        <v>7.3286999999999995</v>
      </c>
      <c r="H46" s="275">
        <v>7.4752739999999998</v>
      </c>
      <c r="I46" s="275">
        <v>7.6247794799999999</v>
      </c>
      <c r="J46" s="275">
        <v>7.7772750695999999</v>
      </c>
      <c r="K46" s="275">
        <v>7.9328205709919999</v>
      </c>
      <c r="L46" s="275">
        <v>8.0914769824118391</v>
      </c>
      <c r="M46" s="275">
        <v>8.2533065220600754</v>
      </c>
      <c r="N46" s="275">
        <v>8.4183726525012776</v>
      </c>
      <c r="O46" s="275">
        <v>1.8</v>
      </c>
      <c r="P46" s="275">
        <v>1.8360000000000001</v>
      </c>
      <c r="Q46" s="275">
        <v>1.8727200000000002</v>
      </c>
      <c r="R46" s="275">
        <v>1.9101744000000003</v>
      </c>
      <c r="S46" s="275">
        <v>1.9483778880000002</v>
      </c>
      <c r="T46" s="275">
        <v>1.9873454457600002</v>
      </c>
      <c r="U46" s="275">
        <v>2.0270923546752</v>
      </c>
      <c r="V46" s="275">
        <v>2.0676342017687039</v>
      </c>
      <c r="W46" s="275">
        <v>2.5</v>
      </c>
      <c r="X46" s="275">
        <v>2.5499999999999998</v>
      </c>
      <c r="Y46" s="276">
        <v>2.601</v>
      </c>
      <c r="Z46" s="274">
        <v>1.8</v>
      </c>
      <c r="AA46" s="275">
        <v>1.8360000000000001</v>
      </c>
      <c r="AB46" s="275">
        <v>1.8727200000000002</v>
      </c>
      <c r="AC46" s="275">
        <v>1.9101744000000003</v>
      </c>
      <c r="AD46" s="275">
        <v>1.9483778880000002</v>
      </c>
      <c r="AE46" s="275">
        <v>1.9873454457600002</v>
      </c>
      <c r="AF46" s="275">
        <v>2.0270923546752</v>
      </c>
      <c r="AG46" s="275">
        <v>2.0676342017687039</v>
      </c>
      <c r="AH46" s="275">
        <v>2.5</v>
      </c>
      <c r="AI46" s="275">
        <v>2.5499999999999998</v>
      </c>
      <c r="AJ46" s="275">
        <v>2.601</v>
      </c>
      <c r="AK46" s="275">
        <v>2.6530200000000002</v>
      </c>
      <c r="AL46" s="275">
        <v>2.7060804000000003</v>
      </c>
      <c r="AM46" s="275">
        <v>2.7602020080000003</v>
      </c>
      <c r="AN46" s="275">
        <v>2.8154060481600003</v>
      </c>
      <c r="AO46" s="275">
        <v>2.8717141691232002</v>
      </c>
      <c r="AP46" s="275">
        <v>2.5</v>
      </c>
      <c r="AQ46" s="275">
        <v>2.5499999999999998</v>
      </c>
      <c r="AR46" s="275">
        <v>2.601</v>
      </c>
      <c r="AS46" s="276">
        <v>2.6530200000000002</v>
      </c>
      <c r="AT46" s="274">
        <v>7.1849999999999996</v>
      </c>
      <c r="AU46" s="275">
        <v>1.8</v>
      </c>
      <c r="AV46" s="275">
        <v>1.8360000000000001</v>
      </c>
      <c r="AW46" s="275">
        <v>1.8727200000000002</v>
      </c>
      <c r="AX46" s="275">
        <v>1.9101744000000003</v>
      </c>
      <c r="AY46" s="275">
        <v>1.9483778880000002</v>
      </c>
      <c r="AZ46" s="275">
        <v>1.9873454457600002</v>
      </c>
      <c r="BA46" s="275">
        <v>2.0270923546752</v>
      </c>
      <c r="BB46" s="275">
        <v>2.0676342017687039</v>
      </c>
      <c r="BC46" s="275">
        <v>2.5</v>
      </c>
      <c r="BD46" s="275">
        <v>2.5499999999999998</v>
      </c>
      <c r="BE46" s="275">
        <v>2.601</v>
      </c>
      <c r="BF46" s="275">
        <v>2.6530200000000002</v>
      </c>
      <c r="BG46" s="275">
        <v>2.7060804000000003</v>
      </c>
      <c r="BH46" s="275">
        <v>2.7602020080000003</v>
      </c>
      <c r="BI46" s="275">
        <v>2.8154060481600003</v>
      </c>
      <c r="BJ46" s="275">
        <v>2.8717141691232002</v>
      </c>
      <c r="BK46" s="275">
        <v>2.5</v>
      </c>
      <c r="BL46" s="275">
        <v>2.5499999999999998</v>
      </c>
      <c r="BM46" s="276">
        <v>2.601</v>
      </c>
      <c r="BN46" s="274">
        <v>7.1849999999999996</v>
      </c>
      <c r="BO46" s="275">
        <v>7.3286999999999995</v>
      </c>
      <c r="BP46" s="275">
        <v>1.8</v>
      </c>
      <c r="BQ46" s="275">
        <v>1.8360000000000001</v>
      </c>
      <c r="BR46" s="275">
        <v>1.8727200000000002</v>
      </c>
      <c r="BS46" s="275">
        <v>1.9101744000000003</v>
      </c>
      <c r="BT46" s="275">
        <v>1.9483778880000002</v>
      </c>
      <c r="BU46" s="275">
        <v>1.9873454457600002</v>
      </c>
      <c r="BV46" s="275">
        <v>2.0270923546752</v>
      </c>
      <c r="BW46" s="275">
        <v>2.0676342017687039</v>
      </c>
      <c r="BX46" s="275">
        <v>2.5</v>
      </c>
      <c r="BY46" s="275">
        <v>2.5499999999999998</v>
      </c>
      <c r="BZ46" s="275">
        <v>2.601</v>
      </c>
      <c r="CA46" s="275">
        <v>2.6530200000000002</v>
      </c>
      <c r="CB46" s="275">
        <v>2.7060804000000003</v>
      </c>
      <c r="CC46" s="275">
        <v>2.7602020080000003</v>
      </c>
      <c r="CD46" s="275">
        <v>2.8154060481600003</v>
      </c>
      <c r="CE46" s="275">
        <v>2.8717141691232002</v>
      </c>
      <c r="CF46" s="275">
        <v>2.5</v>
      </c>
      <c r="CG46" s="276">
        <v>2.5499999999999998</v>
      </c>
      <c r="CH46" s="274">
        <v>7.1849999999999996</v>
      </c>
      <c r="CI46" s="275">
        <v>7.3286999999999995</v>
      </c>
      <c r="CJ46" s="275">
        <v>7.4752739999999998</v>
      </c>
      <c r="CK46" s="275">
        <v>1.8</v>
      </c>
      <c r="CL46" s="275">
        <v>1.8360000000000001</v>
      </c>
      <c r="CM46" s="275">
        <v>1.8727200000000002</v>
      </c>
      <c r="CN46" s="275">
        <v>1.9101744000000003</v>
      </c>
      <c r="CO46" s="275">
        <v>1.9483778880000002</v>
      </c>
      <c r="CP46" s="275">
        <v>1.9873454457600002</v>
      </c>
      <c r="CQ46" s="275">
        <v>2.0270923546752</v>
      </c>
      <c r="CR46" s="275">
        <v>2.0676342017687039</v>
      </c>
      <c r="CS46" s="275">
        <v>2.5</v>
      </c>
      <c r="CT46" s="275">
        <v>2.5499999999999998</v>
      </c>
      <c r="CU46" s="275">
        <v>2.601</v>
      </c>
      <c r="CV46" s="275">
        <v>2.6530200000000002</v>
      </c>
      <c r="CW46" s="275">
        <v>2.7060804000000003</v>
      </c>
      <c r="CX46" s="275">
        <v>2.7602020080000003</v>
      </c>
      <c r="CY46" s="275">
        <v>2.8154060481600003</v>
      </c>
      <c r="CZ46" s="275">
        <v>2.8717141691232002</v>
      </c>
      <c r="DA46" s="276">
        <v>2.5</v>
      </c>
      <c r="DB46" s="274">
        <v>7.1849999999999996</v>
      </c>
      <c r="DC46" s="275">
        <v>7.3286999999999995</v>
      </c>
      <c r="DD46" s="275">
        <v>7.4752739999999998</v>
      </c>
      <c r="DE46" s="275">
        <v>7.6247794799999999</v>
      </c>
      <c r="DF46" s="275">
        <v>1.8</v>
      </c>
      <c r="DG46" s="275">
        <v>1.8360000000000001</v>
      </c>
      <c r="DH46" s="275">
        <v>1.8727200000000002</v>
      </c>
      <c r="DI46" s="275">
        <v>1.9101744000000003</v>
      </c>
      <c r="DJ46" s="275">
        <v>1.9483778880000002</v>
      </c>
      <c r="DK46" s="275">
        <v>1.9873454457600002</v>
      </c>
      <c r="DL46" s="275">
        <v>2.0270923546752</v>
      </c>
      <c r="DM46" s="275">
        <v>2.0676342017687039</v>
      </c>
      <c r="DN46" s="275">
        <v>2.5</v>
      </c>
      <c r="DO46" s="275">
        <v>2.5499999999999998</v>
      </c>
      <c r="DP46" s="275">
        <v>2.601</v>
      </c>
      <c r="DQ46" s="275">
        <v>2.6530200000000002</v>
      </c>
      <c r="DR46" s="275">
        <v>2.7060804000000003</v>
      </c>
      <c r="DS46" s="275">
        <v>2.7602020080000003</v>
      </c>
      <c r="DT46" s="275">
        <v>2.8154060481600003</v>
      </c>
      <c r="DU46" s="276">
        <v>2.8717141691232002</v>
      </c>
      <c r="DV46" s="274">
        <v>7.1849999999999996</v>
      </c>
      <c r="DW46" s="275">
        <v>7.3286999999999995</v>
      </c>
      <c r="DX46" s="275">
        <v>7.4752739999999998</v>
      </c>
      <c r="DY46" s="275">
        <v>7.6247794799999999</v>
      </c>
      <c r="DZ46" s="275">
        <v>7.7772750695999999</v>
      </c>
      <c r="EA46" s="275">
        <v>1.8</v>
      </c>
      <c r="EB46" s="275">
        <v>1.8360000000000001</v>
      </c>
      <c r="EC46" s="275">
        <v>1.8727200000000002</v>
      </c>
      <c r="ED46" s="275">
        <v>1.9101744000000003</v>
      </c>
      <c r="EE46" s="275">
        <v>1.9483778880000002</v>
      </c>
      <c r="EF46" s="275">
        <v>1.9873454457600002</v>
      </c>
      <c r="EG46" s="275">
        <v>2.0270923546752</v>
      </c>
      <c r="EH46" s="275">
        <v>2.0676342017687039</v>
      </c>
      <c r="EI46" s="275">
        <v>2.5</v>
      </c>
      <c r="EJ46" s="275">
        <v>2.5499999999999998</v>
      </c>
      <c r="EK46" s="275">
        <v>2.601</v>
      </c>
      <c r="EL46" s="275">
        <v>2.6530200000000002</v>
      </c>
      <c r="EM46" s="275">
        <v>2.7060804000000003</v>
      </c>
      <c r="EN46" s="275">
        <v>2.7602020080000003</v>
      </c>
      <c r="EO46" s="276">
        <v>2.8154060481600003</v>
      </c>
      <c r="EP46" s="274">
        <v>2.5</v>
      </c>
      <c r="EQ46" s="275">
        <v>2.5499999999999998</v>
      </c>
      <c r="ER46" s="275">
        <v>2.601</v>
      </c>
      <c r="ES46" s="275">
        <v>2.6530200000000002</v>
      </c>
      <c r="ET46" s="275">
        <v>2.7060804000000003</v>
      </c>
      <c r="EU46" s="275">
        <v>2.7602020080000003</v>
      </c>
      <c r="EV46" s="275">
        <v>2.8154060481600003</v>
      </c>
      <c r="EW46" s="275">
        <v>2.8717141691232002</v>
      </c>
      <c r="EX46" s="275">
        <v>2.5</v>
      </c>
      <c r="EY46" s="275">
        <v>2.5499999999999998</v>
      </c>
      <c r="EZ46" s="275">
        <v>2.601</v>
      </c>
      <c r="FA46" s="275">
        <v>2.6530200000000002</v>
      </c>
      <c r="FB46" s="275">
        <v>2.7060804000000003</v>
      </c>
      <c r="FC46" s="275">
        <v>2.7602020080000003</v>
      </c>
      <c r="FD46" s="275">
        <v>2.8154060481600003</v>
      </c>
      <c r="FE46" s="275">
        <v>2.8717141691232002</v>
      </c>
      <c r="FF46" s="275">
        <v>2.5</v>
      </c>
      <c r="FG46" s="275">
        <v>2.5499999999999998</v>
      </c>
      <c r="FH46" s="275">
        <v>2.601</v>
      </c>
      <c r="FI46" s="276">
        <v>2.6530200000000002</v>
      </c>
      <c r="FJ46" s="274">
        <v>7.1849999999999996</v>
      </c>
      <c r="FK46" s="275">
        <v>2.5</v>
      </c>
      <c r="FL46" s="275">
        <v>2.5499999999999998</v>
      </c>
      <c r="FM46" s="275">
        <v>2.601</v>
      </c>
      <c r="FN46" s="275">
        <v>2.6530200000000002</v>
      </c>
      <c r="FO46" s="275">
        <v>2.7060804000000003</v>
      </c>
      <c r="FP46" s="275">
        <v>2.7602020080000003</v>
      </c>
      <c r="FQ46" s="275">
        <v>2.8154060481600003</v>
      </c>
      <c r="FR46" s="275">
        <v>2.8717141691232002</v>
      </c>
      <c r="FS46" s="275">
        <v>2.5</v>
      </c>
      <c r="FT46" s="275">
        <v>2.5499999999999998</v>
      </c>
      <c r="FU46" s="275">
        <v>2.601</v>
      </c>
      <c r="FV46" s="275">
        <v>2.6530200000000002</v>
      </c>
      <c r="FW46" s="275">
        <v>2.7060804000000003</v>
      </c>
      <c r="FX46" s="275">
        <v>2.7602020080000003</v>
      </c>
      <c r="FY46" s="275">
        <v>2.8154060481600003</v>
      </c>
      <c r="FZ46" s="275">
        <v>2.8717141691232002</v>
      </c>
      <c r="GA46" s="275">
        <v>2.5</v>
      </c>
      <c r="GB46" s="275">
        <v>2.5499999999999998</v>
      </c>
      <c r="GC46" s="276">
        <v>2.601</v>
      </c>
      <c r="GD46" s="274">
        <v>7.1849999999999996</v>
      </c>
      <c r="GE46" s="275">
        <v>7.3286999999999995</v>
      </c>
      <c r="GF46" s="275">
        <v>2.5</v>
      </c>
      <c r="GG46" s="275">
        <v>2.5499999999999998</v>
      </c>
      <c r="GH46" s="275">
        <v>2.601</v>
      </c>
      <c r="GI46" s="275">
        <v>2.6530200000000002</v>
      </c>
      <c r="GJ46" s="275">
        <v>2.7060804000000003</v>
      </c>
      <c r="GK46" s="275">
        <v>2.7602020080000003</v>
      </c>
      <c r="GL46" s="275">
        <v>2.8154060481600003</v>
      </c>
      <c r="GM46" s="275">
        <v>2.8717141691232002</v>
      </c>
      <c r="GN46" s="275">
        <v>2.5</v>
      </c>
      <c r="GO46" s="275">
        <v>2.5499999999999998</v>
      </c>
      <c r="GP46" s="275">
        <v>2.601</v>
      </c>
      <c r="GQ46" s="275">
        <v>2.6530200000000002</v>
      </c>
      <c r="GR46" s="275">
        <v>2.7060804000000003</v>
      </c>
      <c r="GS46" s="275">
        <v>2.7602020080000003</v>
      </c>
      <c r="GT46" s="275">
        <v>2.8154060481600003</v>
      </c>
      <c r="GU46" s="275">
        <v>2.8717141691232002</v>
      </c>
      <c r="GV46" s="275">
        <v>2.5</v>
      </c>
      <c r="GW46" s="276">
        <v>2.5499999999999998</v>
      </c>
      <c r="GX46" s="274">
        <v>7.1849999999999996</v>
      </c>
      <c r="GY46" s="275">
        <v>7.3286999999999995</v>
      </c>
      <c r="GZ46" s="275">
        <v>7.4752739999999998</v>
      </c>
      <c r="HA46" s="275">
        <v>2.5</v>
      </c>
      <c r="HB46" s="275">
        <v>2.5499999999999998</v>
      </c>
      <c r="HC46" s="275">
        <v>2.601</v>
      </c>
      <c r="HD46" s="275">
        <v>2.6530200000000002</v>
      </c>
      <c r="HE46" s="275">
        <v>2.7060804000000003</v>
      </c>
      <c r="HF46" s="275">
        <v>2.7602020080000003</v>
      </c>
      <c r="HG46" s="275">
        <v>2.8154060481600003</v>
      </c>
      <c r="HH46" s="275">
        <v>2.8717141691232002</v>
      </c>
      <c r="HI46" s="275">
        <v>2.5</v>
      </c>
      <c r="HJ46" s="275">
        <v>2.5499999999999998</v>
      </c>
      <c r="HK46" s="275">
        <v>2.601</v>
      </c>
      <c r="HL46" s="275">
        <v>2.6530200000000002</v>
      </c>
      <c r="HM46" s="275">
        <v>2.7060804000000003</v>
      </c>
      <c r="HN46" s="275">
        <v>2.7602020080000003</v>
      </c>
      <c r="HO46" s="275">
        <v>2.8154060481600003</v>
      </c>
      <c r="HP46" s="275">
        <v>2.8717141691232002</v>
      </c>
      <c r="HQ46" s="276">
        <v>2.5</v>
      </c>
      <c r="HR46" s="274">
        <v>7.1849999999999996</v>
      </c>
      <c r="HS46" s="275">
        <v>7.3286999999999995</v>
      </c>
      <c r="HT46" s="275">
        <v>7.4752739999999998</v>
      </c>
      <c r="HU46" s="275">
        <v>7.6247794799999999</v>
      </c>
      <c r="HV46" s="275">
        <v>2.5</v>
      </c>
      <c r="HW46" s="275">
        <v>2.5499999999999998</v>
      </c>
      <c r="HX46" s="275">
        <v>2.601</v>
      </c>
      <c r="HY46" s="275">
        <v>2.6530200000000002</v>
      </c>
      <c r="HZ46" s="275">
        <v>2.7060804000000003</v>
      </c>
      <c r="IA46" s="275">
        <v>2.7602020080000003</v>
      </c>
      <c r="IB46" s="275">
        <v>2.8154060481600003</v>
      </c>
      <c r="IC46" s="275">
        <v>2.8717141691232002</v>
      </c>
      <c r="ID46" s="275">
        <v>2.5</v>
      </c>
      <c r="IE46" s="275">
        <v>2.5499999999999998</v>
      </c>
      <c r="IF46" s="275">
        <v>2.601</v>
      </c>
      <c r="IG46" s="275">
        <v>2.6530200000000002</v>
      </c>
      <c r="IH46" s="275">
        <v>2.7060804000000003</v>
      </c>
      <c r="II46" s="275">
        <v>2.7602020080000003</v>
      </c>
      <c r="IJ46" s="275">
        <v>2.8154060481600003</v>
      </c>
      <c r="IK46" s="276">
        <v>2.8717141691232002</v>
      </c>
      <c r="IL46" s="274">
        <v>7.1849999999999996</v>
      </c>
      <c r="IM46" s="275">
        <v>7.3286999999999995</v>
      </c>
      <c r="IN46" s="275">
        <v>7.4752739999999998</v>
      </c>
      <c r="IO46" s="275">
        <v>7.6247794799999999</v>
      </c>
      <c r="IP46" s="275">
        <v>7.7772750695999999</v>
      </c>
      <c r="IQ46" s="275">
        <v>2.5</v>
      </c>
      <c r="IR46" s="275">
        <v>2.5499999999999998</v>
      </c>
      <c r="IS46" s="275">
        <v>2.601</v>
      </c>
      <c r="IT46" s="275">
        <v>2.6530200000000002</v>
      </c>
      <c r="IU46" s="275">
        <v>2.7060804000000003</v>
      </c>
      <c r="IV46" s="275">
        <v>2.7602020080000003</v>
      </c>
      <c r="IW46" s="275">
        <v>2.8154060481600003</v>
      </c>
      <c r="IX46" s="275">
        <v>2.8717141691232002</v>
      </c>
      <c r="IY46" s="275">
        <v>2.5</v>
      </c>
      <c r="IZ46" s="275">
        <v>2.5499999999999998</v>
      </c>
      <c r="JA46" s="275">
        <v>2.601</v>
      </c>
      <c r="JB46" s="275">
        <v>2.6530200000000002</v>
      </c>
      <c r="JC46" s="275">
        <v>2.7060804000000003</v>
      </c>
      <c r="JD46" s="275">
        <v>2.7602020080000003</v>
      </c>
      <c r="JE46" s="276">
        <v>2.8154060481600003</v>
      </c>
    </row>
    <row r="47" spans="2:265" x14ac:dyDescent="0.25">
      <c r="B47" s="83"/>
      <c r="C47" s="35"/>
      <c r="D47" s="83" t="s">
        <v>200</v>
      </c>
      <c r="E47" s="83" t="s">
        <v>38</v>
      </c>
      <c r="F47" s="274">
        <v>2</v>
      </c>
      <c r="G47" s="275">
        <v>2</v>
      </c>
      <c r="H47" s="275">
        <v>2</v>
      </c>
      <c r="I47" s="275">
        <v>2</v>
      </c>
      <c r="J47" s="275">
        <v>2</v>
      </c>
      <c r="K47" s="275">
        <v>2</v>
      </c>
      <c r="L47" s="275">
        <v>2</v>
      </c>
      <c r="M47" s="275">
        <v>2</v>
      </c>
      <c r="N47" s="275">
        <v>2</v>
      </c>
      <c r="O47" s="275">
        <v>2</v>
      </c>
      <c r="P47" s="275">
        <v>2</v>
      </c>
      <c r="Q47" s="275">
        <v>2</v>
      </c>
      <c r="R47" s="275">
        <v>2</v>
      </c>
      <c r="S47" s="275">
        <v>2</v>
      </c>
      <c r="T47" s="275">
        <v>2</v>
      </c>
      <c r="U47" s="275">
        <v>2</v>
      </c>
      <c r="V47" s="275">
        <v>2</v>
      </c>
      <c r="W47" s="275">
        <v>2</v>
      </c>
      <c r="X47" s="275">
        <v>2</v>
      </c>
      <c r="Y47" s="276">
        <v>2</v>
      </c>
      <c r="Z47" s="274">
        <v>2</v>
      </c>
      <c r="AA47" s="275">
        <v>2</v>
      </c>
      <c r="AB47" s="275">
        <v>2</v>
      </c>
      <c r="AC47" s="275">
        <v>2</v>
      </c>
      <c r="AD47" s="275">
        <v>2</v>
      </c>
      <c r="AE47" s="275">
        <v>2</v>
      </c>
      <c r="AF47" s="275">
        <v>2</v>
      </c>
      <c r="AG47" s="275">
        <v>2</v>
      </c>
      <c r="AH47" s="275">
        <v>2</v>
      </c>
      <c r="AI47" s="275">
        <v>2</v>
      </c>
      <c r="AJ47" s="275">
        <v>2</v>
      </c>
      <c r="AK47" s="275">
        <v>2</v>
      </c>
      <c r="AL47" s="275">
        <v>2</v>
      </c>
      <c r="AM47" s="275">
        <v>2</v>
      </c>
      <c r="AN47" s="275">
        <v>2</v>
      </c>
      <c r="AO47" s="275">
        <v>2</v>
      </c>
      <c r="AP47" s="275">
        <v>2</v>
      </c>
      <c r="AQ47" s="275">
        <v>2</v>
      </c>
      <c r="AR47" s="275">
        <v>2</v>
      </c>
      <c r="AS47" s="276">
        <v>2</v>
      </c>
      <c r="AT47" s="274">
        <v>2</v>
      </c>
      <c r="AU47" s="275">
        <v>2</v>
      </c>
      <c r="AV47" s="275">
        <v>2</v>
      </c>
      <c r="AW47" s="275">
        <v>2</v>
      </c>
      <c r="AX47" s="275">
        <v>2</v>
      </c>
      <c r="AY47" s="275">
        <v>2</v>
      </c>
      <c r="AZ47" s="275">
        <v>2</v>
      </c>
      <c r="BA47" s="275">
        <v>2</v>
      </c>
      <c r="BB47" s="275">
        <v>2</v>
      </c>
      <c r="BC47" s="275">
        <v>2</v>
      </c>
      <c r="BD47" s="275">
        <v>2</v>
      </c>
      <c r="BE47" s="275">
        <v>2</v>
      </c>
      <c r="BF47" s="275">
        <v>2</v>
      </c>
      <c r="BG47" s="275">
        <v>2</v>
      </c>
      <c r="BH47" s="275">
        <v>2</v>
      </c>
      <c r="BI47" s="275">
        <v>2</v>
      </c>
      <c r="BJ47" s="275">
        <v>2</v>
      </c>
      <c r="BK47" s="275">
        <v>2</v>
      </c>
      <c r="BL47" s="275">
        <v>2</v>
      </c>
      <c r="BM47" s="276">
        <v>2</v>
      </c>
      <c r="BN47" s="274">
        <v>2</v>
      </c>
      <c r="BO47" s="275">
        <v>2</v>
      </c>
      <c r="BP47" s="275">
        <v>2</v>
      </c>
      <c r="BQ47" s="275">
        <v>2</v>
      </c>
      <c r="BR47" s="275">
        <v>2</v>
      </c>
      <c r="BS47" s="275">
        <v>2</v>
      </c>
      <c r="BT47" s="275">
        <v>2</v>
      </c>
      <c r="BU47" s="275">
        <v>2</v>
      </c>
      <c r="BV47" s="275">
        <v>2</v>
      </c>
      <c r="BW47" s="275">
        <v>2</v>
      </c>
      <c r="BX47" s="275">
        <v>2</v>
      </c>
      <c r="BY47" s="275">
        <v>2</v>
      </c>
      <c r="BZ47" s="275">
        <v>2</v>
      </c>
      <c r="CA47" s="275">
        <v>2</v>
      </c>
      <c r="CB47" s="275">
        <v>2</v>
      </c>
      <c r="CC47" s="275">
        <v>2</v>
      </c>
      <c r="CD47" s="275">
        <v>2</v>
      </c>
      <c r="CE47" s="275">
        <v>2</v>
      </c>
      <c r="CF47" s="275">
        <v>2</v>
      </c>
      <c r="CG47" s="276">
        <v>2</v>
      </c>
      <c r="CH47" s="274">
        <v>2</v>
      </c>
      <c r="CI47" s="275">
        <v>2</v>
      </c>
      <c r="CJ47" s="275">
        <v>2</v>
      </c>
      <c r="CK47" s="275">
        <v>2</v>
      </c>
      <c r="CL47" s="275">
        <v>2</v>
      </c>
      <c r="CM47" s="275">
        <v>2</v>
      </c>
      <c r="CN47" s="275">
        <v>2</v>
      </c>
      <c r="CO47" s="275">
        <v>2</v>
      </c>
      <c r="CP47" s="275">
        <v>2</v>
      </c>
      <c r="CQ47" s="275">
        <v>2</v>
      </c>
      <c r="CR47" s="275">
        <v>2</v>
      </c>
      <c r="CS47" s="275">
        <v>2</v>
      </c>
      <c r="CT47" s="275">
        <v>2</v>
      </c>
      <c r="CU47" s="275">
        <v>2</v>
      </c>
      <c r="CV47" s="275">
        <v>2</v>
      </c>
      <c r="CW47" s="275">
        <v>2</v>
      </c>
      <c r="CX47" s="275">
        <v>2</v>
      </c>
      <c r="CY47" s="275">
        <v>2</v>
      </c>
      <c r="CZ47" s="275">
        <v>2</v>
      </c>
      <c r="DA47" s="276">
        <v>2</v>
      </c>
      <c r="DB47" s="274">
        <v>2</v>
      </c>
      <c r="DC47" s="275">
        <v>2</v>
      </c>
      <c r="DD47" s="275">
        <v>2</v>
      </c>
      <c r="DE47" s="275">
        <v>2</v>
      </c>
      <c r="DF47" s="275">
        <v>2</v>
      </c>
      <c r="DG47" s="275">
        <v>2</v>
      </c>
      <c r="DH47" s="275">
        <v>2</v>
      </c>
      <c r="DI47" s="275">
        <v>2</v>
      </c>
      <c r="DJ47" s="275">
        <v>2</v>
      </c>
      <c r="DK47" s="275">
        <v>2</v>
      </c>
      <c r="DL47" s="275">
        <v>2</v>
      </c>
      <c r="DM47" s="275">
        <v>2</v>
      </c>
      <c r="DN47" s="275">
        <v>2</v>
      </c>
      <c r="DO47" s="275">
        <v>2</v>
      </c>
      <c r="DP47" s="275">
        <v>2</v>
      </c>
      <c r="DQ47" s="275">
        <v>2</v>
      </c>
      <c r="DR47" s="275">
        <v>2</v>
      </c>
      <c r="DS47" s="275">
        <v>2</v>
      </c>
      <c r="DT47" s="275">
        <v>2</v>
      </c>
      <c r="DU47" s="276">
        <v>2</v>
      </c>
      <c r="DV47" s="274">
        <v>2</v>
      </c>
      <c r="DW47" s="275">
        <v>2</v>
      </c>
      <c r="DX47" s="275">
        <v>2</v>
      </c>
      <c r="DY47" s="275">
        <v>2</v>
      </c>
      <c r="DZ47" s="275">
        <v>2</v>
      </c>
      <c r="EA47" s="275">
        <v>2</v>
      </c>
      <c r="EB47" s="275">
        <v>2</v>
      </c>
      <c r="EC47" s="275">
        <v>2</v>
      </c>
      <c r="ED47" s="275">
        <v>2</v>
      </c>
      <c r="EE47" s="275">
        <v>2</v>
      </c>
      <c r="EF47" s="275">
        <v>2</v>
      </c>
      <c r="EG47" s="275">
        <v>2</v>
      </c>
      <c r="EH47" s="275">
        <v>2</v>
      </c>
      <c r="EI47" s="275">
        <v>2</v>
      </c>
      <c r="EJ47" s="275">
        <v>2</v>
      </c>
      <c r="EK47" s="275">
        <v>2</v>
      </c>
      <c r="EL47" s="275">
        <v>2</v>
      </c>
      <c r="EM47" s="275">
        <v>2</v>
      </c>
      <c r="EN47" s="275">
        <v>2</v>
      </c>
      <c r="EO47" s="276">
        <v>2</v>
      </c>
      <c r="EP47" s="274">
        <v>2</v>
      </c>
      <c r="EQ47" s="275">
        <v>2</v>
      </c>
      <c r="ER47" s="275">
        <v>2</v>
      </c>
      <c r="ES47" s="275">
        <v>2</v>
      </c>
      <c r="ET47" s="275">
        <v>2</v>
      </c>
      <c r="EU47" s="275">
        <v>2</v>
      </c>
      <c r="EV47" s="275">
        <v>2</v>
      </c>
      <c r="EW47" s="275">
        <v>2</v>
      </c>
      <c r="EX47" s="275">
        <v>2</v>
      </c>
      <c r="EY47" s="275">
        <v>2</v>
      </c>
      <c r="EZ47" s="275">
        <v>2</v>
      </c>
      <c r="FA47" s="275">
        <v>2</v>
      </c>
      <c r="FB47" s="275">
        <v>2</v>
      </c>
      <c r="FC47" s="275">
        <v>2</v>
      </c>
      <c r="FD47" s="275">
        <v>2</v>
      </c>
      <c r="FE47" s="275">
        <v>2</v>
      </c>
      <c r="FF47" s="275">
        <v>2</v>
      </c>
      <c r="FG47" s="275">
        <v>2</v>
      </c>
      <c r="FH47" s="275">
        <v>2</v>
      </c>
      <c r="FI47" s="276">
        <v>2</v>
      </c>
      <c r="FJ47" s="274">
        <v>2</v>
      </c>
      <c r="FK47" s="275">
        <v>2</v>
      </c>
      <c r="FL47" s="275">
        <v>2</v>
      </c>
      <c r="FM47" s="275">
        <v>2</v>
      </c>
      <c r="FN47" s="275">
        <v>2</v>
      </c>
      <c r="FO47" s="275">
        <v>2</v>
      </c>
      <c r="FP47" s="275">
        <v>2</v>
      </c>
      <c r="FQ47" s="275">
        <v>2</v>
      </c>
      <c r="FR47" s="275">
        <v>2</v>
      </c>
      <c r="FS47" s="275">
        <v>2</v>
      </c>
      <c r="FT47" s="275">
        <v>2</v>
      </c>
      <c r="FU47" s="275">
        <v>2</v>
      </c>
      <c r="FV47" s="275">
        <v>2</v>
      </c>
      <c r="FW47" s="275">
        <v>2</v>
      </c>
      <c r="FX47" s="275">
        <v>2</v>
      </c>
      <c r="FY47" s="275">
        <v>2</v>
      </c>
      <c r="FZ47" s="275">
        <v>2</v>
      </c>
      <c r="GA47" s="275">
        <v>2</v>
      </c>
      <c r="GB47" s="275">
        <v>2</v>
      </c>
      <c r="GC47" s="276">
        <v>2</v>
      </c>
      <c r="GD47" s="274">
        <v>2</v>
      </c>
      <c r="GE47" s="275">
        <v>2</v>
      </c>
      <c r="GF47" s="275">
        <v>2</v>
      </c>
      <c r="GG47" s="275">
        <v>2</v>
      </c>
      <c r="GH47" s="275">
        <v>2</v>
      </c>
      <c r="GI47" s="275">
        <v>2</v>
      </c>
      <c r="GJ47" s="275">
        <v>2</v>
      </c>
      <c r="GK47" s="275">
        <v>2</v>
      </c>
      <c r="GL47" s="275">
        <v>2</v>
      </c>
      <c r="GM47" s="275">
        <v>2</v>
      </c>
      <c r="GN47" s="275">
        <v>2</v>
      </c>
      <c r="GO47" s="275">
        <v>2</v>
      </c>
      <c r="GP47" s="275">
        <v>2</v>
      </c>
      <c r="GQ47" s="275">
        <v>2</v>
      </c>
      <c r="GR47" s="275">
        <v>2</v>
      </c>
      <c r="GS47" s="275">
        <v>2</v>
      </c>
      <c r="GT47" s="275">
        <v>2</v>
      </c>
      <c r="GU47" s="275">
        <v>2</v>
      </c>
      <c r="GV47" s="275">
        <v>2</v>
      </c>
      <c r="GW47" s="276">
        <v>2</v>
      </c>
      <c r="GX47" s="274">
        <v>2</v>
      </c>
      <c r="GY47" s="275">
        <v>2</v>
      </c>
      <c r="GZ47" s="275">
        <v>2</v>
      </c>
      <c r="HA47" s="275">
        <v>2</v>
      </c>
      <c r="HB47" s="275">
        <v>2</v>
      </c>
      <c r="HC47" s="275">
        <v>2</v>
      </c>
      <c r="HD47" s="275">
        <v>2</v>
      </c>
      <c r="HE47" s="275">
        <v>2</v>
      </c>
      <c r="HF47" s="275">
        <v>2</v>
      </c>
      <c r="HG47" s="275">
        <v>2</v>
      </c>
      <c r="HH47" s="275">
        <v>2</v>
      </c>
      <c r="HI47" s="275">
        <v>2</v>
      </c>
      <c r="HJ47" s="275">
        <v>2</v>
      </c>
      <c r="HK47" s="275">
        <v>2</v>
      </c>
      <c r="HL47" s="275">
        <v>2</v>
      </c>
      <c r="HM47" s="275">
        <v>2</v>
      </c>
      <c r="HN47" s="275">
        <v>2</v>
      </c>
      <c r="HO47" s="275">
        <v>2</v>
      </c>
      <c r="HP47" s="275">
        <v>2</v>
      </c>
      <c r="HQ47" s="276">
        <v>2</v>
      </c>
      <c r="HR47" s="274">
        <v>2</v>
      </c>
      <c r="HS47" s="275">
        <v>2</v>
      </c>
      <c r="HT47" s="275">
        <v>2</v>
      </c>
      <c r="HU47" s="275">
        <v>2</v>
      </c>
      <c r="HV47" s="275">
        <v>2</v>
      </c>
      <c r="HW47" s="275">
        <v>2</v>
      </c>
      <c r="HX47" s="275">
        <v>2</v>
      </c>
      <c r="HY47" s="275">
        <v>2</v>
      </c>
      <c r="HZ47" s="275">
        <v>2</v>
      </c>
      <c r="IA47" s="275">
        <v>2</v>
      </c>
      <c r="IB47" s="275">
        <v>2</v>
      </c>
      <c r="IC47" s="275">
        <v>2</v>
      </c>
      <c r="ID47" s="275">
        <v>2</v>
      </c>
      <c r="IE47" s="275">
        <v>2</v>
      </c>
      <c r="IF47" s="275">
        <v>2</v>
      </c>
      <c r="IG47" s="275">
        <v>2</v>
      </c>
      <c r="IH47" s="275">
        <v>2</v>
      </c>
      <c r="II47" s="275">
        <v>2</v>
      </c>
      <c r="IJ47" s="275">
        <v>2</v>
      </c>
      <c r="IK47" s="276">
        <v>2</v>
      </c>
      <c r="IL47" s="274">
        <v>2</v>
      </c>
      <c r="IM47" s="275">
        <v>2</v>
      </c>
      <c r="IN47" s="275">
        <v>2</v>
      </c>
      <c r="IO47" s="275">
        <v>2</v>
      </c>
      <c r="IP47" s="275">
        <v>2</v>
      </c>
      <c r="IQ47" s="275">
        <v>2</v>
      </c>
      <c r="IR47" s="275">
        <v>2</v>
      </c>
      <c r="IS47" s="275">
        <v>2</v>
      </c>
      <c r="IT47" s="275">
        <v>2</v>
      </c>
      <c r="IU47" s="275">
        <v>2</v>
      </c>
      <c r="IV47" s="275">
        <v>2</v>
      </c>
      <c r="IW47" s="275">
        <v>2</v>
      </c>
      <c r="IX47" s="275">
        <v>2</v>
      </c>
      <c r="IY47" s="275">
        <v>2</v>
      </c>
      <c r="IZ47" s="275">
        <v>2</v>
      </c>
      <c r="JA47" s="275">
        <v>2</v>
      </c>
      <c r="JB47" s="275">
        <v>2</v>
      </c>
      <c r="JC47" s="275">
        <v>2</v>
      </c>
      <c r="JD47" s="275">
        <v>2</v>
      </c>
      <c r="JE47" s="276">
        <v>2</v>
      </c>
    </row>
    <row r="48" spans="2:265" x14ac:dyDescent="0.25">
      <c r="B48" s="83"/>
      <c r="C48" s="35"/>
      <c r="D48" s="83" t="s">
        <v>71</v>
      </c>
      <c r="E48" s="83" t="s">
        <v>308</v>
      </c>
      <c r="F48" s="67">
        <v>10</v>
      </c>
      <c r="G48" s="40">
        <v>11</v>
      </c>
      <c r="H48" s="40">
        <v>12</v>
      </c>
      <c r="I48" s="40">
        <v>13</v>
      </c>
      <c r="J48" s="40">
        <v>14</v>
      </c>
      <c r="K48" s="40">
        <v>15</v>
      </c>
      <c r="L48" s="40">
        <v>16</v>
      </c>
      <c r="M48" s="40">
        <v>17</v>
      </c>
      <c r="N48" s="40">
        <v>18</v>
      </c>
      <c r="O48" s="40">
        <v>1</v>
      </c>
      <c r="P48" s="40">
        <v>2</v>
      </c>
      <c r="Q48" s="40">
        <v>3</v>
      </c>
      <c r="R48" s="40">
        <v>4</v>
      </c>
      <c r="S48" s="40">
        <v>5</v>
      </c>
      <c r="T48" s="40">
        <v>6</v>
      </c>
      <c r="U48" s="40">
        <v>7</v>
      </c>
      <c r="V48" s="40">
        <v>8</v>
      </c>
      <c r="W48" s="40">
        <v>1</v>
      </c>
      <c r="X48" s="40">
        <v>2</v>
      </c>
      <c r="Y48" s="44">
        <v>3</v>
      </c>
      <c r="Z48" s="67">
        <v>1</v>
      </c>
      <c r="AA48" s="40">
        <v>2</v>
      </c>
      <c r="AB48" s="40">
        <v>3</v>
      </c>
      <c r="AC48" s="40">
        <v>4</v>
      </c>
      <c r="AD48" s="40">
        <v>5</v>
      </c>
      <c r="AE48" s="40">
        <v>6</v>
      </c>
      <c r="AF48" s="40">
        <v>7</v>
      </c>
      <c r="AG48" s="40">
        <v>8</v>
      </c>
      <c r="AH48" s="40">
        <v>1</v>
      </c>
      <c r="AI48" s="40">
        <v>2</v>
      </c>
      <c r="AJ48" s="40">
        <v>3</v>
      </c>
      <c r="AK48" s="40">
        <v>4</v>
      </c>
      <c r="AL48" s="40">
        <v>5</v>
      </c>
      <c r="AM48" s="40">
        <v>6</v>
      </c>
      <c r="AN48" s="40">
        <v>7</v>
      </c>
      <c r="AO48" s="40">
        <v>8</v>
      </c>
      <c r="AP48" s="40">
        <v>1</v>
      </c>
      <c r="AQ48" s="40">
        <v>2</v>
      </c>
      <c r="AR48" s="40">
        <v>3</v>
      </c>
      <c r="AS48" s="44">
        <v>4</v>
      </c>
      <c r="AT48" s="67">
        <v>10</v>
      </c>
      <c r="AU48" s="40">
        <v>1</v>
      </c>
      <c r="AV48" s="40">
        <v>2</v>
      </c>
      <c r="AW48" s="40">
        <v>3</v>
      </c>
      <c r="AX48" s="40">
        <v>4</v>
      </c>
      <c r="AY48" s="40">
        <v>5</v>
      </c>
      <c r="AZ48" s="40">
        <v>6</v>
      </c>
      <c r="BA48" s="40">
        <v>7</v>
      </c>
      <c r="BB48" s="40">
        <v>8</v>
      </c>
      <c r="BC48" s="40">
        <v>1</v>
      </c>
      <c r="BD48" s="40">
        <v>2</v>
      </c>
      <c r="BE48" s="40">
        <v>3</v>
      </c>
      <c r="BF48" s="40">
        <v>4</v>
      </c>
      <c r="BG48" s="40">
        <v>5</v>
      </c>
      <c r="BH48" s="40">
        <v>6</v>
      </c>
      <c r="BI48" s="40">
        <v>7</v>
      </c>
      <c r="BJ48" s="40">
        <v>8</v>
      </c>
      <c r="BK48" s="40">
        <v>1</v>
      </c>
      <c r="BL48" s="40">
        <v>2</v>
      </c>
      <c r="BM48" s="44">
        <v>3</v>
      </c>
      <c r="BN48" s="67">
        <v>10</v>
      </c>
      <c r="BO48" s="40">
        <v>11</v>
      </c>
      <c r="BP48" s="40">
        <v>1</v>
      </c>
      <c r="BQ48" s="40">
        <v>2</v>
      </c>
      <c r="BR48" s="40">
        <v>3</v>
      </c>
      <c r="BS48" s="40">
        <v>4</v>
      </c>
      <c r="BT48" s="40">
        <v>5</v>
      </c>
      <c r="BU48" s="40">
        <v>6</v>
      </c>
      <c r="BV48" s="40">
        <v>7</v>
      </c>
      <c r="BW48" s="40">
        <v>8</v>
      </c>
      <c r="BX48" s="40">
        <v>1</v>
      </c>
      <c r="BY48" s="40">
        <v>2</v>
      </c>
      <c r="BZ48" s="40">
        <v>3</v>
      </c>
      <c r="CA48" s="40">
        <v>4</v>
      </c>
      <c r="CB48" s="40">
        <v>5</v>
      </c>
      <c r="CC48" s="40">
        <v>6</v>
      </c>
      <c r="CD48" s="40">
        <v>7</v>
      </c>
      <c r="CE48" s="40">
        <v>8</v>
      </c>
      <c r="CF48" s="40">
        <v>1</v>
      </c>
      <c r="CG48" s="44">
        <v>2</v>
      </c>
      <c r="CH48" s="67">
        <v>10</v>
      </c>
      <c r="CI48" s="40">
        <v>11</v>
      </c>
      <c r="CJ48" s="40">
        <v>12</v>
      </c>
      <c r="CK48" s="40">
        <v>1</v>
      </c>
      <c r="CL48" s="40">
        <v>2</v>
      </c>
      <c r="CM48" s="40">
        <v>3</v>
      </c>
      <c r="CN48" s="40">
        <v>4</v>
      </c>
      <c r="CO48" s="40">
        <v>5</v>
      </c>
      <c r="CP48" s="40">
        <v>6</v>
      </c>
      <c r="CQ48" s="40">
        <v>7</v>
      </c>
      <c r="CR48" s="40">
        <v>8</v>
      </c>
      <c r="CS48" s="40">
        <v>1</v>
      </c>
      <c r="CT48" s="40">
        <v>2</v>
      </c>
      <c r="CU48" s="40">
        <v>3</v>
      </c>
      <c r="CV48" s="40">
        <v>4</v>
      </c>
      <c r="CW48" s="40">
        <v>5</v>
      </c>
      <c r="CX48" s="40">
        <v>6</v>
      </c>
      <c r="CY48" s="40">
        <v>7</v>
      </c>
      <c r="CZ48" s="40">
        <v>8</v>
      </c>
      <c r="DA48" s="44">
        <v>1</v>
      </c>
      <c r="DB48" s="67">
        <v>10</v>
      </c>
      <c r="DC48" s="40">
        <v>11</v>
      </c>
      <c r="DD48" s="40">
        <v>12</v>
      </c>
      <c r="DE48" s="40">
        <v>13</v>
      </c>
      <c r="DF48" s="40">
        <v>1</v>
      </c>
      <c r="DG48" s="40">
        <v>2</v>
      </c>
      <c r="DH48" s="40">
        <v>3</v>
      </c>
      <c r="DI48" s="40">
        <v>4</v>
      </c>
      <c r="DJ48" s="40">
        <v>5</v>
      </c>
      <c r="DK48" s="40">
        <v>6</v>
      </c>
      <c r="DL48" s="40">
        <v>7</v>
      </c>
      <c r="DM48" s="40">
        <v>8</v>
      </c>
      <c r="DN48" s="40">
        <v>1</v>
      </c>
      <c r="DO48" s="40">
        <v>2</v>
      </c>
      <c r="DP48" s="40">
        <v>3</v>
      </c>
      <c r="DQ48" s="40">
        <v>4</v>
      </c>
      <c r="DR48" s="40">
        <v>5</v>
      </c>
      <c r="DS48" s="40">
        <v>6</v>
      </c>
      <c r="DT48" s="40">
        <v>7</v>
      </c>
      <c r="DU48" s="44">
        <v>8</v>
      </c>
      <c r="DV48" s="67">
        <v>10</v>
      </c>
      <c r="DW48" s="40">
        <v>11</v>
      </c>
      <c r="DX48" s="40">
        <v>12</v>
      </c>
      <c r="DY48" s="40">
        <v>13</v>
      </c>
      <c r="DZ48" s="40">
        <v>14</v>
      </c>
      <c r="EA48" s="40">
        <v>1</v>
      </c>
      <c r="EB48" s="40">
        <v>2</v>
      </c>
      <c r="EC48" s="40">
        <v>3</v>
      </c>
      <c r="ED48" s="40">
        <v>4</v>
      </c>
      <c r="EE48" s="40">
        <v>5</v>
      </c>
      <c r="EF48" s="40">
        <v>6</v>
      </c>
      <c r="EG48" s="40">
        <v>7</v>
      </c>
      <c r="EH48" s="40">
        <v>8</v>
      </c>
      <c r="EI48" s="40">
        <v>1</v>
      </c>
      <c r="EJ48" s="40">
        <v>2</v>
      </c>
      <c r="EK48" s="40">
        <v>3</v>
      </c>
      <c r="EL48" s="40">
        <v>4</v>
      </c>
      <c r="EM48" s="40">
        <v>5</v>
      </c>
      <c r="EN48" s="40">
        <v>6</v>
      </c>
      <c r="EO48" s="44">
        <v>7</v>
      </c>
      <c r="EP48" s="67">
        <v>1</v>
      </c>
      <c r="EQ48" s="40">
        <v>2</v>
      </c>
      <c r="ER48" s="40">
        <v>3</v>
      </c>
      <c r="ES48" s="40">
        <v>4</v>
      </c>
      <c r="ET48" s="40">
        <v>5</v>
      </c>
      <c r="EU48" s="40">
        <v>6</v>
      </c>
      <c r="EV48" s="40">
        <v>7</v>
      </c>
      <c r="EW48" s="40">
        <v>8</v>
      </c>
      <c r="EX48" s="40">
        <v>1</v>
      </c>
      <c r="EY48" s="40">
        <v>2</v>
      </c>
      <c r="EZ48" s="40">
        <v>3</v>
      </c>
      <c r="FA48" s="40">
        <v>4</v>
      </c>
      <c r="FB48" s="40">
        <v>5</v>
      </c>
      <c r="FC48" s="40">
        <v>6</v>
      </c>
      <c r="FD48" s="40">
        <v>7</v>
      </c>
      <c r="FE48" s="40">
        <v>8</v>
      </c>
      <c r="FF48" s="40">
        <v>1</v>
      </c>
      <c r="FG48" s="40">
        <v>2</v>
      </c>
      <c r="FH48" s="40">
        <v>3</v>
      </c>
      <c r="FI48" s="44">
        <v>4</v>
      </c>
      <c r="FJ48" s="67">
        <v>10</v>
      </c>
      <c r="FK48" s="40">
        <v>1</v>
      </c>
      <c r="FL48" s="40">
        <v>2</v>
      </c>
      <c r="FM48" s="40">
        <v>3</v>
      </c>
      <c r="FN48" s="40">
        <v>4</v>
      </c>
      <c r="FO48" s="40">
        <v>5</v>
      </c>
      <c r="FP48" s="40">
        <v>6</v>
      </c>
      <c r="FQ48" s="40">
        <v>7</v>
      </c>
      <c r="FR48" s="40">
        <v>8</v>
      </c>
      <c r="FS48" s="40">
        <v>1</v>
      </c>
      <c r="FT48" s="40">
        <v>2</v>
      </c>
      <c r="FU48" s="40">
        <v>3</v>
      </c>
      <c r="FV48" s="40">
        <v>4</v>
      </c>
      <c r="FW48" s="40">
        <v>5</v>
      </c>
      <c r="FX48" s="40">
        <v>6</v>
      </c>
      <c r="FY48" s="40">
        <v>7</v>
      </c>
      <c r="FZ48" s="40">
        <v>8</v>
      </c>
      <c r="GA48" s="40">
        <v>1</v>
      </c>
      <c r="GB48" s="40">
        <v>2</v>
      </c>
      <c r="GC48" s="44">
        <v>3</v>
      </c>
      <c r="GD48" s="67">
        <v>10</v>
      </c>
      <c r="GE48" s="40">
        <v>11</v>
      </c>
      <c r="GF48" s="40">
        <v>1</v>
      </c>
      <c r="GG48" s="40">
        <v>2</v>
      </c>
      <c r="GH48" s="40">
        <v>3</v>
      </c>
      <c r="GI48" s="40">
        <v>4</v>
      </c>
      <c r="GJ48" s="40">
        <v>5</v>
      </c>
      <c r="GK48" s="40">
        <v>6</v>
      </c>
      <c r="GL48" s="40">
        <v>7</v>
      </c>
      <c r="GM48" s="40">
        <v>8</v>
      </c>
      <c r="GN48" s="40">
        <v>1</v>
      </c>
      <c r="GO48" s="40">
        <v>2</v>
      </c>
      <c r="GP48" s="40">
        <v>3</v>
      </c>
      <c r="GQ48" s="40">
        <v>4</v>
      </c>
      <c r="GR48" s="40">
        <v>5</v>
      </c>
      <c r="GS48" s="40">
        <v>6</v>
      </c>
      <c r="GT48" s="40">
        <v>7</v>
      </c>
      <c r="GU48" s="40">
        <v>8</v>
      </c>
      <c r="GV48" s="40">
        <v>1</v>
      </c>
      <c r="GW48" s="44">
        <v>2</v>
      </c>
      <c r="GX48" s="67">
        <v>10</v>
      </c>
      <c r="GY48" s="40">
        <v>11</v>
      </c>
      <c r="GZ48" s="40">
        <v>12</v>
      </c>
      <c r="HA48" s="40">
        <v>1</v>
      </c>
      <c r="HB48" s="40">
        <v>2</v>
      </c>
      <c r="HC48" s="40">
        <v>3</v>
      </c>
      <c r="HD48" s="40">
        <v>4</v>
      </c>
      <c r="HE48" s="40">
        <v>5</v>
      </c>
      <c r="HF48" s="40">
        <v>6</v>
      </c>
      <c r="HG48" s="40">
        <v>7</v>
      </c>
      <c r="HH48" s="40">
        <v>8</v>
      </c>
      <c r="HI48" s="40">
        <v>1</v>
      </c>
      <c r="HJ48" s="40">
        <v>2</v>
      </c>
      <c r="HK48" s="40">
        <v>3</v>
      </c>
      <c r="HL48" s="40">
        <v>4</v>
      </c>
      <c r="HM48" s="40">
        <v>5</v>
      </c>
      <c r="HN48" s="40">
        <v>6</v>
      </c>
      <c r="HO48" s="40">
        <v>7</v>
      </c>
      <c r="HP48" s="40">
        <v>8</v>
      </c>
      <c r="HQ48" s="44">
        <v>1</v>
      </c>
      <c r="HR48" s="67">
        <v>10</v>
      </c>
      <c r="HS48" s="40">
        <v>11</v>
      </c>
      <c r="HT48" s="40">
        <v>12</v>
      </c>
      <c r="HU48" s="40">
        <v>13</v>
      </c>
      <c r="HV48" s="40">
        <v>1</v>
      </c>
      <c r="HW48" s="40">
        <v>2</v>
      </c>
      <c r="HX48" s="40">
        <v>3</v>
      </c>
      <c r="HY48" s="40">
        <v>4</v>
      </c>
      <c r="HZ48" s="40">
        <v>5</v>
      </c>
      <c r="IA48" s="40">
        <v>6</v>
      </c>
      <c r="IB48" s="40">
        <v>7</v>
      </c>
      <c r="IC48" s="40">
        <v>8</v>
      </c>
      <c r="ID48" s="40">
        <v>1</v>
      </c>
      <c r="IE48" s="40">
        <v>2</v>
      </c>
      <c r="IF48" s="40">
        <v>3</v>
      </c>
      <c r="IG48" s="40">
        <v>4</v>
      </c>
      <c r="IH48" s="40">
        <v>5</v>
      </c>
      <c r="II48" s="40">
        <v>6</v>
      </c>
      <c r="IJ48" s="40">
        <v>7</v>
      </c>
      <c r="IK48" s="44">
        <v>8</v>
      </c>
      <c r="IL48" s="67">
        <v>10</v>
      </c>
      <c r="IM48" s="40">
        <v>11</v>
      </c>
      <c r="IN48" s="40">
        <v>12</v>
      </c>
      <c r="IO48" s="40">
        <v>13</v>
      </c>
      <c r="IP48" s="40">
        <v>14</v>
      </c>
      <c r="IQ48" s="40">
        <v>1</v>
      </c>
      <c r="IR48" s="40">
        <v>2</v>
      </c>
      <c r="IS48" s="40">
        <v>3</v>
      </c>
      <c r="IT48" s="40">
        <v>4</v>
      </c>
      <c r="IU48" s="40">
        <v>5</v>
      </c>
      <c r="IV48" s="40">
        <v>6</v>
      </c>
      <c r="IW48" s="40">
        <v>7</v>
      </c>
      <c r="IX48" s="40">
        <v>8</v>
      </c>
      <c r="IY48" s="40">
        <v>1</v>
      </c>
      <c r="IZ48" s="40">
        <v>2</v>
      </c>
      <c r="JA48" s="40">
        <v>3</v>
      </c>
      <c r="JB48" s="40">
        <v>4</v>
      </c>
      <c r="JC48" s="40">
        <v>5</v>
      </c>
      <c r="JD48" s="40">
        <v>6</v>
      </c>
      <c r="JE48" s="44">
        <v>7</v>
      </c>
    </row>
    <row r="49" spans="2:265" x14ac:dyDescent="0.25">
      <c r="B49" s="83"/>
      <c r="C49" s="35"/>
      <c r="D49" s="83" t="s">
        <v>17</v>
      </c>
      <c r="E49" s="83" t="s">
        <v>39</v>
      </c>
      <c r="F49" s="274">
        <v>9.2692988801800009</v>
      </c>
      <c r="G49" s="275">
        <v>9.2692988801800009</v>
      </c>
      <c r="H49" s="275">
        <v>9.2692988801800009</v>
      </c>
      <c r="I49" s="275">
        <v>9.2692988801800009</v>
      </c>
      <c r="J49" s="275">
        <v>9.2692988801800009</v>
      </c>
      <c r="K49" s="275">
        <v>9.2692988801800009</v>
      </c>
      <c r="L49" s="275">
        <v>9.2692988801800009</v>
      </c>
      <c r="M49" s="275">
        <v>9.2692988801800009</v>
      </c>
      <c r="N49" s="275">
        <v>9.2692988801800009</v>
      </c>
      <c r="O49" s="275">
        <v>9.2692988801800009</v>
      </c>
      <c r="P49" s="275">
        <v>9.2692988801800009</v>
      </c>
      <c r="Q49" s="275">
        <v>9.2692988801800009</v>
      </c>
      <c r="R49" s="275">
        <v>9.2692988801800009</v>
      </c>
      <c r="S49" s="275">
        <v>9.2692988801800009</v>
      </c>
      <c r="T49" s="275">
        <v>9.2692988801800009</v>
      </c>
      <c r="U49" s="275">
        <v>9.2692988801800009</v>
      </c>
      <c r="V49" s="275">
        <v>9.2692988801800009</v>
      </c>
      <c r="W49" s="275">
        <v>9.2692988801800009</v>
      </c>
      <c r="X49" s="275">
        <v>9.2692988801800009</v>
      </c>
      <c r="Y49" s="276">
        <v>9.2692988801800009</v>
      </c>
      <c r="Z49" s="274">
        <v>9.2692988801800009</v>
      </c>
      <c r="AA49" s="275">
        <v>9.2692988801800009</v>
      </c>
      <c r="AB49" s="275">
        <v>9.2692988801800009</v>
      </c>
      <c r="AC49" s="275">
        <v>9.2692988801800009</v>
      </c>
      <c r="AD49" s="275">
        <v>9.2692988801800009</v>
      </c>
      <c r="AE49" s="275">
        <v>9.2692988801800009</v>
      </c>
      <c r="AF49" s="275">
        <v>9.2692988801800009</v>
      </c>
      <c r="AG49" s="275">
        <v>9.2692988801800009</v>
      </c>
      <c r="AH49" s="275">
        <v>9.2692988801800009</v>
      </c>
      <c r="AI49" s="275">
        <v>9.2692988801800009</v>
      </c>
      <c r="AJ49" s="275">
        <v>9.2692988801800009</v>
      </c>
      <c r="AK49" s="275">
        <v>9.2692988801800009</v>
      </c>
      <c r="AL49" s="275">
        <v>9.2692988801800009</v>
      </c>
      <c r="AM49" s="275">
        <v>9.2692988801800009</v>
      </c>
      <c r="AN49" s="275">
        <v>9.2692988801800009</v>
      </c>
      <c r="AO49" s="275">
        <v>9.2692988801800009</v>
      </c>
      <c r="AP49" s="275">
        <v>9.2692988801800009</v>
      </c>
      <c r="AQ49" s="275">
        <v>9.2692988801800009</v>
      </c>
      <c r="AR49" s="275">
        <v>9.2692988801800009</v>
      </c>
      <c r="AS49" s="276">
        <v>9.2692988801800009</v>
      </c>
      <c r="AT49" s="274">
        <v>9.2692988801800009</v>
      </c>
      <c r="AU49" s="275">
        <v>9.2692988801800009</v>
      </c>
      <c r="AV49" s="275">
        <v>9.2692988801800009</v>
      </c>
      <c r="AW49" s="275">
        <v>9.2692988801800009</v>
      </c>
      <c r="AX49" s="275">
        <v>9.2692988801800009</v>
      </c>
      <c r="AY49" s="275">
        <v>9.2692988801800009</v>
      </c>
      <c r="AZ49" s="275">
        <v>9.2692988801800009</v>
      </c>
      <c r="BA49" s="275">
        <v>9.2692988801800009</v>
      </c>
      <c r="BB49" s="275">
        <v>9.2692988801800009</v>
      </c>
      <c r="BC49" s="275">
        <v>9.2692988801800009</v>
      </c>
      <c r="BD49" s="275">
        <v>9.2692988801800009</v>
      </c>
      <c r="BE49" s="275">
        <v>9.2692988801800009</v>
      </c>
      <c r="BF49" s="275">
        <v>9.2692988801800009</v>
      </c>
      <c r="BG49" s="275">
        <v>9.2692988801800009</v>
      </c>
      <c r="BH49" s="275">
        <v>9.2692988801800009</v>
      </c>
      <c r="BI49" s="275">
        <v>9.2692988801800009</v>
      </c>
      <c r="BJ49" s="275">
        <v>9.2692988801800009</v>
      </c>
      <c r="BK49" s="275">
        <v>9.2692988801800009</v>
      </c>
      <c r="BL49" s="275">
        <v>9.2692988801800009</v>
      </c>
      <c r="BM49" s="276">
        <v>9.2692988801800009</v>
      </c>
      <c r="BN49" s="274">
        <v>9.2692988801800009</v>
      </c>
      <c r="BO49" s="275">
        <v>9.2692988801800009</v>
      </c>
      <c r="BP49" s="275">
        <v>9.2692988801800009</v>
      </c>
      <c r="BQ49" s="275">
        <v>9.2692988801800009</v>
      </c>
      <c r="BR49" s="275">
        <v>9.2692988801800009</v>
      </c>
      <c r="BS49" s="275">
        <v>9.2692988801800009</v>
      </c>
      <c r="BT49" s="275">
        <v>9.2692988801800009</v>
      </c>
      <c r="BU49" s="275">
        <v>9.2692988801800009</v>
      </c>
      <c r="BV49" s="275">
        <v>9.2692988801800009</v>
      </c>
      <c r="BW49" s="275">
        <v>9.2692988801800009</v>
      </c>
      <c r="BX49" s="275">
        <v>9.2692988801800009</v>
      </c>
      <c r="BY49" s="275">
        <v>9.2692988801800009</v>
      </c>
      <c r="BZ49" s="275">
        <v>9.2692988801800009</v>
      </c>
      <c r="CA49" s="275">
        <v>9.2692988801800009</v>
      </c>
      <c r="CB49" s="275">
        <v>9.2692988801800009</v>
      </c>
      <c r="CC49" s="275">
        <v>9.2692988801800009</v>
      </c>
      <c r="CD49" s="275">
        <v>9.2692988801800009</v>
      </c>
      <c r="CE49" s="275">
        <v>9.2692988801800009</v>
      </c>
      <c r="CF49" s="275">
        <v>9.2692988801800009</v>
      </c>
      <c r="CG49" s="276">
        <v>9.2692988801800009</v>
      </c>
      <c r="CH49" s="274">
        <v>9.2692988801800009</v>
      </c>
      <c r="CI49" s="275">
        <v>9.2692988801800009</v>
      </c>
      <c r="CJ49" s="275">
        <v>9.2692988801800009</v>
      </c>
      <c r="CK49" s="275">
        <v>9.2692988801800009</v>
      </c>
      <c r="CL49" s="275">
        <v>9.2692988801800009</v>
      </c>
      <c r="CM49" s="275">
        <v>9.2692988801800009</v>
      </c>
      <c r="CN49" s="275">
        <v>9.2692988801800009</v>
      </c>
      <c r="CO49" s="275">
        <v>9.2692988801800009</v>
      </c>
      <c r="CP49" s="275">
        <v>9.2692988801800009</v>
      </c>
      <c r="CQ49" s="275">
        <v>9.2692988801800009</v>
      </c>
      <c r="CR49" s="275">
        <v>9.2692988801800009</v>
      </c>
      <c r="CS49" s="275">
        <v>9.2692988801800009</v>
      </c>
      <c r="CT49" s="275">
        <v>9.2692988801800009</v>
      </c>
      <c r="CU49" s="275">
        <v>9.2692988801800009</v>
      </c>
      <c r="CV49" s="275">
        <v>9.2692988801800009</v>
      </c>
      <c r="CW49" s="275">
        <v>9.2692988801800009</v>
      </c>
      <c r="CX49" s="275">
        <v>9.2692988801800009</v>
      </c>
      <c r="CY49" s="275">
        <v>9.2692988801800009</v>
      </c>
      <c r="CZ49" s="275">
        <v>9.2692988801800009</v>
      </c>
      <c r="DA49" s="276">
        <v>9.2692988801800009</v>
      </c>
      <c r="DB49" s="274">
        <v>9.2692988801800009</v>
      </c>
      <c r="DC49" s="275">
        <v>9.2692988801800009</v>
      </c>
      <c r="DD49" s="275">
        <v>9.2692988801800009</v>
      </c>
      <c r="DE49" s="275">
        <v>9.2692988801800009</v>
      </c>
      <c r="DF49" s="275">
        <v>9.2692988801800009</v>
      </c>
      <c r="DG49" s="275">
        <v>9.2692988801800009</v>
      </c>
      <c r="DH49" s="275">
        <v>9.2692988801800009</v>
      </c>
      <c r="DI49" s="275">
        <v>9.2692988801800009</v>
      </c>
      <c r="DJ49" s="275">
        <v>9.2692988801800009</v>
      </c>
      <c r="DK49" s="275">
        <v>9.2692988801800009</v>
      </c>
      <c r="DL49" s="275">
        <v>9.2692988801800009</v>
      </c>
      <c r="DM49" s="275">
        <v>9.2692988801800009</v>
      </c>
      <c r="DN49" s="275">
        <v>9.2692988801800009</v>
      </c>
      <c r="DO49" s="275">
        <v>9.2692988801800009</v>
      </c>
      <c r="DP49" s="275">
        <v>9.2692988801800009</v>
      </c>
      <c r="DQ49" s="275">
        <v>9.2692988801800009</v>
      </c>
      <c r="DR49" s="275">
        <v>9.2692988801800009</v>
      </c>
      <c r="DS49" s="275">
        <v>9.2692988801800009</v>
      </c>
      <c r="DT49" s="275">
        <v>9.2692988801800009</v>
      </c>
      <c r="DU49" s="276">
        <v>9.2692988801800009</v>
      </c>
      <c r="DV49" s="274">
        <v>9.2692988801800009</v>
      </c>
      <c r="DW49" s="275">
        <v>9.2692988801800009</v>
      </c>
      <c r="DX49" s="275">
        <v>9.2692988801800009</v>
      </c>
      <c r="DY49" s="275">
        <v>9.2692988801800009</v>
      </c>
      <c r="DZ49" s="275">
        <v>9.2692988801800009</v>
      </c>
      <c r="EA49" s="275">
        <v>9.2692988801800009</v>
      </c>
      <c r="EB49" s="275">
        <v>9.2692988801800009</v>
      </c>
      <c r="EC49" s="275">
        <v>9.2692988801800009</v>
      </c>
      <c r="ED49" s="275">
        <v>9.2692988801800009</v>
      </c>
      <c r="EE49" s="275">
        <v>9.2692988801800009</v>
      </c>
      <c r="EF49" s="275">
        <v>9.2692988801800009</v>
      </c>
      <c r="EG49" s="275">
        <v>9.2692988801800009</v>
      </c>
      <c r="EH49" s="275">
        <v>9.2692988801800009</v>
      </c>
      <c r="EI49" s="275">
        <v>9.2692988801800009</v>
      </c>
      <c r="EJ49" s="275">
        <v>9.2692988801800009</v>
      </c>
      <c r="EK49" s="275">
        <v>9.2692988801800009</v>
      </c>
      <c r="EL49" s="275">
        <v>9.2692988801800009</v>
      </c>
      <c r="EM49" s="275">
        <v>9.2692988801800009</v>
      </c>
      <c r="EN49" s="275">
        <v>9.2692988801800009</v>
      </c>
      <c r="EO49" s="276">
        <v>9.2692988801800009</v>
      </c>
      <c r="EP49" s="274">
        <v>9.2692988801800009</v>
      </c>
      <c r="EQ49" s="275">
        <v>9.2692988801800009</v>
      </c>
      <c r="ER49" s="275">
        <v>9.2692988801800009</v>
      </c>
      <c r="ES49" s="275">
        <v>9.2692988801800009</v>
      </c>
      <c r="ET49" s="275">
        <v>9.2692988801800009</v>
      </c>
      <c r="EU49" s="275">
        <v>9.2692988801800009</v>
      </c>
      <c r="EV49" s="275">
        <v>9.2692988801800009</v>
      </c>
      <c r="EW49" s="275">
        <v>9.2692988801800009</v>
      </c>
      <c r="EX49" s="275">
        <v>9.2692988801800009</v>
      </c>
      <c r="EY49" s="275">
        <v>9.2692988801800009</v>
      </c>
      <c r="EZ49" s="275">
        <v>9.2692988801800009</v>
      </c>
      <c r="FA49" s="275">
        <v>9.2692988801800009</v>
      </c>
      <c r="FB49" s="275">
        <v>9.2692988801800009</v>
      </c>
      <c r="FC49" s="275">
        <v>9.2692988801800009</v>
      </c>
      <c r="FD49" s="275">
        <v>9.2692988801800009</v>
      </c>
      <c r="FE49" s="275">
        <v>9.2692988801800009</v>
      </c>
      <c r="FF49" s="275">
        <v>9.2692988801800009</v>
      </c>
      <c r="FG49" s="275">
        <v>9.2692988801800009</v>
      </c>
      <c r="FH49" s="275">
        <v>9.2692988801800009</v>
      </c>
      <c r="FI49" s="276">
        <v>9.2692988801800009</v>
      </c>
      <c r="FJ49" s="274">
        <v>9.2692988801800009</v>
      </c>
      <c r="FK49" s="275">
        <v>9.2692988801800009</v>
      </c>
      <c r="FL49" s="275">
        <v>9.2692988801800009</v>
      </c>
      <c r="FM49" s="275">
        <v>9.2692988801800009</v>
      </c>
      <c r="FN49" s="275">
        <v>9.2692988801800009</v>
      </c>
      <c r="FO49" s="275">
        <v>9.2692988801800009</v>
      </c>
      <c r="FP49" s="275">
        <v>9.2692988801800009</v>
      </c>
      <c r="FQ49" s="275">
        <v>9.2692988801800009</v>
      </c>
      <c r="FR49" s="275">
        <v>9.2692988801800009</v>
      </c>
      <c r="FS49" s="275">
        <v>9.2692988801800009</v>
      </c>
      <c r="FT49" s="275">
        <v>9.2692988801800009</v>
      </c>
      <c r="FU49" s="275">
        <v>9.2692988801800009</v>
      </c>
      <c r="FV49" s="275">
        <v>9.2692988801800009</v>
      </c>
      <c r="FW49" s="275">
        <v>9.2692988801800009</v>
      </c>
      <c r="FX49" s="275">
        <v>9.2692988801800009</v>
      </c>
      <c r="FY49" s="275">
        <v>9.2692988801800009</v>
      </c>
      <c r="FZ49" s="275">
        <v>9.2692988801800009</v>
      </c>
      <c r="GA49" s="275">
        <v>9.2692988801800009</v>
      </c>
      <c r="GB49" s="275">
        <v>9.2692988801800009</v>
      </c>
      <c r="GC49" s="276">
        <v>9.2692988801800009</v>
      </c>
      <c r="GD49" s="274">
        <v>9.2692988801800009</v>
      </c>
      <c r="GE49" s="275">
        <v>9.2692988801800009</v>
      </c>
      <c r="GF49" s="275">
        <v>9.2692988801800009</v>
      </c>
      <c r="GG49" s="275">
        <v>9.2692988801800009</v>
      </c>
      <c r="GH49" s="275">
        <v>9.2692988801800009</v>
      </c>
      <c r="GI49" s="275">
        <v>9.2692988801800009</v>
      </c>
      <c r="GJ49" s="275">
        <v>9.2692988801800009</v>
      </c>
      <c r="GK49" s="275">
        <v>9.2692988801800009</v>
      </c>
      <c r="GL49" s="275">
        <v>9.2692988801800009</v>
      </c>
      <c r="GM49" s="275">
        <v>9.2692988801800009</v>
      </c>
      <c r="GN49" s="275">
        <v>9.2692988801800009</v>
      </c>
      <c r="GO49" s="275">
        <v>9.2692988801800009</v>
      </c>
      <c r="GP49" s="275">
        <v>9.2692988801800009</v>
      </c>
      <c r="GQ49" s="275">
        <v>9.2692988801800009</v>
      </c>
      <c r="GR49" s="275">
        <v>9.2692988801800009</v>
      </c>
      <c r="GS49" s="275">
        <v>9.2692988801800009</v>
      </c>
      <c r="GT49" s="275">
        <v>9.2692988801800009</v>
      </c>
      <c r="GU49" s="275">
        <v>9.2692988801800009</v>
      </c>
      <c r="GV49" s="275">
        <v>9.2692988801800009</v>
      </c>
      <c r="GW49" s="276">
        <v>9.2692988801800009</v>
      </c>
      <c r="GX49" s="274">
        <v>9.2692988801800009</v>
      </c>
      <c r="GY49" s="275">
        <v>9.2692988801800009</v>
      </c>
      <c r="GZ49" s="275">
        <v>9.2692988801800009</v>
      </c>
      <c r="HA49" s="275">
        <v>9.2692988801800009</v>
      </c>
      <c r="HB49" s="275">
        <v>9.2692988801800009</v>
      </c>
      <c r="HC49" s="275">
        <v>9.2692988801800009</v>
      </c>
      <c r="HD49" s="275">
        <v>9.2692988801800009</v>
      </c>
      <c r="HE49" s="275">
        <v>9.2692988801800009</v>
      </c>
      <c r="HF49" s="275">
        <v>9.2692988801800009</v>
      </c>
      <c r="HG49" s="275">
        <v>9.2692988801800009</v>
      </c>
      <c r="HH49" s="275">
        <v>9.2692988801800009</v>
      </c>
      <c r="HI49" s="275">
        <v>9.2692988801800009</v>
      </c>
      <c r="HJ49" s="275">
        <v>9.2692988801800009</v>
      </c>
      <c r="HK49" s="275">
        <v>9.2692988801800009</v>
      </c>
      <c r="HL49" s="275">
        <v>9.2692988801800009</v>
      </c>
      <c r="HM49" s="275">
        <v>9.2692988801800009</v>
      </c>
      <c r="HN49" s="275">
        <v>9.2692988801800009</v>
      </c>
      <c r="HO49" s="275">
        <v>9.2692988801800009</v>
      </c>
      <c r="HP49" s="275">
        <v>9.2692988801800009</v>
      </c>
      <c r="HQ49" s="276">
        <v>9.2692988801800009</v>
      </c>
      <c r="HR49" s="274">
        <v>9.2692988801800009</v>
      </c>
      <c r="HS49" s="275">
        <v>9.2692988801800009</v>
      </c>
      <c r="HT49" s="275">
        <v>9.2692988801800009</v>
      </c>
      <c r="HU49" s="275">
        <v>9.2692988801800009</v>
      </c>
      <c r="HV49" s="275">
        <v>9.2692988801800009</v>
      </c>
      <c r="HW49" s="275">
        <v>9.2692988801800009</v>
      </c>
      <c r="HX49" s="275">
        <v>9.2692988801800009</v>
      </c>
      <c r="HY49" s="275">
        <v>9.2692988801800009</v>
      </c>
      <c r="HZ49" s="275">
        <v>9.2692988801800009</v>
      </c>
      <c r="IA49" s="275">
        <v>9.2692988801800009</v>
      </c>
      <c r="IB49" s="275">
        <v>9.2692988801800009</v>
      </c>
      <c r="IC49" s="275">
        <v>9.2692988801800009</v>
      </c>
      <c r="ID49" s="275">
        <v>9.2692988801800009</v>
      </c>
      <c r="IE49" s="275">
        <v>9.2692988801800009</v>
      </c>
      <c r="IF49" s="275">
        <v>9.2692988801800009</v>
      </c>
      <c r="IG49" s="275">
        <v>9.2692988801800009</v>
      </c>
      <c r="IH49" s="275">
        <v>9.2692988801800009</v>
      </c>
      <c r="II49" s="275">
        <v>9.2692988801800009</v>
      </c>
      <c r="IJ49" s="275">
        <v>9.2692988801800009</v>
      </c>
      <c r="IK49" s="276">
        <v>9.2692988801800009</v>
      </c>
      <c r="IL49" s="274">
        <v>9.2692988801800009</v>
      </c>
      <c r="IM49" s="275">
        <v>9.2692988801800009</v>
      </c>
      <c r="IN49" s="275">
        <v>9.2692988801800009</v>
      </c>
      <c r="IO49" s="275">
        <v>9.2692988801800009</v>
      </c>
      <c r="IP49" s="275">
        <v>9.2692988801800009</v>
      </c>
      <c r="IQ49" s="275">
        <v>9.2692988801800009</v>
      </c>
      <c r="IR49" s="275">
        <v>9.2692988801800009</v>
      </c>
      <c r="IS49" s="275">
        <v>9.2692988801800009</v>
      </c>
      <c r="IT49" s="275">
        <v>9.2692988801800009</v>
      </c>
      <c r="IU49" s="275">
        <v>9.2692988801800009</v>
      </c>
      <c r="IV49" s="275">
        <v>9.2692988801800009</v>
      </c>
      <c r="IW49" s="275">
        <v>9.2692988801800009</v>
      </c>
      <c r="IX49" s="275">
        <v>9.2692988801800009</v>
      </c>
      <c r="IY49" s="275">
        <v>9.2692988801800009</v>
      </c>
      <c r="IZ49" s="275">
        <v>9.2692988801800009</v>
      </c>
      <c r="JA49" s="275">
        <v>9.2692988801800009</v>
      </c>
      <c r="JB49" s="275">
        <v>9.2692988801800009</v>
      </c>
      <c r="JC49" s="275">
        <v>9.2692988801800009</v>
      </c>
      <c r="JD49" s="275">
        <v>9.2692988801800009</v>
      </c>
      <c r="JE49" s="276">
        <v>9.2692988801800009</v>
      </c>
    </row>
    <row r="50" spans="2:265" x14ac:dyDescent="0.25">
      <c r="B50" s="83"/>
      <c r="C50" s="35"/>
      <c r="D50" s="83" t="s">
        <v>311</v>
      </c>
      <c r="E50" s="83" t="s">
        <v>339</v>
      </c>
      <c r="F50" s="67">
        <v>2</v>
      </c>
      <c r="G50" s="40">
        <v>2</v>
      </c>
      <c r="H50" s="40">
        <v>2</v>
      </c>
      <c r="I50" s="40">
        <v>2</v>
      </c>
      <c r="J50" s="40">
        <v>2</v>
      </c>
      <c r="K50" s="40">
        <v>2</v>
      </c>
      <c r="L50" s="40">
        <v>2</v>
      </c>
      <c r="M50" s="40">
        <v>2</v>
      </c>
      <c r="N50" s="40">
        <v>2</v>
      </c>
      <c r="O50" s="40">
        <v>3</v>
      </c>
      <c r="P50" s="40">
        <v>3</v>
      </c>
      <c r="Q50" s="40">
        <v>3</v>
      </c>
      <c r="R50" s="40">
        <v>3</v>
      </c>
      <c r="S50" s="40">
        <v>3</v>
      </c>
      <c r="T50" s="40">
        <v>3</v>
      </c>
      <c r="U50" s="40">
        <v>3</v>
      </c>
      <c r="V50" s="40">
        <v>3</v>
      </c>
      <c r="W50" s="40">
        <v>3</v>
      </c>
      <c r="X50" s="40">
        <v>3</v>
      </c>
      <c r="Y50" s="44">
        <v>3</v>
      </c>
      <c r="Z50" s="67">
        <v>3</v>
      </c>
      <c r="AA50" s="40">
        <v>3</v>
      </c>
      <c r="AB50" s="40">
        <v>3</v>
      </c>
      <c r="AC50" s="40">
        <v>3</v>
      </c>
      <c r="AD50" s="40">
        <v>3</v>
      </c>
      <c r="AE50" s="40">
        <v>3</v>
      </c>
      <c r="AF50" s="40">
        <v>3</v>
      </c>
      <c r="AG50" s="40">
        <v>3</v>
      </c>
      <c r="AH50" s="40">
        <v>3</v>
      </c>
      <c r="AI50" s="40">
        <v>3</v>
      </c>
      <c r="AJ50" s="40">
        <v>3</v>
      </c>
      <c r="AK50" s="40">
        <v>3</v>
      </c>
      <c r="AL50" s="40">
        <v>3</v>
      </c>
      <c r="AM50" s="40">
        <v>3</v>
      </c>
      <c r="AN50" s="40">
        <v>3</v>
      </c>
      <c r="AO50" s="40">
        <v>3</v>
      </c>
      <c r="AP50" s="40">
        <v>3</v>
      </c>
      <c r="AQ50" s="40">
        <v>3</v>
      </c>
      <c r="AR50" s="40">
        <v>3</v>
      </c>
      <c r="AS50" s="44">
        <v>3</v>
      </c>
      <c r="AT50" s="67">
        <v>2</v>
      </c>
      <c r="AU50" s="40">
        <v>3</v>
      </c>
      <c r="AV50" s="40">
        <v>3</v>
      </c>
      <c r="AW50" s="40">
        <v>3</v>
      </c>
      <c r="AX50" s="40">
        <v>3</v>
      </c>
      <c r="AY50" s="40">
        <v>3</v>
      </c>
      <c r="AZ50" s="40">
        <v>3</v>
      </c>
      <c r="BA50" s="40">
        <v>3</v>
      </c>
      <c r="BB50" s="40">
        <v>3</v>
      </c>
      <c r="BC50" s="40">
        <v>3</v>
      </c>
      <c r="BD50" s="40">
        <v>3</v>
      </c>
      <c r="BE50" s="40">
        <v>3</v>
      </c>
      <c r="BF50" s="40">
        <v>3</v>
      </c>
      <c r="BG50" s="40">
        <v>3</v>
      </c>
      <c r="BH50" s="40">
        <v>3</v>
      </c>
      <c r="BI50" s="40">
        <v>3</v>
      </c>
      <c r="BJ50" s="40">
        <v>3</v>
      </c>
      <c r="BK50" s="40">
        <v>3</v>
      </c>
      <c r="BL50" s="40">
        <v>3</v>
      </c>
      <c r="BM50" s="44">
        <v>3</v>
      </c>
      <c r="BN50" s="67">
        <v>2</v>
      </c>
      <c r="BO50" s="40">
        <v>2</v>
      </c>
      <c r="BP50" s="40">
        <v>3</v>
      </c>
      <c r="BQ50" s="40">
        <v>3</v>
      </c>
      <c r="BR50" s="40">
        <v>3</v>
      </c>
      <c r="BS50" s="40">
        <v>3</v>
      </c>
      <c r="BT50" s="40">
        <v>3</v>
      </c>
      <c r="BU50" s="40">
        <v>3</v>
      </c>
      <c r="BV50" s="40">
        <v>3</v>
      </c>
      <c r="BW50" s="40">
        <v>3</v>
      </c>
      <c r="BX50" s="40">
        <v>3</v>
      </c>
      <c r="BY50" s="40">
        <v>3</v>
      </c>
      <c r="BZ50" s="40">
        <v>3</v>
      </c>
      <c r="CA50" s="40">
        <v>3</v>
      </c>
      <c r="CB50" s="40">
        <v>3</v>
      </c>
      <c r="CC50" s="40">
        <v>3</v>
      </c>
      <c r="CD50" s="40">
        <v>3</v>
      </c>
      <c r="CE50" s="40">
        <v>3</v>
      </c>
      <c r="CF50" s="40">
        <v>3</v>
      </c>
      <c r="CG50" s="44">
        <v>3</v>
      </c>
      <c r="CH50" s="67">
        <v>2</v>
      </c>
      <c r="CI50" s="40">
        <v>2</v>
      </c>
      <c r="CJ50" s="40">
        <v>2</v>
      </c>
      <c r="CK50" s="40">
        <v>3</v>
      </c>
      <c r="CL50" s="40">
        <v>3</v>
      </c>
      <c r="CM50" s="40">
        <v>3</v>
      </c>
      <c r="CN50" s="40">
        <v>3</v>
      </c>
      <c r="CO50" s="40">
        <v>3</v>
      </c>
      <c r="CP50" s="40">
        <v>3</v>
      </c>
      <c r="CQ50" s="40">
        <v>3</v>
      </c>
      <c r="CR50" s="40">
        <v>3</v>
      </c>
      <c r="CS50" s="40">
        <v>3</v>
      </c>
      <c r="CT50" s="40">
        <v>3</v>
      </c>
      <c r="CU50" s="40">
        <v>3</v>
      </c>
      <c r="CV50" s="40">
        <v>3</v>
      </c>
      <c r="CW50" s="40">
        <v>3</v>
      </c>
      <c r="CX50" s="40">
        <v>3</v>
      </c>
      <c r="CY50" s="40">
        <v>3</v>
      </c>
      <c r="CZ50" s="40">
        <v>3</v>
      </c>
      <c r="DA50" s="44">
        <v>3</v>
      </c>
      <c r="DB50" s="67">
        <v>2</v>
      </c>
      <c r="DC50" s="40">
        <v>2</v>
      </c>
      <c r="DD50" s="40">
        <v>2</v>
      </c>
      <c r="DE50" s="40">
        <v>2</v>
      </c>
      <c r="DF50" s="40">
        <v>3</v>
      </c>
      <c r="DG50" s="40">
        <v>3</v>
      </c>
      <c r="DH50" s="40">
        <v>3</v>
      </c>
      <c r="DI50" s="40">
        <v>3</v>
      </c>
      <c r="DJ50" s="40">
        <v>3</v>
      </c>
      <c r="DK50" s="40">
        <v>3</v>
      </c>
      <c r="DL50" s="40">
        <v>3</v>
      </c>
      <c r="DM50" s="40">
        <v>3</v>
      </c>
      <c r="DN50" s="40">
        <v>3</v>
      </c>
      <c r="DO50" s="40">
        <v>3</v>
      </c>
      <c r="DP50" s="40">
        <v>3</v>
      </c>
      <c r="DQ50" s="40">
        <v>3</v>
      </c>
      <c r="DR50" s="40">
        <v>3</v>
      </c>
      <c r="DS50" s="40">
        <v>3</v>
      </c>
      <c r="DT50" s="40">
        <v>3</v>
      </c>
      <c r="DU50" s="44">
        <v>3</v>
      </c>
      <c r="DV50" s="67">
        <v>2</v>
      </c>
      <c r="DW50" s="40">
        <v>2</v>
      </c>
      <c r="DX50" s="40">
        <v>2</v>
      </c>
      <c r="DY50" s="40">
        <v>2</v>
      </c>
      <c r="DZ50" s="40">
        <v>2</v>
      </c>
      <c r="EA50" s="40">
        <v>3</v>
      </c>
      <c r="EB50" s="40">
        <v>3</v>
      </c>
      <c r="EC50" s="40">
        <v>3</v>
      </c>
      <c r="ED50" s="40">
        <v>3</v>
      </c>
      <c r="EE50" s="40">
        <v>3</v>
      </c>
      <c r="EF50" s="40">
        <v>3</v>
      </c>
      <c r="EG50" s="40">
        <v>3</v>
      </c>
      <c r="EH50" s="40">
        <v>3</v>
      </c>
      <c r="EI50" s="40">
        <v>3</v>
      </c>
      <c r="EJ50" s="40">
        <v>3</v>
      </c>
      <c r="EK50" s="40">
        <v>3</v>
      </c>
      <c r="EL50" s="40">
        <v>3</v>
      </c>
      <c r="EM50" s="40">
        <v>3</v>
      </c>
      <c r="EN50" s="40">
        <v>3</v>
      </c>
      <c r="EO50" s="44">
        <v>3</v>
      </c>
      <c r="EP50" s="67">
        <v>2</v>
      </c>
      <c r="EQ50" s="40">
        <v>2</v>
      </c>
      <c r="ER50" s="40">
        <v>2</v>
      </c>
      <c r="ES50" s="40">
        <v>2</v>
      </c>
      <c r="ET50" s="40">
        <v>2</v>
      </c>
      <c r="EU50" s="40">
        <v>2</v>
      </c>
      <c r="EV50" s="40">
        <v>2</v>
      </c>
      <c r="EW50" s="40">
        <v>2</v>
      </c>
      <c r="EX50" s="40">
        <v>2</v>
      </c>
      <c r="EY50" s="40">
        <v>2</v>
      </c>
      <c r="EZ50" s="40">
        <v>2</v>
      </c>
      <c r="FA50" s="40">
        <v>2</v>
      </c>
      <c r="FB50" s="40">
        <v>2</v>
      </c>
      <c r="FC50" s="40">
        <v>2</v>
      </c>
      <c r="FD50" s="40">
        <v>2</v>
      </c>
      <c r="FE50" s="40">
        <v>2</v>
      </c>
      <c r="FF50" s="40">
        <v>2</v>
      </c>
      <c r="FG50" s="40">
        <v>2</v>
      </c>
      <c r="FH50" s="40">
        <v>2</v>
      </c>
      <c r="FI50" s="44">
        <v>2</v>
      </c>
      <c r="FJ50" s="67">
        <v>2</v>
      </c>
      <c r="FK50" s="40">
        <v>2</v>
      </c>
      <c r="FL50" s="40">
        <v>2</v>
      </c>
      <c r="FM50" s="40">
        <v>2</v>
      </c>
      <c r="FN50" s="40">
        <v>2</v>
      </c>
      <c r="FO50" s="40">
        <v>2</v>
      </c>
      <c r="FP50" s="40">
        <v>2</v>
      </c>
      <c r="FQ50" s="40">
        <v>2</v>
      </c>
      <c r="FR50" s="40">
        <v>2</v>
      </c>
      <c r="FS50" s="40">
        <v>2</v>
      </c>
      <c r="FT50" s="40">
        <v>2</v>
      </c>
      <c r="FU50" s="40">
        <v>2</v>
      </c>
      <c r="FV50" s="40">
        <v>2</v>
      </c>
      <c r="FW50" s="40">
        <v>2</v>
      </c>
      <c r="FX50" s="40">
        <v>2</v>
      </c>
      <c r="FY50" s="40">
        <v>2</v>
      </c>
      <c r="FZ50" s="40">
        <v>2</v>
      </c>
      <c r="GA50" s="40">
        <v>2</v>
      </c>
      <c r="GB50" s="40">
        <v>2</v>
      </c>
      <c r="GC50" s="44">
        <v>2</v>
      </c>
      <c r="GD50" s="67">
        <v>2</v>
      </c>
      <c r="GE50" s="40">
        <v>2</v>
      </c>
      <c r="GF50" s="40">
        <v>2</v>
      </c>
      <c r="GG50" s="40">
        <v>2</v>
      </c>
      <c r="GH50" s="40">
        <v>2</v>
      </c>
      <c r="GI50" s="40">
        <v>2</v>
      </c>
      <c r="GJ50" s="40">
        <v>2</v>
      </c>
      <c r="GK50" s="40">
        <v>2</v>
      </c>
      <c r="GL50" s="40">
        <v>2</v>
      </c>
      <c r="GM50" s="40">
        <v>2</v>
      </c>
      <c r="GN50" s="40">
        <v>2</v>
      </c>
      <c r="GO50" s="40">
        <v>2</v>
      </c>
      <c r="GP50" s="40">
        <v>2</v>
      </c>
      <c r="GQ50" s="40">
        <v>2</v>
      </c>
      <c r="GR50" s="40">
        <v>2</v>
      </c>
      <c r="GS50" s="40">
        <v>2</v>
      </c>
      <c r="GT50" s="40">
        <v>2</v>
      </c>
      <c r="GU50" s="40">
        <v>2</v>
      </c>
      <c r="GV50" s="40">
        <v>2</v>
      </c>
      <c r="GW50" s="44">
        <v>2</v>
      </c>
      <c r="GX50" s="67">
        <v>2</v>
      </c>
      <c r="GY50" s="40">
        <v>2</v>
      </c>
      <c r="GZ50" s="40">
        <v>2</v>
      </c>
      <c r="HA50" s="40">
        <v>2</v>
      </c>
      <c r="HB50" s="40">
        <v>2</v>
      </c>
      <c r="HC50" s="40">
        <v>2</v>
      </c>
      <c r="HD50" s="40">
        <v>2</v>
      </c>
      <c r="HE50" s="40">
        <v>2</v>
      </c>
      <c r="HF50" s="40">
        <v>2</v>
      </c>
      <c r="HG50" s="40">
        <v>2</v>
      </c>
      <c r="HH50" s="40">
        <v>2</v>
      </c>
      <c r="HI50" s="40">
        <v>2</v>
      </c>
      <c r="HJ50" s="40">
        <v>2</v>
      </c>
      <c r="HK50" s="40">
        <v>2</v>
      </c>
      <c r="HL50" s="40">
        <v>2</v>
      </c>
      <c r="HM50" s="40">
        <v>2</v>
      </c>
      <c r="HN50" s="40">
        <v>2</v>
      </c>
      <c r="HO50" s="40">
        <v>2</v>
      </c>
      <c r="HP50" s="40">
        <v>2</v>
      </c>
      <c r="HQ50" s="44">
        <v>2</v>
      </c>
      <c r="HR50" s="67">
        <v>2</v>
      </c>
      <c r="HS50" s="40">
        <v>2</v>
      </c>
      <c r="HT50" s="40">
        <v>2</v>
      </c>
      <c r="HU50" s="40">
        <v>2</v>
      </c>
      <c r="HV50" s="40">
        <v>2</v>
      </c>
      <c r="HW50" s="40">
        <v>2</v>
      </c>
      <c r="HX50" s="40">
        <v>2</v>
      </c>
      <c r="HY50" s="40">
        <v>2</v>
      </c>
      <c r="HZ50" s="40">
        <v>2</v>
      </c>
      <c r="IA50" s="40">
        <v>2</v>
      </c>
      <c r="IB50" s="40">
        <v>2</v>
      </c>
      <c r="IC50" s="40">
        <v>2</v>
      </c>
      <c r="ID50" s="40">
        <v>2</v>
      </c>
      <c r="IE50" s="40">
        <v>2</v>
      </c>
      <c r="IF50" s="40">
        <v>2</v>
      </c>
      <c r="IG50" s="40">
        <v>2</v>
      </c>
      <c r="IH50" s="40">
        <v>2</v>
      </c>
      <c r="II50" s="40">
        <v>2</v>
      </c>
      <c r="IJ50" s="40">
        <v>2</v>
      </c>
      <c r="IK50" s="44">
        <v>2</v>
      </c>
      <c r="IL50" s="67">
        <v>2</v>
      </c>
      <c r="IM50" s="40">
        <v>2</v>
      </c>
      <c r="IN50" s="40">
        <v>2</v>
      </c>
      <c r="IO50" s="40">
        <v>2</v>
      </c>
      <c r="IP50" s="40">
        <v>2</v>
      </c>
      <c r="IQ50" s="40">
        <v>2</v>
      </c>
      <c r="IR50" s="40">
        <v>2</v>
      </c>
      <c r="IS50" s="40">
        <v>2</v>
      </c>
      <c r="IT50" s="40">
        <v>2</v>
      </c>
      <c r="IU50" s="40">
        <v>2</v>
      </c>
      <c r="IV50" s="40">
        <v>2</v>
      </c>
      <c r="IW50" s="40">
        <v>2</v>
      </c>
      <c r="IX50" s="40">
        <v>2</v>
      </c>
      <c r="IY50" s="40">
        <v>2</v>
      </c>
      <c r="IZ50" s="40">
        <v>2</v>
      </c>
      <c r="JA50" s="40">
        <v>2</v>
      </c>
      <c r="JB50" s="40">
        <v>2</v>
      </c>
      <c r="JC50" s="40">
        <v>2</v>
      </c>
      <c r="JD50" s="40">
        <v>2</v>
      </c>
      <c r="JE50" s="44">
        <v>2</v>
      </c>
    </row>
    <row r="51" spans="2:265" x14ac:dyDescent="0.25">
      <c r="B51" s="83"/>
      <c r="C51" s="35"/>
      <c r="D51" s="83" t="s">
        <v>13</v>
      </c>
      <c r="E51" s="83" t="s">
        <v>35</v>
      </c>
      <c r="F51" s="274">
        <v>3.5</v>
      </c>
      <c r="G51" s="275">
        <v>3.5</v>
      </c>
      <c r="H51" s="275">
        <v>3.5</v>
      </c>
      <c r="I51" s="275">
        <v>3.5</v>
      </c>
      <c r="J51" s="275">
        <v>3.5</v>
      </c>
      <c r="K51" s="275">
        <v>3.5</v>
      </c>
      <c r="L51" s="275">
        <v>3.5</v>
      </c>
      <c r="M51" s="275">
        <v>3.5</v>
      </c>
      <c r="N51" s="275">
        <v>3.5</v>
      </c>
      <c r="O51" s="275">
        <v>7</v>
      </c>
      <c r="P51" s="275">
        <v>7</v>
      </c>
      <c r="Q51" s="275">
        <v>7</v>
      </c>
      <c r="R51" s="275">
        <v>7</v>
      </c>
      <c r="S51" s="275">
        <v>7</v>
      </c>
      <c r="T51" s="275">
        <v>7</v>
      </c>
      <c r="U51" s="275">
        <v>7</v>
      </c>
      <c r="V51" s="275">
        <v>7</v>
      </c>
      <c r="W51" s="275">
        <v>7</v>
      </c>
      <c r="X51" s="275">
        <v>7</v>
      </c>
      <c r="Y51" s="276">
        <v>7</v>
      </c>
      <c r="Z51" s="274">
        <v>7</v>
      </c>
      <c r="AA51" s="275">
        <v>7</v>
      </c>
      <c r="AB51" s="275">
        <v>7</v>
      </c>
      <c r="AC51" s="275">
        <v>7</v>
      </c>
      <c r="AD51" s="275">
        <v>7</v>
      </c>
      <c r="AE51" s="275">
        <v>7</v>
      </c>
      <c r="AF51" s="275">
        <v>7</v>
      </c>
      <c r="AG51" s="275">
        <v>7</v>
      </c>
      <c r="AH51" s="275">
        <v>7</v>
      </c>
      <c r="AI51" s="275">
        <v>7</v>
      </c>
      <c r="AJ51" s="275">
        <v>7</v>
      </c>
      <c r="AK51" s="275">
        <v>7</v>
      </c>
      <c r="AL51" s="275">
        <v>7</v>
      </c>
      <c r="AM51" s="275">
        <v>7</v>
      </c>
      <c r="AN51" s="275">
        <v>7</v>
      </c>
      <c r="AO51" s="275">
        <v>7</v>
      </c>
      <c r="AP51" s="275">
        <v>7</v>
      </c>
      <c r="AQ51" s="275">
        <v>7</v>
      </c>
      <c r="AR51" s="275">
        <v>7</v>
      </c>
      <c r="AS51" s="276">
        <v>7</v>
      </c>
      <c r="AT51" s="274">
        <v>3.5</v>
      </c>
      <c r="AU51" s="275">
        <v>7</v>
      </c>
      <c r="AV51" s="275">
        <v>7</v>
      </c>
      <c r="AW51" s="275">
        <v>7</v>
      </c>
      <c r="AX51" s="275">
        <v>7</v>
      </c>
      <c r="AY51" s="275">
        <v>7</v>
      </c>
      <c r="AZ51" s="275">
        <v>7</v>
      </c>
      <c r="BA51" s="275">
        <v>7</v>
      </c>
      <c r="BB51" s="275">
        <v>7</v>
      </c>
      <c r="BC51" s="275">
        <v>7</v>
      </c>
      <c r="BD51" s="275">
        <v>7</v>
      </c>
      <c r="BE51" s="275">
        <v>7</v>
      </c>
      <c r="BF51" s="275">
        <v>7</v>
      </c>
      <c r="BG51" s="275">
        <v>7</v>
      </c>
      <c r="BH51" s="275">
        <v>7</v>
      </c>
      <c r="BI51" s="275">
        <v>7</v>
      </c>
      <c r="BJ51" s="275">
        <v>7</v>
      </c>
      <c r="BK51" s="275">
        <v>7</v>
      </c>
      <c r="BL51" s="275">
        <v>7</v>
      </c>
      <c r="BM51" s="276">
        <v>7</v>
      </c>
      <c r="BN51" s="274">
        <v>3.5</v>
      </c>
      <c r="BO51" s="275">
        <v>3.5</v>
      </c>
      <c r="BP51" s="275">
        <v>7</v>
      </c>
      <c r="BQ51" s="275">
        <v>7</v>
      </c>
      <c r="BR51" s="275">
        <v>7</v>
      </c>
      <c r="BS51" s="275">
        <v>7</v>
      </c>
      <c r="BT51" s="275">
        <v>7</v>
      </c>
      <c r="BU51" s="275">
        <v>7</v>
      </c>
      <c r="BV51" s="275">
        <v>7</v>
      </c>
      <c r="BW51" s="275">
        <v>7</v>
      </c>
      <c r="BX51" s="275">
        <v>7</v>
      </c>
      <c r="BY51" s="275">
        <v>7</v>
      </c>
      <c r="BZ51" s="275">
        <v>7</v>
      </c>
      <c r="CA51" s="275">
        <v>7</v>
      </c>
      <c r="CB51" s="275">
        <v>7</v>
      </c>
      <c r="CC51" s="275">
        <v>7</v>
      </c>
      <c r="CD51" s="275">
        <v>7</v>
      </c>
      <c r="CE51" s="275">
        <v>7</v>
      </c>
      <c r="CF51" s="275">
        <v>7</v>
      </c>
      <c r="CG51" s="276">
        <v>7</v>
      </c>
      <c r="CH51" s="274">
        <v>3.5</v>
      </c>
      <c r="CI51" s="275">
        <v>3.5</v>
      </c>
      <c r="CJ51" s="275">
        <v>3.5</v>
      </c>
      <c r="CK51" s="275">
        <v>7</v>
      </c>
      <c r="CL51" s="275">
        <v>7</v>
      </c>
      <c r="CM51" s="275">
        <v>7</v>
      </c>
      <c r="CN51" s="275">
        <v>7</v>
      </c>
      <c r="CO51" s="275">
        <v>7</v>
      </c>
      <c r="CP51" s="275">
        <v>7</v>
      </c>
      <c r="CQ51" s="275">
        <v>7</v>
      </c>
      <c r="CR51" s="275">
        <v>7</v>
      </c>
      <c r="CS51" s="275">
        <v>7</v>
      </c>
      <c r="CT51" s="275">
        <v>7</v>
      </c>
      <c r="CU51" s="275">
        <v>7</v>
      </c>
      <c r="CV51" s="275">
        <v>7</v>
      </c>
      <c r="CW51" s="275">
        <v>7</v>
      </c>
      <c r="CX51" s="275">
        <v>7</v>
      </c>
      <c r="CY51" s="275">
        <v>7</v>
      </c>
      <c r="CZ51" s="275">
        <v>7</v>
      </c>
      <c r="DA51" s="276">
        <v>7</v>
      </c>
      <c r="DB51" s="274">
        <v>3.5</v>
      </c>
      <c r="DC51" s="275">
        <v>3.5</v>
      </c>
      <c r="DD51" s="275">
        <v>3.5</v>
      </c>
      <c r="DE51" s="275">
        <v>3.5</v>
      </c>
      <c r="DF51" s="275">
        <v>7</v>
      </c>
      <c r="DG51" s="275">
        <v>7</v>
      </c>
      <c r="DH51" s="275">
        <v>7</v>
      </c>
      <c r="DI51" s="275">
        <v>7</v>
      </c>
      <c r="DJ51" s="275">
        <v>7</v>
      </c>
      <c r="DK51" s="275">
        <v>7</v>
      </c>
      <c r="DL51" s="275">
        <v>7</v>
      </c>
      <c r="DM51" s="275">
        <v>7</v>
      </c>
      <c r="DN51" s="275">
        <v>7</v>
      </c>
      <c r="DO51" s="275">
        <v>7</v>
      </c>
      <c r="DP51" s="275">
        <v>7</v>
      </c>
      <c r="DQ51" s="275">
        <v>7</v>
      </c>
      <c r="DR51" s="275">
        <v>7</v>
      </c>
      <c r="DS51" s="275">
        <v>7</v>
      </c>
      <c r="DT51" s="275">
        <v>7</v>
      </c>
      <c r="DU51" s="276">
        <v>7</v>
      </c>
      <c r="DV51" s="274">
        <v>3.5</v>
      </c>
      <c r="DW51" s="275">
        <v>3.5</v>
      </c>
      <c r="DX51" s="275">
        <v>3.5</v>
      </c>
      <c r="DY51" s="275">
        <v>3.5</v>
      </c>
      <c r="DZ51" s="275">
        <v>3.5</v>
      </c>
      <c r="EA51" s="275">
        <v>7</v>
      </c>
      <c r="EB51" s="275">
        <v>7</v>
      </c>
      <c r="EC51" s="275">
        <v>7</v>
      </c>
      <c r="ED51" s="275">
        <v>7</v>
      </c>
      <c r="EE51" s="275">
        <v>7</v>
      </c>
      <c r="EF51" s="275">
        <v>7</v>
      </c>
      <c r="EG51" s="275">
        <v>7</v>
      </c>
      <c r="EH51" s="275">
        <v>7</v>
      </c>
      <c r="EI51" s="275">
        <v>7</v>
      </c>
      <c r="EJ51" s="275">
        <v>7</v>
      </c>
      <c r="EK51" s="275">
        <v>7</v>
      </c>
      <c r="EL51" s="275">
        <v>7</v>
      </c>
      <c r="EM51" s="275">
        <v>7</v>
      </c>
      <c r="EN51" s="275">
        <v>7</v>
      </c>
      <c r="EO51" s="276">
        <v>7</v>
      </c>
      <c r="EP51" s="274">
        <v>3.5</v>
      </c>
      <c r="EQ51" s="275">
        <v>3.5</v>
      </c>
      <c r="ER51" s="275">
        <v>3.5</v>
      </c>
      <c r="ES51" s="275">
        <v>3.5</v>
      </c>
      <c r="ET51" s="275">
        <v>3.5</v>
      </c>
      <c r="EU51" s="275">
        <v>3.5</v>
      </c>
      <c r="EV51" s="275">
        <v>3.5</v>
      </c>
      <c r="EW51" s="275">
        <v>3.5</v>
      </c>
      <c r="EX51" s="275">
        <v>3.5</v>
      </c>
      <c r="EY51" s="275">
        <v>3.5</v>
      </c>
      <c r="EZ51" s="275">
        <v>3.5</v>
      </c>
      <c r="FA51" s="275">
        <v>3.5</v>
      </c>
      <c r="FB51" s="275">
        <v>3.5</v>
      </c>
      <c r="FC51" s="275">
        <v>3.5</v>
      </c>
      <c r="FD51" s="275">
        <v>3.5</v>
      </c>
      <c r="FE51" s="275">
        <v>3.5</v>
      </c>
      <c r="FF51" s="275">
        <v>3.5</v>
      </c>
      <c r="FG51" s="275">
        <v>3.5</v>
      </c>
      <c r="FH51" s="275">
        <v>3.5</v>
      </c>
      <c r="FI51" s="276">
        <v>3.5</v>
      </c>
      <c r="FJ51" s="274">
        <v>3.5</v>
      </c>
      <c r="FK51" s="275">
        <v>3.5</v>
      </c>
      <c r="FL51" s="275">
        <v>3.5</v>
      </c>
      <c r="FM51" s="275">
        <v>3.5</v>
      </c>
      <c r="FN51" s="275">
        <v>3.5</v>
      </c>
      <c r="FO51" s="275">
        <v>3.5</v>
      </c>
      <c r="FP51" s="275">
        <v>3.5</v>
      </c>
      <c r="FQ51" s="275">
        <v>3.5</v>
      </c>
      <c r="FR51" s="275">
        <v>3.5</v>
      </c>
      <c r="FS51" s="275">
        <v>3.5</v>
      </c>
      <c r="FT51" s="275">
        <v>3.5</v>
      </c>
      <c r="FU51" s="275">
        <v>3.5</v>
      </c>
      <c r="FV51" s="275">
        <v>3.5</v>
      </c>
      <c r="FW51" s="275">
        <v>3.5</v>
      </c>
      <c r="FX51" s="275">
        <v>3.5</v>
      </c>
      <c r="FY51" s="275">
        <v>3.5</v>
      </c>
      <c r="FZ51" s="275">
        <v>3.5</v>
      </c>
      <c r="GA51" s="275">
        <v>3.5</v>
      </c>
      <c r="GB51" s="275">
        <v>3.5</v>
      </c>
      <c r="GC51" s="276">
        <v>3.5</v>
      </c>
      <c r="GD51" s="274">
        <v>3.5</v>
      </c>
      <c r="GE51" s="275">
        <v>3.5</v>
      </c>
      <c r="GF51" s="275">
        <v>3.5</v>
      </c>
      <c r="GG51" s="275">
        <v>3.5</v>
      </c>
      <c r="GH51" s="275">
        <v>3.5</v>
      </c>
      <c r="GI51" s="275">
        <v>3.5</v>
      </c>
      <c r="GJ51" s="275">
        <v>3.5</v>
      </c>
      <c r="GK51" s="275">
        <v>3.5</v>
      </c>
      <c r="GL51" s="275">
        <v>3.5</v>
      </c>
      <c r="GM51" s="275">
        <v>3.5</v>
      </c>
      <c r="GN51" s="275">
        <v>3.5</v>
      </c>
      <c r="GO51" s="275">
        <v>3.5</v>
      </c>
      <c r="GP51" s="275">
        <v>3.5</v>
      </c>
      <c r="GQ51" s="275">
        <v>3.5</v>
      </c>
      <c r="GR51" s="275">
        <v>3.5</v>
      </c>
      <c r="GS51" s="275">
        <v>3.5</v>
      </c>
      <c r="GT51" s="275">
        <v>3.5</v>
      </c>
      <c r="GU51" s="275">
        <v>3.5</v>
      </c>
      <c r="GV51" s="275">
        <v>3.5</v>
      </c>
      <c r="GW51" s="276">
        <v>3.5</v>
      </c>
      <c r="GX51" s="274">
        <v>3.5</v>
      </c>
      <c r="GY51" s="275">
        <v>3.5</v>
      </c>
      <c r="GZ51" s="275">
        <v>3.5</v>
      </c>
      <c r="HA51" s="275">
        <v>3.5</v>
      </c>
      <c r="HB51" s="275">
        <v>3.5</v>
      </c>
      <c r="HC51" s="275">
        <v>3.5</v>
      </c>
      <c r="HD51" s="275">
        <v>3.5</v>
      </c>
      <c r="HE51" s="275">
        <v>3.5</v>
      </c>
      <c r="HF51" s="275">
        <v>3.5</v>
      </c>
      <c r="HG51" s="275">
        <v>3.5</v>
      </c>
      <c r="HH51" s="275">
        <v>3.5</v>
      </c>
      <c r="HI51" s="275">
        <v>3.5</v>
      </c>
      <c r="HJ51" s="275">
        <v>3.5</v>
      </c>
      <c r="HK51" s="275">
        <v>3.5</v>
      </c>
      <c r="HL51" s="275">
        <v>3.5</v>
      </c>
      <c r="HM51" s="275">
        <v>3.5</v>
      </c>
      <c r="HN51" s="275">
        <v>3.5</v>
      </c>
      <c r="HO51" s="275">
        <v>3.5</v>
      </c>
      <c r="HP51" s="275">
        <v>3.5</v>
      </c>
      <c r="HQ51" s="276">
        <v>3.5</v>
      </c>
      <c r="HR51" s="274">
        <v>3.5</v>
      </c>
      <c r="HS51" s="275">
        <v>3.5</v>
      </c>
      <c r="HT51" s="275">
        <v>3.5</v>
      </c>
      <c r="HU51" s="275">
        <v>3.5</v>
      </c>
      <c r="HV51" s="275">
        <v>3.5</v>
      </c>
      <c r="HW51" s="275">
        <v>3.5</v>
      </c>
      <c r="HX51" s="275">
        <v>3.5</v>
      </c>
      <c r="HY51" s="275">
        <v>3.5</v>
      </c>
      <c r="HZ51" s="275">
        <v>3.5</v>
      </c>
      <c r="IA51" s="275">
        <v>3.5</v>
      </c>
      <c r="IB51" s="275">
        <v>3.5</v>
      </c>
      <c r="IC51" s="275">
        <v>3.5</v>
      </c>
      <c r="ID51" s="275">
        <v>3.5</v>
      </c>
      <c r="IE51" s="275">
        <v>3.5</v>
      </c>
      <c r="IF51" s="275">
        <v>3.5</v>
      </c>
      <c r="IG51" s="275">
        <v>3.5</v>
      </c>
      <c r="IH51" s="275">
        <v>3.5</v>
      </c>
      <c r="II51" s="275">
        <v>3.5</v>
      </c>
      <c r="IJ51" s="275">
        <v>3.5</v>
      </c>
      <c r="IK51" s="276">
        <v>3.5</v>
      </c>
      <c r="IL51" s="274">
        <v>3.5</v>
      </c>
      <c r="IM51" s="275">
        <v>3.5</v>
      </c>
      <c r="IN51" s="275">
        <v>3.5</v>
      </c>
      <c r="IO51" s="275">
        <v>3.5</v>
      </c>
      <c r="IP51" s="275">
        <v>3.5</v>
      </c>
      <c r="IQ51" s="275">
        <v>3.5</v>
      </c>
      <c r="IR51" s="275">
        <v>3.5</v>
      </c>
      <c r="IS51" s="275">
        <v>3.5</v>
      </c>
      <c r="IT51" s="275">
        <v>3.5</v>
      </c>
      <c r="IU51" s="275">
        <v>3.5</v>
      </c>
      <c r="IV51" s="275">
        <v>3.5</v>
      </c>
      <c r="IW51" s="275">
        <v>3.5</v>
      </c>
      <c r="IX51" s="275">
        <v>3.5</v>
      </c>
      <c r="IY51" s="275">
        <v>3.5</v>
      </c>
      <c r="IZ51" s="275">
        <v>3.5</v>
      </c>
      <c r="JA51" s="275">
        <v>3.5</v>
      </c>
      <c r="JB51" s="275">
        <v>3.5</v>
      </c>
      <c r="JC51" s="275">
        <v>3.5</v>
      </c>
      <c r="JD51" s="275">
        <v>3.5</v>
      </c>
      <c r="JE51" s="276">
        <v>3.5</v>
      </c>
    </row>
    <row r="52" spans="2:265" x14ac:dyDescent="0.25">
      <c r="B52" s="83"/>
      <c r="C52" s="35"/>
      <c r="D52" s="83" t="s">
        <v>291</v>
      </c>
      <c r="E52" s="83" t="s">
        <v>38</v>
      </c>
      <c r="F52" s="67">
        <v>1</v>
      </c>
      <c r="G52" s="40">
        <v>1</v>
      </c>
      <c r="H52" s="40">
        <v>1</v>
      </c>
      <c r="I52" s="40">
        <v>1</v>
      </c>
      <c r="J52" s="40">
        <v>1</v>
      </c>
      <c r="K52" s="40">
        <v>1</v>
      </c>
      <c r="L52" s="40">
        <v>1</v>
      </c>
      <c r="M52" s="40">
        <v>1</v>
      </c>
      <c r="N52" s="40">
        <v>1</v>
      </c>
      <c r="O52" s="40">
        <v>1</v>
      </c>
      <c r="P52" s="40">
        <v>1</v>
      </c>
      <c r="Q52" s="40">
        <v>1</v>
      </c>
      <c r="R52" s="40">
        <v>1</v>
      </c>
      <c r="S52" s="40">
        <v>1</v>
      </c>
      <c r="T52" s="40">
        <v>1</v>
      </c>
      <c r="U52" s="40">
        <v>1</v>
      </c>
      <c r="V52" s="40">
        <v>1</v>
      </c>
      <c r="W52" s="40">
        <v>1</v>
      </c>
      <c r="X52" s="40">
        <v>1</v>
      </c>
      <c r="Y52" s="44">
        <v>1</v>
      </c>
      <c r="Z52" s="67">
        <v>1</v>
      </c>
      <c r="AA52" s="40">
        <v>1</v>
      </c>
      <c r="AB52" s="40">
        <v>1</v>
      </c>
      <c r="AC52" s="40">
        <v>1</v>
      </c>
      <c r="AD52" s="40">
        <v>1</v>
      </c>
      <c r="AE52" s="40">
        <v>1</v>
      </c>
      <c r="AF52" s="40">
        <v>1</v>
      </c>
      <c r="AG52" s="40">
        <v>1</v>
      </c>
      <c r="AH52" s="40">
        <v>1</v>
      </c>
      <c r="AI52" s="40">
        <v>1</v>
      </c>
      <c r="AJ52" s="40">
        <v>1</v>
      </c>
      <c r="AK52" s="40">
        <v>1</v>
      </c>
      <c r="AL52" s="40">
        <v>1</v>
      </c>
      <c r="AM52" s="40">
        <v>1</v>
      </c>
      <c r="AN52" s="40">
        <v>1</v>
      </c>
      <c r="AO52" s="40">
        <v>1</v>
      </c>
      <c r="AP52" s="40">
        <v>1</v>
      </c>
      <c r="AQ52" s="40">
        <v>1</v>
      </c>
      <c r="AR52" s="40">
        <v>1</v>
      </c>
      <c r="AS52" s="44">
        <v>1</v>
      </c>
      <c r="AT52" s="67">
        <v>1</v>
      </c>
      <c r="AU52" s="40">
        <v>1</v>
      </c>
      <c r="AV52" s="40">
        <v>1</v>
      </c>
      <c r="AW52" s="40">
        <v>1</v>
      </c>
      <c r="AX52" s="40">
        <v>1</v>
      </c>
      <c r="AY52" s="40">
        <v>1</v>
      </c>
      <c r="AZ52" s="40">
        <v>1</v>
      </c>
      <c r="BA52" s="40">
        <v>1</v>
      </c>
      <c r="BB52" s="40">
        <v>1</v>
      </c>
      <c r="BC52" s="40">
        <v>1</v>
      </c>
      <c r="BD52" s="40">
        <v>1</v>
      </c>
      <c r="BE52" s="40">
        <v>1</v>
      </c>
      <c r="BF52" s="40">
        <v>1</v>
      </c>
      <c r="BG52" s="40">
        <v>1</v>
      </c>
      <c r="BH52" s="40">
        <v>1</v>
      </c>
      <c r="BI52" s="40">
        <v>1</v>
      </c>
      <c r="BJ52" s="40">
        <v>1</v>
      </c>
      <c r="BK52" s="40">
        <v>1</v>
      </c>
      <c r="BL52" s="40">
        <v>1</v>
      </c>
      <c r="BM52" s="44">
        <v>1</v>
      </c>
      <c r="BN52" s="67">
        <v>1</v>
      </c>
      <c r="BO52" s="40">
        <v>1</v>
      </c>
      <c r="BP52" s="40">
        <v>1</v>
      </c>
      <c r="BQ52" s="40">
        <v>1</v>
      </c>
      <c r="BR52" s="40">
        <v>1</v>
      </c>
      <c r="BS52" s="40">
        <v>1</v>
      </c>
      <c r="BT52" s="40">
        <v>1</v>
      </c>
      <c r="BU52" s="40">
        <v>1</v>
      </c>
      <c r="BV52" s="40">
        <v>1</v>
      </c>
      <c r="BW52" s="40">
        <v>1</v>
      </c>
      <c r="BX52" s="40">
        <v>1</v>
      </c>
      <c r="BY52" s="40">
        <v>1</v>
      </c>
      <c r="BZ52" s="40">
        <v>1</v>
      </c>
      <c r="CA52" s="40">
        <v>1</v>
      </c>
      <c r="CB52" s="40">
        <v>1</v>
      </c>
      <c r="CC52" s="40">
        <v>1</v>
      </c>
      <c r="CD52" s="40">
        <v>1</v>
      </c>
      <c r="CE52" s="40">
        <v>1</v>
      </c>
      <c r="CF52" s="40">
        <v>1</v>
      </c>
      <c r="CG52" s="44">
        <v>1</v>
      </c>
      <c r="CH52" s="67">
        <v>1</v>
      </c>
      <c r="CI52" s="40">
        <v>1</v>
      </c>
      <c r="CJ52" s="40">
        <v>1</v>
      </c>
      <c r="CK52" s="40">
        <v>1</v>
      </c>
      <c r="CL52" s="40">
        <v>1</v>
      </c>
      <c r="CM52" s="40">
        <v>1</v>
      </c>
      <c r="CN52" s="40">
        <v>1</v>
      </c>
      <c r="CO52" s="40">
        <v>1</v>
      </c>
      <c r="CP52" s="40">
        <v>1</v>
      </c>
      <c r="CQ52" s="40">
        <v>1</v>
      </c>
      <c r="CR52" s="40">
        <v>1</v>
      </c>
      <c r="CS52" s="40">
        <v>1</v>
      </c>
      <c r="CT52" s="40">
        <v>1</v>
      </c>
      <c r="CU52" s="40">
        <v>1</v>
      </c>
      <c r="CV52" s="40">
        <v>1</v>
      </c>
      <c r="CW52" s="40">
        <v>1</v>
      </c>
      <c r="CX52" s="40">
        <v>1</v>
      </c>
      <c r="CY52" s="40">
        <v>1</v>
      </c>
      <c r="CZ52" s="40">
        <v>1</v>
      </c>
      <c r="DA52" s="44">
        <v>1</v>
      </c>
      <c r="DB52" s="67">
        <v>1</v>
      </c>
      <c r="DC52" s="40">
        <v>1</v>
      </c>
      <c r="DD52" s="40">
        <v>1</v>
      </c>
      <c r="DE52" s="40">
        <v>1</v>
      </c>
      <c r="DF52" s="40">
        <v>1</v>
      </c>
      <c r="DG52" s="40">
        <v>1</v>
      </c>
      <c r="DH52" s="40">
        <v>1</v>
      </c>
      <c r="DI52" s="40">
        <v>1</v>
      </c>
      <c r="DJ52" s="40">
        <v>1</v>
      </c>
      <c r="DK52" s="40">
        <v>1</v>
      </c>
      <c r="DL52" s="40">
        <v>1</v>
      </c>
      <c r="DM52" s="40">
        <v>1</v>
      </c>
      <c r="DN52" s="40">
        <v>1</v>
      </c>
      <c r="DO52" s="40">
        <v>1</v>
      </c>
      <c r="DP52" s="40">
        <v>1</v>
      </c>
      <c r="DQ52" s="40">
        <v>1</v>
      </c>
      <c r="DR52" s="40">
        <v>1</v>
      </c>
      <c r="DS52" s="40">
        <v>1</v>
      </c>
      <c r="DT52" s="40">
        <v>1</v>
      </c>
      <c r="DU52" s="44">
        <v>1</v>
      </c>
      <c r="DV52" s="67">
        <v>1</v>
      </c>
      <c r="DW52" s="40">
        <v>1</v>
      </c>
      <c r="DX52" s="40">
        <v>1</v>
      </c>
      <c r="DY52" s="40">
        <v>1</v>
      </c>
      <c r="DZ52" s="40">
        <v>1</v>
      </c>
      <c r="EA52" s="40">
        <v>1</v>
      </c>
      <c r="EB52" s="40">
        <v>1</v>
      </c>
      <c r="EC52" s="40">
        <v>1</v>
      </c>
      <c r="ED52" s="40">
        <v>1</v>
      </c>
      <c r="EE52" s="40">
        <v>1</v>
      </c>
      <c r="EF52" s="40">
        <v>1</v>
      </c>
      <c r="EG52" s="40">
        <v>1</v>
      </c>
      <c r="EH52" s="40">
        <v>1</v>
      </c>
      <c r="EI52" s="40">
        <v>1</v>
      </c>
      <c r="EJ52" s="40">
        <v>1</v>
      </c>
      <c r="EK52" s="40">
        <v>1</v>
      </c>
      <c r="EL52" s="40">
        <v>1</v>
      </c>
      <c r="EM52" s="40">
        <v>1</v>
      </c>
      <c r="EN52" s="40">
        <v>1</v>
      </c>
      <c r="EO52" s="44">
        <v>1</v>
      </c>
      <c r="EP52" s="67">
        <v>1</v>
      </c>
      <c r="EQ52" s="40">
        <v>1</v>
      </c>
      <c r="ER52" s="40">
        <v>1</v>
      </c>
      <c r="ES52" s="40">
        <v>1</v>
      </c>
      <c r="ET52" s="40">
        <v>1</v>
      </c>
      <c r="EU52" s="40">
        <v>1</v>
      </c>
      <c r="EV52" s="40">
        <v>1</v>
      </c>
      <c r="EW52" s="40">
        <v>1</v>
      </c>
      <c r="EX52" s="40">
        <v>1</v>
      </c>
      <c r="EY52" s="40">
        <v>1</v>
      </c>
      <c r="EZ52" s="40">
        <v>1</v>
      </c>
      <c r="FA52" s="40">
        <v>1</v>
      </c>
      <c r="FB52" s="40">
        <v>1</v>
      </c>
      <c r="FC52" s="40">
        <v>1</v>
      </c>
      <c r="FD52" s="40">
        <v>1</v>
      </c>
      <c r="FE52" s="40">
        <v>1</v>
      </c>
      <c r="FF52" s="40">
        <v>1</v>
      </c>
      <c r="FG52" s="40">
        <v>1</v>
      </c>
      <c r="FH52" s="40">
        <v>1</v>
      </c>
      <c r="FI52" s="44">
        <v>1</v>
      </c>
      <c r="FJ52" s="67">
        <v>1</v>
      </c>
      <c r="FK52" s="40">
        <v>1</v>
      </c>
      <c r="FL52" s="40">
        <v>1</v>
      </c>
      <c r="FM52" s="40">
        <v>1</v>
      </c>
      <c r="FN52" s="40">
        <v>1</v>
      </c>
      <c r="FO52" s="40">
        <v>1</v>
      </c>
      <c r="FP52" s="40">
        <v>1</v>
      </c>
      <c r="FQ52" s="40">
        <v>1</v>
      </c>
      <c r="FR52" s="40">
        <v>1</v>
      </c>
      <c r="FS52" s="40">
        <v>1</v>
      </c>
      <c r="FT52" s="40">
        <v>1</v>
      </c>
      <c r="FU52" s="40">
        <v>1</v>
      </c>
      <c r="FV52" s="40">
        <v>1</v>
      </c>
      <c r="FW52" s="40">
        <v>1</v>
      </c>
      <c r="FX52" s="40">
        <v>1</v>
      </c>
      <c r="FY52" s="40">
        <v>1</v>
      </c>
      <c r="FZ52" s="40">
        <v>1</v>
      </c>
      <c r="GA52" s="40">
        <v>1</v>
      </c>
      <c r="GB52" s="40">
        <v>1</v>
      </c>
      <c r="GC52" s="44">
        <v>1</v>
      </c>
      <c r="GD52" s="67">
        <v>1</v>
      </c>
      <c r="GE52" s="40">
        <v>1</v>
      </c>
      <c r="GF52" s="40">
        <v>1</v>
      </c>
      <c r="GG52" s="40">
        <v>1</v>
      </c>
      <c r="GH52" s="40">
        <v>1</v>
      </c>
      <c r="GI52" s="40">
        <v>1</v>
      </c>
      <c r="GJ52" s="40">
        <v>1</v>
      </c>
      <c r="GK52" s="40">
        <v>1</v>
      </c>
      <c r="GL52" s="40">
        <v>1</v>
      </c>
      <c r="GM52" s="40">
        <v>1</v>
      </c>
      <c r="GN52" s="40">
        <v>1</v>
      </c>
      <c r="GO52" s="40">
        <v>1</v>
      </c>
      <c r="GP52" s="40">
        <v>1</v>
      </c>
      <c r="GQ52" s="40">
        <v>1</v>
      </c>
      <c r="GR52" s="40">
        <v>1</v>
      </c>
      <c r="GS52" s="40">
        <v>1</v>
      </c>
      <c r="GT52" s="40">
        <v>1</v>
      </c>
      <c r="GU52" s="40">
        <v>1</v>
      </c>
      <c r="GV52" s="40">
        <v>1</v>
      </c>
      <c r="GW52" s="44">
        <v>1</v>
      </c>
      <c r="GX52" s="67">
        <v>1</v>
      </c>
      <c r="GY52" s="40">
        <v>1</v>
      </c>
      <c r="GZ52" s="40">
        <v>1</v>
      </c>
      <c r="HA52" s="40">
        <v>1</v>
      </c>
      <c r="HB52" s="40">
        <v>1</v>
      </c>
      <c r="HC52" s="40">
        <v>1</v>
      </c>
      <c r="HD52" s="40">
        <v>1</v>
      </c>
      <c r="HE52" s="40">
        <v>1</v>
      </c>
      <c r="HF52" s="40">
        <v>1</v>
      </c>
      <c r="HG52" s="40">
        <v>1</v>
      </c>
      <c r="HH52" s="40">
        <v>1</v>
      </c>
      <c r="HI52" s="40">
        <v>1</v>
      </c>
      <c r="HJ52" s="40">
        <v>1</v>
      </c>
      <c r="HK52" s="40">
        <v>1</v>
      </c>
      <c r="HL52" s="40">
        <v>1</v>
      </c>
      <c r="HM52" s="40">
        <v>1</v>
      </c>
      <c r="HN52" s="40">
        <v>1</v>
      </c>
      <c r="HO52" s="40">
        <v>1</v>
      </c>
      <c r="HP52" s="40">
        <v>1</v>
      </c>
      <c r="HQ52" s="44">
        <v>1</v>
      </c>
      <c r="HR52" s="67">
        <v>1</v>
      </c>
      <c r="HS52" s="40">
        <v>1</v>
      </c>
      <c r="HT52" s="40">
        <v>1</v>
      </c>
      <c r="HU52" s="40">
        <v>1</v>
      </c>
      <c r="HV52" s="40">
        <v>1</v>
      </c>
      <c r="HW52" s="40">
        <v>1</v>
      </c>
      <c r="HX52" s="40">
        <v>1</v>
      </c>
      <c r="HY52" s="40">
        <v>1</v>
      </c>
      <c r="HZ52" s="40">
        <v>1</v>
      </c>
      <c r="IA52" s="40">
        <v>1</v>
      </c>
      <c r="IB52" s="40">
        <v>1</v>
      </c>
      <c r="IC52" s="40">
        <v>1</v>
      </c>
      <c r="ID52" s="40">
        <v>1</v>
      </c>
      <c r="IE52" s="40">
        <v>1</v>
      </c>
      <c r="IF52" s="40">
        <v>1</v>
      </c>
      <c r="IG52" s="40">
        <v>1</v>
      </c>
      <c r="IH52" s="40">
        <v>1</v>
      </c>
      <c r="II52" s="40">
        <v>1</v>
      </c>
      <c r="IJ52" s="40">
        <v>1</v>
      </c>
      <c r="IK52" s="44">
        <v>1</v>
      </c>
      <c r="IL52" s="67">
        <v>1</v>
      </c>
      <c r="IM52" s="40">
        <v>1</v>
      </c>
      <c r="IN52" s="40">
        <v>1</v>
      </c>
      <c r="IO52" s="40">
        <v>1</v>
      </c>
      <c r="IP52" s="40">
        <v>1</v>
      </c>
      <c r="IQ52" s="40">
        <v>1</v>
      </c>
      <c r="IR52" s="40">
        <v>1</v>
      </c>
      <c r="IS52" s="40">
        <v>1</v>
      </c>
      <c r="IT52" s="40">
        <v>1</v>
      </c>
      <c r="IU52" s="40">
        <v>1</v>
      </c>
      <c r="IV52" s="40">
        <v>1</v>
      </c>
      <c r="IW52" s="40">
        <v>1</v>
      </c>
      <c r="IX52" s="40">
        <v>1</v>
      </c>
      <c r="IY52" s="40">
        <v>1</v>
      </c>
      <c r="IZ52" s="40">
        <v>1</v>
      </c>
      <c r="JA52" s="40">
        <v>1</v>
      </c>
      <c r="JB52" s="40">
        <v>1</v>
      </c>
      <c r="JC52" s="40">
        <v>1</v>
      </c>
      <c r="JD52" s="40">
        <v>1</v>
      </c>
      <c r="JE52" s="44">
        <v>1</v>
      </c>
    </row>
    <row r="53" spans="2:265" x14ac:dyDescent="0.25">
      <c r="B53" s="83"/>
      <c r="C53" s="35"/>
      <c r="D53" s="83" t="s">
        <v>42</v>
      </c>
      <c r="E53" s="83" t="s">
        <v>201</v>
      </c>
      <c r="F53" s="274">
        <v>73.935129224377263</v>
      </c>
      <c r="G53" s="275">
        <v>73.310350119131286</v>
      </c>
      <c r="H53" s="275">
        <v>72.66497752166859</v>
      </c>
      <c r="I53" s="275">
        <v>71.998692303718727</v>
      </c>
      <c r="J53" s="275">
        <v>71.311198402269767</v>
      </c>
      <c r="K53" s="275">
        <v>70.602226043676126</v>
      </c>
      <c r="L53" s="275">
        <v>69.87153524015315</v>
      </c>
      <c r="M53" s="275">
        <v>69.118919578398234</v>
      </c>
      <c r="N53" s="275">
        <v>68.344210321412746</v>
      </c>
      <c r="O53" s="275">
        <v>91.381966223351313</v>
      </c>
      <c r="P53" s="275">
        <v>91.355084982820529</v>
      </c>
      <c r="Q53" s="275">
        <v>91.326249739054859</v>
      </c>
      <c r="R53" s="275">
        <v>91.295370786785625</v>
      </c>
      <c r="S53" s="275">
        <v>91.262354985138117</v>
      </c>
      <c r="T53" s="275">
        <v>91.227105647316066</v>
      </c>
      <c r="U53" s="275">
        <v>91.189522427911683</v>
      </c>
      <c r="V53" s="275">
        <v>91.149501207879553</v>
      </c>
      <c r="W53" s="275">
        <v>90.619018103795653</v>
      </c>
      <c r="X53" s="275">
        <v>90.545714919150257</v>
      </c>
      <c r="Y53" s="276">
        <v>90.468451276259316</v>
      </c>
      <c r="Z53" s="274">
        <v>91.381966223351313</v>
      </c>
      <c r="AA53" s="275">
        <v>91.355084982820529</v>
      </c>
      <c r="AB53" s="275">
        <v>91.326249739054859</v>
      </c>
      <c r="AC53" s="275">
        <v>91.295370786785625</v>
      </c>
      <c r="AD53" s="275">
        <v>91.262354985138117</v>
      </c>
      <c r="AE53" s="275">
        <v>91.227105647316066</v>
      </c>
      <c r="AF53" s="275">
        <v>91.189522427911683</v>
      </c>
      <c r="AG53" s="275">
        <v>91.149501207879553</v>
      </c>
      <c r="AH53" s="275">
        <v>90.619018103795653</v>
      </c>
      <c r="AI53" s="275">
        <v>90.545714919150257</v>
      </c>
      <c r="AJ53" s="275">
        <v>90.468451276259316</v>
      </c>
      <c r="AK53" s="275">
        <v>90.387064865612089</v>
      </c>
      <c r="AL53" s="275">
        <v>90.30138785599452</v>
      </c>
      <c r="AM53" s="275">
        <v>90.211246758335619</v>
      </c>
      <c r="AN53" s="275">
        <v>90.116462289844364</v>
      </c>
      <c r="AO53" s="275">
        <v>90.016849238812782</v>
      </c>
      <c r="AP53" s="275">
        <v>90.619018103795653</v>
      </c>
      <c r="AQ53" s="275">
        <v>90.545714919150257</v>
      </c>
      <c r="AR53" s="275">
        <v>90.468451276259316</v>
      </c>
      <c r="AS53" s="276">
        <v>90.387064865612089</v>
      </c>
      <c r="AT53" s="274">
        <v>73.935129224377263</v>
      </c>
      <c r="AU53" s="275">
        <v>91.381966223351313</v>
      </c>
      <c r="AV53" s="275">
        <v>91.355084982820529</v>
      </c>
      <c r="AW53" s="275">
        <v>91.326249739054859</v>
      </c>
      <c r="AX53" s="275">
        <v>91.295370786785625</v>
      </c>
      <c r="AY53" s="275">
        <v>91.262354985138117</v>
      </c>
      <c r="AZ53" s="275">
        <v>91.227105647316066</v>
      </c>
      <c r="BA53" s="275">
        <v>91.189522427911683</v>
      </c>
      <c r="BB53" s="275">
        <v>91.149501207879553</v>
      </c>
      <c r="BC53" s="275">
        <v>90.619018103795653</v>
      </c>
      <c r="BD53" s="275">
        <v>90.545714919150257</v>
      </c>
      <c r="BE53" s="275">
        <v>90.468451276259316</v>
      </c>
      <c r="BF53" s="275">
        <v>90.387064865612089</v>
      </c>
      <c r="BG53" s="275">
        <v>90.30138785599452</v>
      </c>
      <c r="BH53" s="275">
        <v>90.211246758335619</v>
      </c>
      <c r="BI53" s="275">
        <v>90.116462289844364</v>
      </c>
      <c r="BJ53" s="275">
        <v>90.016849238812782</v>
      </c>
      <c r="BK53" s="275">
        <v>90.619018103795653</v>
      </c>
      <c r="BL53" s="275">
        <v>90.545714919150257</v>
      </c>
      <c r="BM53" s="276">
        <v>90.468451276259316</v>
      </c>
      <c r="BN53" s="274">
        <v>73.935129224377263</v>
      </c>
      <c r="BO53" s="275">
        <v>73.310350119131286</v>
      </c>
      <c r="BP53" s="275">
        <v>91.381966223351313</v>
      </c>
      <c r="BQ53" s="275">
        <v>91.355084982820529</v>
      </c>
      <c r="BR53" s="275">
        <v>91.326249739054859</v>
      </c>
      <c r="BS53" s="275">
        <v>91.295370786785625</v>
      </c>
      <c r="BT53" s="275">
        <v>91.262354985138117</v>
      </c>
      <c r="BU53" s="275">
        <v>91.227105647316066</v>
      </c>
      <c r="BV53" s="275">
        <v>91.189522427911683</v>
      </c>
      <c r="BW53" s="275">
        <v>91.149501207879553</v>
      </c>
      <c r="BX53" s="275">
        <v>90.619018103795653</v>
      </c>
      <c r="BY53" s="275">
        <v>90.545714919150257</v>
      </c>
      <c r="BZ53" s="275">
        <v>90.468451276259316</v>
      </c>
      <c r="CA53" s="275">
        <v>90.387064865612089</v>
      </c>
      <c r="CB53" s="275">
        <v>90.30138785599452</v>
      </c>
      <c r="CC53" s="275">
        <v>90.211246758335619</v>
      </c>
      <c r="CD53" s="275">
        <v>90.116462289844364</v>
      </c>
      <c r="CE53" s="275">
        <v>90.016849238812782</v>
      </c>
      <c r="CF53" s="275">
        <v>90.619018103795653</v>
      </c>
      <c r="CG53" s="276">
        <v>90.545714919150257</v>
      </c>
      <c r="CH53" s="274">
        <v>73.935129224377263</v>
      </c>
      <c r="CI53" s="275">
        <v>73.310350119131286</v>
      </c>
      <c r="CJ53" s="275">
        <v>72.66497752166859</v>
      </c>
      <c r="CK53" s="275">
        <v>91.381966223351313</v>
      </c>
      <c r="CL53" s="275">
        <v>91.355084982820529</v>
      </c>
      <c r="CM53" s="275">
        <v>91.326249739054859</v>
      </c>
      <c r="CN53" s="275">
        <v>91.295370786785625</v>
      </c>
      <c r="CO53" s="275">
        <v>91.262354985138117</v>
      </c>
      <c r="CP53" s="275">
        <v>91.227105647316066</v>
      </c>
      <c r="CQ53" s="275">
        <v>91.189522427911683</v>
      </c>
      <c r="CR53" s="275">
        <v>91.149501207879553</v>
      </c>
      <c r="CS53" s="275">
        <v>90.619018103795653</v>
      </c>
      <c r="CT53" s="275">
        <v>90.545714919150257</v>
      </c>
      <c r="CU53" s="275">
        <v>90.468451276259316</v>
      </c>
      <c r="CV53" s="275">
        <v>90.387064865612089</v>
      </c>
      <c r="CW53" s="275">
        <v>90.30138785599452</v>
      </c>
      <c r="CX53" s="275">
        <v>90.211246758335619</v>
      </c>
      <c r="CY53" s="275">
        <v>90.116462289844364</v>
      </c>
      <c r="CZ53" s="275">
        <v>90.016849238812782</v>
      </c>
      <c r="DA53" s="276">
        <v>90.619018103795653</v>
      </c>
      <c r="DB53" s="274">
        <v>73.935129224377263</v>
      </c>
      <c r="DC53" s="275">
        <v>73.310350119131286</v>
      </c>
      <c r="DD53" s="275">
        <v>72.66497752166859</v>
      </c>
      <c r="DE53" s="275">
        <v>71.998692303718727</v>
      </c>
      <c r="DF53" s="275">
        <v>91.381966223351313</v>
      </c>
      <c r="DG53" s="275">
        <v>91.355084982820529</v>
      </c>
      <c r="DH53" s="275">
        <v>91.326249739054859</v>
      </c>
      <c r="DI53" s="275">
        <v>91.295370786785625</v>
      </c>
      <c r="DJ53" s="275">
        <v>91.262354985138117</v>
      </c>
      <c r="DK53" s="275">
        <v>91.227105647316066</v>
      </c>
      <c r="DL53" s="275">
        <v>91.189522427911683</v>
      </c>
      <c r="DM53" s="275">
        <v>91.149501207879553</v>
      </c>
      <c r="DN53" s="275">
        <v>90.619018103795653</v>
      </c>
      <c r="DO53" s="275">
        <v>90.545714919150257</v>
      </c>
      <c r="DP53" s="275">
        <v>90.468451276259316</v>
      </c>
      <c r="DQ53" s="275">
        <v>90.387064865612089</v>
      </c>
      <c r="DR53" s="275">
        <v>90.30138785599452</v>
      </c>
      <c r="DS53" s="275">
        <v>90.211246758335619</v>
      </c>
      <c r="DT53" s="275">
        <v>90.116462289844364</v>
      </c>
      <c r="DU53" s="276">
        <v>90.016849238812782</v>
      </c>
      <c r="DV53" s="274">
        <v>73.935129224377263</v>
      </c>
      <c r="DW53" s="275">
        <v>73.310350119131286</v>
      </c>
      <c r="DX53" s="275">
        <v>72.66497752166859</v>
      </c>
      <c r="DY53" s="275">
        <v>71.998692303718727</v>
      </c>
      <c r="DZ53" s="275">
        <v>71.311198402269767</v>
      </c>
      <c r="EA53" s="275">
        <v>91.381966223351313</v>
      </c>
      <c r="EB53" s="275">
        <v>91.355084982820529</v>
      </c>
      <c r="EC53" s="275">
        <v>91.326249739054859</v>
      </c>
      <c r="ED53" s="275">
        <v>91.295370786785625</v>
      </c>
      <c r="EE53" s="275">
        <v>91.262354985138117</v>
      </c>
      <c r="EF53" s="275">
        <v>91.227105647316066</v>
      </c>
      <c r="EG53" s="275">
        <v>91.189522427911683</v>
      </c>
      <c r="EH53" s="275">
        <v>91.149501207879553</v>
      </c>
      <c r="EI53" s="275">
        <v>90.619018103795653</v>
      </c>
      <c r="EJ53" s="275">
        <v>90.545714919150257</v>
      </c>
      <c r="EK53" s="275">
        <v>90.468451276259316</v>
      </c>
      <c r="EL53" s="275">
        <v>90.387064865612089</v>
      </c>
      <c r="EM53" s="275">
        <v>90.30138785599452</v>
      </c>
      <c r="EN53" s="275">
        <v>90.211246758335619</v>
      </c>
      <c r="EO53" s="276">
        <v>90.116462289844364</v>
      </c>
      <c r="EP53" s="274">
        <v>87.571117024138701</v>
      </c>
      <c r="EQ53" s="275">
        <v>87.518455688081417</v>
      </c>
      <c r="ER53" s="275">
        <v>87.462167711686163</v>
      </c>
      <c r="ES53" s="275">
        <v>87.402094284394778</v>
      </c>
      <c r="ET53" s="275">
        <v>87.338071016473705</v>
      </c>
      <c r="EU53" s="275">
        <v>87.269927796617765</v>
      </c>
      <c r="EV53" s="275">
        <v>87.197488649517666</v>
      </c>
      <c r="EW53" s="275">
        <v>87.120571593751777</v>
      </c>
      <c r="EX53" s="275">
        <v>87.571117024138701</v>
      </c>
      <c r="EY53" s="275">
        <v>87.518455688081417</v>
      </c>
      <c r="EZ53" s="275">
        <v>87.462167711686163</v>
      </c>
      <c r="FA53" s="275">
        <v>87.402094284394778</v>
      </c>
      <c r="FB53" s="275">
        <v>87.338071016473705</v>
      </c>
      <c r="FC53" s="275">
        <v>87.269927796617765</v>
      </c>
      <c r="FD53" s="275">
        <v>87.197488649517666</v>
      </c>
      <c r="FE53" s="275">
        <v>87.120571593751777</v>
      </c>
      <c r="FF53" s="275">
        <v>87.571117024138701</v>
      </c>
      <c r="FG53" s="275">
        <v>87.518455688081417</v>
      </c>
      <c r="FH53" s="275">
        <v>87.462167711686163</v>
      </c>
      <c r="FI53" s="276">
        <v>87.402094284394778</v>
      </c>
      <c r="FJ53" s="274">
        <v>73.935129224377263</v>
      </c>
      <c r="FK53" s="275">
        <v>87.571117024138701</v>
      </c>
      <c r="FL53" s="275">
        <v>87.518455688081417</v>
      </c>
      <c r="FM53" s="275">
        <v>87.462167711686163</v>
      </c>
      <c r="FN53" s="275">
        <v>87.402094284394778</v>
      </c>
      <c r="FO53" s="275">
        <v>87.338071016473705</v>
      </c>
      <c r="FP53" s="275">
        <v>87.269927796617765</v>
      </c>
      <c r="FQ53" s="275">
        <v>87.197488649517666</v>
      </c>
      <c r="FR53" s="275">
        <v>87.120571593751777</v>
      </c>
      <c r="FS53" s="275">
        <v>87.571117024138701</v>
      </c>
      <c r="FT53" s="275">
        <v>87.518455688081417</v>
      </c>
      <c r="FU53" s="275">
        <v>87.462167711686163</v>
      </c>
      <c r="FV53" s="275">
        <v>87.402094284394778</v>
      </c>
      <c r="FW53" s="275">
        <v>87.338071016473705</v>
      </c>
      <c r="FX53" s="275">
        <v>87.269927796617765</v>
      </c>
      <c r="FY53" s="275">
        <v>87.197488649517666</v>
      </c>
      <c r="FZ53" s="275">
        <v>87.120571593751777</v>
      </c>
      <c r="GA53" s="275">
        <v>87.571117024138701</v>
      </c>
      <c r="GB53" s="275">
        <v>87.518455688081417</v>
      </c>
      <c r="GC53" s="276">
        <v>87.462167711686163</v>
      </c>
      <c r="GD53" s="274">
        <v>73.935129224377263</v>
      </c>
      <c r="GE53" s="275">
        <v>73.310350119131286</v>
      </c>
      <c r="GF53" s="275">
        <v>87.571117024138701</v>
      </c>
      <c r="GG53" s="275">
        <v>87.518455688081417</v>
      </c>
      <c r="GH53" s="275">
        <v>87.462167711686163</v>
      </c>
      <c r="GI53" s="275">
        <v>87.402094284394778</v>
      </c>
      <c r="GJ53" s="275">
        <v>87.338071016473705</v>
      </c>
      <c r="GK53" s="275">
        <v>87.269927796617765</v>
      </c>
      <c r="GL53" s="275">
        <v>87.197488649517666</v>
      </c>
      <c r="GM53" s="275">
        <v>87.120571593751777</v>
      </c>
      <c r="GN53" s="275">
        <v>87.571117024138701</v>
      </c>
      <c r="GO53" s="275">
        <v>87.518455688081417</v>
      </c>
      <c r="GP53" s="275">
        <v>87.462167711686163</v>
      </c>
      <c r="GQ53" s="275">
        <v>87.402094284394778</v>
      </c>
      <c r="GR53" s="275">
        <v>87.338071016473705</v>
      </c>
      <c r="GS53" s="275">
        <v>87.269927796617765</v>
      </c>
      <c r="GT53" s="275">
        <v>87.197488649517666</v>
      </c>
      <c r="GU53" s="275">
        <v>87.120571593751777</v>
      </c>
      <c r="GV53" s="275">
        <v>87.571117024138701</v>
      </c>
      <c r="GW53" s="276">
        <v>87.518455688081417</v>
      </c>
      <c r="GX53" s="274">
        <v>73.935129224377263</v>
      </c>
      <c r="GY53" s="275">
        <v>73.310350119131286</v>
      </c>
      <c r="GZ53" s="275">
        <v>72.66497752166859</v>
      </c>
      <c r="HA53" s="275">
        <v>87.571117024138701</v>
      </c>
      <c r="HB53" s="275">
        <v>87.518455688081417</v>
      </c>
      <c r="HC53" s="275">
        <v>87.462167711686163</v>
      </c>
      <c r="HD53" s="275">
        <v>87.402094284394778</v>
      </c>
      <c r="HE53" s="275">
        <v>87.338071016473705</v>
      </c>
      <c r="HF53" s="275">
        <v>87.269927796617765</v>
      </c>
      <c r="HG53" s="275">
        <v>87.197488649517666</v>
      </c>
      <c r="HH53" s="275">
        <v>87.120571593751777</v>
      </c>
      <c r="HI53" s="275">
        <v>87.571117024138701</v>
      </c>
      <c r="HJ53" s="275">
        <v>87.518455688081417</v>
      </c>
      <c r="HK53" s="275">
        <v>87.462167711686163</v>
      </c>
      <c r="HL53" s="275">
        <v>87.402094284394778</v>
      </c>
      <c r="HM53" s="275">
        <v>87.338071016473705</v>
      </c>
      <c r="HN53" s="275">
        <v>87.269927796617765</v>
      </c>
      <c r="HO53" s="275">
        <v>87.197488649517666</v>
      </c>
      <c r="HP53" s="275">
        <v>87.120571593751777</v>
      </c>
      <c r="HQ53" s="276">
        <v>87.571117024138701</v>
      </c>
      <c r="HR53" s="274">
        <v>73.935129224377263</v>
      </c>
      <c r="HS53" s="275">
        <v>73.310350119131286</v>
      </c>
      <c r="HT53" s="275">
        <v>72.66497752166859</v>
      </c>
      <c r="HU53" s="275">
        <v>71.998692303718727</v>
      </c>
      <c r="HV53" s="275">
        <v>87.571117024138701</v>
      </c>
      <c r="HW53" s="275">
        <v>87.518455688081417</v>
      </c>
      <c r="HX53" s="275">
        <v>87.462167711686163</v>
      </c>
      <c r="HY53" s="275">
        <v>87.402094284394778</v>
      </c>
      <c r="HZ53" s="275">
        <v>87.338071016473705</v>
      </c>
      <c r="IA53" s="275">
        <v>87.269927796617765</v>
      </c>
      <c r="IB53" s="275">
        <v>87.197488649517666</v>
      </c>
      <c r="IC53" s="275">
        <v>87.120571593751777</v>
      </c>
      <c r="ID53" s="275">
        <v>87.571117024138701</v>
      </c>
      <c r="IE53" s="275">
        <v>87.518455688081417</v>
      </c>
      <c r="IF53" s="275">
        <v>87.462167711686163</v>
      </c>
      <c r="IG53" s="275">
        <v>87.402094284394778</v>
      </c>
      <c r="IH53" s="275">
        <v>87.338071016473705</v>
      </c>
      <c r="II53" s="275">
        <v>87.269927796617765</v>
      </c>
      <c r="IJ53" s="275">
        <v>87.197488649517666</v>
      </c>
      <c r="IK53" s="276">
        <v>87.120571593751777</v>
      </c>
      <c r="IL53" s="274">
        <v>73.935129224377263</v>
      </c>
      <c r="IM53" s="275">
        <v>73.310350119131286</v>
      </c>
      <c r="IN53" s="275">
        <v>72.66497752166859</v>
      </c>
      <c r="IO53" s="275">
        <v>71.998692303718727</v>
      </c>
      <c r="IP53" s="275">
        <v>71.311198402269767</v>
      </c>
      <c r="IQ53" s="275">
        <v>87.571117024138701</v>
      </c>
      <c r="IR53" s="275">
        <v>87.518455688081417</v>
      </c>
      <c r="IS53" s="275">
        <v>87.462167711686163</v>
      </c>
      <c r="IT53" s="275">
        <v>87.402094284394778</v>
      </c>
      <c r="IU53" s="275">
        <v>87.338071016473705</v>
      </c>
      <c r="IV53" s="275">
        <v>87.269927796617765</v>
      </c>
      <c r="IW53" s="275">
        <v>87.197488649517666</v>
      </c>
      <c r="IX53" s="275">
        <v>87.120571593751777</v>
      </c>
      <c r="IY53" s="275">
        <v>87.571117024138701</v>
      </c>
      <c r="IZ53" s="275">
        <v>87.518455688081417</v>
      </c>
      <c r="JA53" s="275">
        <v>87.462167711686163</v>
      </c>
      <c r="JB53" s="275">
        <v>87.402094284394778</v>
      </c>
      <c r="JC53" s="275">
        <v>87.338071016473705</v>
      </c>
      <c r="JD53" s="275">
        <v>87.269927796617765</v>
      </c>
      <c r="JE53" s="276">
        <v>87.197488649517666</v>
      </c>
    </row>
    <row r="54" spans="2:265" x14ac:dyDescent="0.25">
      <c r="B54" s="83"/>
      <c r="C54" s="22" t="s">
        <v>207</v>
      </c>
      <c r="D54" s="82" t="s">
        <v>202</v>
      </c>
      <c r="E54" s="82" t="s">
        <v>251</v>
      </c>
      <c r="F54" s="277">
        <v>0</v>
      </c>
      <c r="G54" s="278">
        <v>0</v>
      </c>
      <c r="H54" s="278">
        <v>0</v>
      </c>
      <c r="I54" s="278">
        <v>0</v>
      </c>
      <c r="J54" s="278">
        <v>0</v>
      </c>
      <c r="K54" s="278">
        <v>0</v>
      </c>
      <c r="L54" s="278">
        <v>0</v>
      </c>
      <c r="M54" s="278">
        <v>0</v>
      </c>
      <c r="N54" s="278">
        <v>0</v>
      </c>
      <c r="O54" s="278">
        <v>6.9491933704709465</v>
      </c>
      <c r="P54" s="278">
        <v>0</v>
      </c>
      <c r="Q54" s="278">
        <v>0</v>
      </c>
      <c r="R54" s="278">
        <v>0</v>
      </c>
      <c r="S54" s="278">
        <v>0</v>
      </c>
      <c r="T54" s="278">
        <v>0</v>
      </c>
      <c r="U54" s="278">
        <v>0</v>
      </c>
      <c r="V54" s="278">
        <v>0</v>
      </c>
      <c r="W54" s="278">
        <v>0</v>
      </c>
      <c r="X54" s="278">
        <v>0</v>
      </c>
      <c r="Y54" s="279">
        <v>0</v>
      </c>
      <c r="Z54" s="277">
        <v>6.9491933704709465</v>
      </c>
      <c r="AA54" s="278">
        <v>0</v>
      </c>
      <c r="AB54" s="278">
        <v>0</v>
      </c>
      <c r="AC54" s="278">
        <v>0</v>
      </c>
      <c r="AD54" s="278">
        <v>0</v>
      </c>
      <c r="AE54" s="278">
        <v>0</v>
      </c>
      <c r="AF54" s="278">
        <v>0</v>
      </c>
      <c r="AG54" s="278">
        <v>0</v>
      </c>
      <c r="AH54" s="278">
        <v>0</v>
      </c>
      <c r="AI54" s="278">
        <v>0</v>
      </c>
      <c r="AJ54" s="278">
        <v>0</v>
      </c>
      <c r="AK54" s="278">
        <v>0</v>
      </c>
      <c r="AL54" s="278">
        <v>0</v>
      </c>
      <c r="AM54" s="278">
        <v>0</v>
      </c>
      <c r="AN54" s="278">
        <v>0</v>
      </c>
      <c r="AO54" s="278">
        <v>0</v>
      </c>
      <c r="AP54" s="278">
        <v>0</v>
      </c>
      <c r="AQ54" s="278">
        <v>0</v>
      </c>
      <c r="AR54" s="278">
        <v>0</v>
      </c>
      <c r="AS54" s="279">
        <v>0</v>
      </c>
      <c r="AT54" s="277">
        <v>0</v>
      </c>
      <c r="AU54" s="278">
        <v>6.9491933704709465</v>
      </c>
      <c r="AV54" s="278">
        <v>0</v>
      </c>
      <c r="AW54" s="278">
        <v>0</v>
      </c>
      <c r="AX54" s="278">
        <v>0</v>
      </c>
      <c r="AY54" s="278">
        <v>0</v>
      </c>
      <c r="AZ54" s="278">
        <v>0</v>
      </c>
      <c r="BA54" s="278">
        <v>0</v>
      </c>
      <c r="BB54" s="278">
        <v>0</v>
      </c>
      <c r="BC54" s="278">
        <v>0</v>
      </c>
      <c r="BD54" s="278">
        <v>0</v>
      </c>
      <c r="BE54" s="278">
        <v>0</v>
      </c>
      <c r="BF54" s="278">
        <v>0</v>
      </c>
      <c r="BG54" s="278">
        <v>0</v>
      </c>
      <c r="BH54" s="278">
        <v>0</v>
      </c>
      <c r="BI54" s="278">
        <v>0</v>
      </c>
      <c r="BJ54" s="278">
        <v>0</v>
      </c>
      <c r="BK54" s="278">
        <v>0</v>
      </c>
      <c r="BL54" s="278">
        <v>0</v>
      </c>
      <c r="BM54" s="279">
        <v>0</v>
      </c>
      <c r="BN54" s="277">
        <v>0</v>
      </c>
      <c r="BO54" s="278">
        <v>0</v>
      </c>
      <c r="BP54" s="278">
        <v>6.9491933704709465</v>
      </c>
      <c r="BQ54" s="278">
        <v>0</v>
      </c>
      <c r="BR54" s="278">
        <v>0</v>
      </c>
      <c r="BS54" s="278">
        <v>0</v>
      </c>
      <c r="BT54" s="278">
        <v>0</v>
      </c>
      <c r="BU54" s="278">
        <v>0</v>
      </c>
      <c r="BV54" s="278">
        <v>0</v>
      </c>
      <c r="BW54" s="278">
        <v>0</v>
      </c>
      <c r="BX54" s="278">
        <v>0</v>
      </c>
      <c r="BY54" s="278">
        <v>0</v>
      </c>
      <c r="BZ54" s="278">
        <v>0</v>
      </c>
      <c r="CA54" s="278">
        <v>0</v>
      </c>
      <c r="CB54" s="278">
        <v>0</v>
      </c>
      <c r="CC54" s="278">
        <v>0</v>
      </c>
      <c r="CD54" s="278">
        <v>0</v>
      </c>
      <c r="CE54" s="278">
        <v>0</v>
      </c>
      <c r="CF54" s="278">
        <v>0</v>
      </c>
      <c r="CG54" s="279">
        <v>0</v>
      </c>
      <c r="CH54" s="277">
        <v>0</v>
      </c>
      <c r="CI54" s="278">
        <v>0</v>
      </c>
      <c r="CJ54" s="278">
        <v>0</v>
      </c>
      <c r="CK54" s="278">
        <v>6.9491933704709465</v>
      </c>
      <c r="CL54" s="278">
        <v>0</v>
      </c>
      <c r="CM54" s="278">
        <v>0</v>
      </c>
      <c r="CN54" s="278">
        <v>0</v>
      </c>
      <c r="CO54" s="278">
        <v>0</v>
      </c>
      <c r="CP54" s="278">
        <v>0</v>
      </c>
      <c r="CQ54" s="278">
        <v>0</v>
      </c>
      <c r="CR54" s="278">
        <v>0</v>
      </c>
      <c r="CS54" s="278">
        <v>0</v>
      </c>
      <c r="CT54" s="278">
        <v>0</v>
      </c>
      <c r="CU54" s="278">
        <v>0</v>
      </c>
      <c r="CV54" s="278">
        <v>0</v>
      </c>
      <c r="CW54" s="278">
        <v>0</v>
      </c>
      <c r="CX54" s="278">
        <v>0</v>
      </c>
      <c r="CY54" s="278">
        <v>0</v>
      </c>
      <c r="CZ54" s="278">
        <v>0</v>
      </c>
      <c r="DA54" s="279">
        <v>0</v>
      </c>
      <c r="DB54" s="277">
        <v>0</v>
      </c>
      <c r="DC54" s="278">
        <v>0</v>
      </c>
      <c r="DD54" s="278">
        <v>0</v>
      </c>
      <c r="DE54" s="278">
        <v>0</v>
      </c>
      <c r="DF54" s="278">
        <v>6.9491933704709465</v>
      </c>
      <c r="DG54" s="278">
        <v>0</v>
      </c>
      <c r="DH54" s="278">
        <v>0</v>
      </c>
      <c r="DI54" s="278">
        <v>0</v>
      </c>
      <c r="DJ54" s="278">
        <v>0</v>
      </c>
      <c r="DK54" s="278">
        <v>0</v>
      </c>
      <c r="DL54" s="278">
        <v>0</v>
      </c>
      <c r="DM54" s="278">
        <v>0</v>
      </c>
      <c r="DN54" s="278">
        <v>0</v>
      </c>
      <c r="DO54" s="278">
        <v>0</v>
      </c>
      <c r="DP54" s="278">
        <v>0</v>
      </c>
      <c r="DQ54" s="278">
        <v>0</v>
      </c>
      <c r="DR54" s="278">
        <v>0</v>
      </c>
      <c r="DS54" s="278">
        <v>0</v>
      </c>
      <c r="DT54" s="278">
        <v>0</v>
      </c>
      <c r="DU54" s="279">
        <v>0</v>
      </c>
      <c r="DV54" s="277">
        <v>0</v>
      </c>
      <c r="DW54" s="278">
        <v>0</v>
      </c>
      <c r="DX54" s="278">
        <v>0</v>
      </c>
      <c r="DY54" s="278">
        <v>0</v>
      </c>
      <c r="DZ54" s="278">
        <v>0</v>
      </c>
      <c r="EA54" s="278">
        <v>6.9491933704709465</v>
      </c>
      <c r="EB54" s="278">
        <v>0</v>
      </c>
      <c r="EC54" s="278">
        <v>0</v>
      </c>
      <c r="ED54" s="278">
        <v>0</v>
      </c>
      <c r="EE54" s="278">
        <v>0</v>
      </c>
      <c r="EF54" s="278">
        <v>0</v>
      </c>
      <c r="EG54" s="278">
        <v>0</v>
      </c>
      <c r="EH54" s="278">
        <v>0</v>
      </c>
      <c r="EI54" s="278">
        <v>0</v>
      </c>
      <c r="EJ54" s="278">
        <v>0</v>
      </c>
      <c r="EK54" s="278">
        <v>0</v>
      </c>
      <c r="EL54" s="278">
        <v>0</v>
      </c>
      <c r="EM54" s="278">
        <v>0</v>
      </c>
      <c r="EN54" s="278">
        <v>0</v>
      </c>
      <c r="EO54" s="279">
        <v>0</v>
      </c>
      <c r="EP54" s="277">
        <v>0.46392840895300902</v>
      </c>
      <c r="EQ54" s="278">
        <v>0</v>
      </c>
      <c r="ER54" s="278">
        <v>0</v>
      </c>
      <c r="ES54" s="278">
        <v>0</v>
      </c>
      <c r="ET54" s="278">
        <v>0</v>
      </c>
      <c r="EU54" s="278">
        <v>0</v>
      </c>
      <c r="EV54" s="278">
        <v>0</v>
      </c>
      <c r="EW54" s="278">
        <v>0</v>
      </c>
      <c r="EX54" s="278">
        <v>0</v>
      </c>
      <c r="EY54" s="278">
        <v>0</v>
      </c>
      <c r="EZ54" s="278">
        <v>0</v>
      </c>
      <c r="FA54" s="278">
        <v>0</v>
      </c>
      <c r="FB54" s="278">
        <v>0</v>
      </c>
      <c r="FC54" s="278">
        <v>0</v>
      </c>
      <c r="FD54" s="278">
        <v>0</v>
      </c>
      <c r="FE54" s="278">
        <v>0</v>
      </c>
      <c r="FF54" s="278">
        <v>0</v>
      </c>
      <c r="FG54" s="278">
        <v>0</v>
      </c>
      <c r="FH54" s="278">
        <v>0</v>
      </c>
      <c r="FI54" s="279">
        <v>0</v>
      </c>
      <c r="FJ54" s="277">
        <v>0</v>
      </c>
      <c r="FK54" s="278">
        <v>0.46392840895300902</v>
      </c>
      <c r="FL54" s="278">
        <v>0</v>
      </c>
      <c r="FM54" s="278">
        <v>0</v>
      </c>
      <c r="FN54" s="278">
        <v>0</v>
      </c>
      <c r="FO54" s="278">
        <v>0</v>
      </c>
      <c r="FP54" s="278">
        <v>0</v>
      </c>
      <c r="FQ54" s="278">
        <v>0</v>
      </c>
      <c r="FR54" s="278">
        <v>0</v>
      </c>
      <c r="FS54" s="278">
        <v>0</v>
      </c>
      <c r="FT54" s="278">
        <v>0</v>
      </c>
      <c r="FU54" s="278">
        <v>0</v>
      </c>
      <c r="FV54" s="278">
        <v>0</v>
      </c>
      <c r="FW54" s="278">
        <v>0</v>
      </c>
      <c r="FX54" s="278">
        <v>0</v>
      </c>
      <c r="FY54" s="278">
        <v>0</v>
      </c>
      <c r="FZ54" s="278">
        <v>0</v>
      </c>
      <c r="GA54" s="278">
        <v>0</v>
      </c>
      <c r="GB54" s="278">
        <v>0</v>
      </c>
      <c r="GC54" s="279">
        <v>0</v>
      </c>
      <c r="GD54" s="277">
        <v>0</v>
      </c>
      <c r="GE54" s="278">
        <v>0</v>
      </c>
      <c r="GF54" s="278">
        <v>0.46392840895300902</v>
      </c>
      <c r="GG54" s="278">
        <v>0</v>
      </c>
      <c r="GH54" s="278">
        <v>0</v>
      </c>
      <c r="GI54" s="278">
        <v>0</v>
      </c>
      <c r="GJ54" s="278">
        <v>0</v>
      </c>
      <c r="GK54" s="278">
        <v>0</v>
      </c>
      <c r="GL54" s="278">
        <v>0</v>
      </c>
      <c r="GM54" s="278">
        <v>0</v>
      </c>
      <c r="GN54" s="278">
        <v>0</v>
      </c>
      <c r="GO54" s="278">
        <v>0</v>
      </c>
      <c r="GP54" s="278">
        <v>0</v>
      </c>
      <c r="GQ54" s="278">
        <v>0</v>
      </c>
      <c r="GR54" s="278">
        <v>0</v>
      </c>
      <c r="GS54" s="278">
        <v>0</v>
      </c>
      <c r="GT54" s="278">
        <v>0</v>
      </c>
      <c r="GU54" s="278">
        <v>0</v>
      </c>
      <c r="GV54" s="278">
        <v>0</v>
      </c>
      <c r="GW54" s="279">
        <v>0</v>
      </c>
      <c r="GX54" s="277">
        <v>0</v>
      </c>
      <c r="GY54" s="278">
        <v>0</v>
      </c>
      <c r="GZ54" s="278">
        <v>0</v>
      </c>
      <c r="HA54" s="278">
        <v>0.46392840895300902</v>
      </c>
      <c r="HB54" s="278">
        <v>0</v>
      </c>
      <c r="HC54" s="278">
        <v>0</v>
      </c>
      <c r="HD54" s="278">
        <v>0</v>
      </c>
      <c r="HE54" s="278">
        <v>0</v>
      </c>
      <c r="HF54" s="278">
        <v>0</v>
      </c>
      <c r="HG54" s="278">
        <v>0</v>
      </c>
      <c r="HH54" s="278">
        <v>0</v>
      </c>
      <c r="HI54" s="278">
        <v>0</v>
      </c>
      <c r="HJ54" s="278">
        <v>0</v>
      </c>
      <c r="HK54" s="278">
        <v>0</v>
      </c>
      <c r="HL54" s="278">
        <v>0</v>
      </c>
      <c r="HM54" s="278">
        <v>0</v>
      </c>
      <c r="HN54" s="278">
        <v>0</v>
      </c>
      <c r="HO54" s="278">
        <v>0</v>
      </c>
      <c r="HP54" s="278">
        <v>0</v>
      </c>
      <c r="HQ54" s="279">
        <v>0</v>
      </c>
      <c r="HR54" s="277">
        <v>0</v>
      </c>
      <c r="HS54" s="278">
        <v>0</v>
      </c>
      <c r="HT54" s="278">
        <v>0</v>
      </c>
      <c r="HU54" s="278">
        <v>0</v>
      </c>
      <c r="HV54" s="278">
        <v>0.46392840895300902</v>
      </c>
      <c r="HW54" s="278">
        <v>0</v>
      </c>
      <c r="HX54" s="278">
        <v>0</v>
      </c>
      <c r="HY54" s="278">
        <v>0</v>
      </c>
      <c r="HZ54" s="278">
        <v>0</v>
      </c>
      <c r="IA54" s="278">
        <v>0</v>
      </c>
      <c r="IB54" s="278">
        <v>0</v>
      </c>
      <c r="IC54" s="278">
        <v>0</v>
      </c>
      <c r="ID54" s="278">
        <v>0</v>
      </c>
      <c r="IE54" s="278">
        <v>0</v>
      </c>
      <c r="IF54" s="278">
        <v>0</v>
      </c>
      <c r="IG54" s="278">
        <v>0</v>
      </c>
      <c r="IH54" s="278">
        <v>0</v>
      </c>
      <c r="II54" s="278">
        <v>0</v>
      </c>
      <c r="IJ54" s="278">
        <v>0</v>
      </c>
      <c r="IK54" s="279">
        <v>0</v>
      </c>
      <c r="IL54" s="277">
        <v>0</v>
      </c>
      <c r="IM54" s="278">
        <v>0</v>
      </c>
      <c r="IN54" s="278">
        <v>0</v>
      </c>
      <c r="IO54" s="278">
        <v>0</v>
      </c>
      <c r="IP54" s="278">
        <v>0</v>
      </c>
      <c r="IQ54" s="278">
        <v>0.46392840895300902</v>
      </c>
      <c r="IR54" s="278">
        <v>0</v>
      </c>
      <c r="IS54" s="278">
        <v>0</v>
      </c>
      <c r="IT54" s="278">
        <v>0</v>
      </c>
      <c r="IU54" s="278">
        <v>0</v>
      </c>
      <c r="IV54" s="278">
        <v>0</v>
      </c>
      <c r="IW54" s="278">
        <v>0</v>
      </c>
      <c r="IX54" s="278">
        <v>0</v>
      </c>
      <c r="IY54" s="278">
        <v>0</v>
      </c>
      <c r="IZ54" s="278">
        <v>0</v>
      </c>
      <c r="JA54" s="278">
        <v>0</v>
      </c>
      <c r="JB54" s="278">
        <v>0</v>
      </c>
      <c r="JC54" s="278">
        <v>0</v>
      </c>
      <c r="JD54" s="278">
        <v>0</v>
      </c>
      <c r="JE54" s="279">
        <v>0</v>
      </c>
    </row>
    <row r="55" spans="2:265" x14ac:dyDescent="0.25">
      <c r="B55" s="83"/>
      <c r="C55" s="35" t="s">
        <v>206</v>
      </c>
      <c r="D55" s="83" t="s">
        <v>321</v>
      </c>
      <c r="E55" s="83" t="s">
        <v>251</v>
      </c>
      <c r="F55" s="280">
        <v>0</v>
      </c>
      <c r="G55" s="281">
        <v>0</v>
      </c>
      <c r="H55" s="281">
        <v>0</v>
      </c>
      <c r="I55" s="281">
        <v>0</v>
      </c>
      <c r="J55" s="281">
        <v>0</v>
      </c>
      <c r="K55" s="281">
        <v>0</v>
      </c>
      <c r="L55" s="281">
        <v>0</v>
      </c>
      <c r="M55" s="281">
        <v>0</v>
      </c>
      <c r="N55" s="281">
        <v>0</v>
      </c>
      <c r="O55" s="281">
        <v>0</v>
      </c>
      <c r="P55" s="281">
        <v>0</v>
      </c>
      <c r="Q55" s="281">
        <v>0</v>
      </c>
      <c r="R55" s="281">
        <v>0</v>
      </c>
      <c r="S55" s="281">
        <v>0</v>
      </c>
      <c r="T55" s="281">
        <v>0</v>
      </c>
      <c r="U55" s="281">
        <v>0</v>
      </c>
      <c r="V55" s="281">
        <v>0</v>
      </c>
      <c r="W55" s="281">
        <v>0.92785681790601804</v>
      </c>
      <c r="X55" s="281">
        <v>0</v>
      </c>
      <c r="Y55" s="282">
        <v>0</v>
      </c>
      <c r="Z55" s="280">
        <v>0</v>
      </c>
      <c r="AA55" s="281">
        <v>0</v>
      </c>
      <c r="AB55" s="281">
        <v>0</v>
      </c>
      <c r="AC55" s="281">
        <v>0</v>
      </c>
      <c r="AD55" s="281">
        <v>0</v>
      </c>
      <c r="AE55" s="281">
        <v>0</v>
      </c>
      <c r="AF55" s="281">
        <v>0</v>
      </c>
      <c r="AG55" s="281">
        <v>0</v>
      </c>
      <c r="AH55" s="281">
        <v>0.92785681790601804</v>
      </c>
      <c r="AI55" s="281">
        <v>0</v>
      </c>
      <c r="AJ55" s="281">
        <v>0</v>
      </c>
      <c r="AK55" s="281">
        <v>0</v>
      </c>
      <c r="AL55" s="281">
        <v>0</v>
      </c>
      <c r="AM55" s="281">
        <v>0</v>
      </c>
      <c r="AN55" s="281">
        <v>0</v>
      </c>
      <c r="AO55" s="281">
        <v>0</v>
      </c>
      <c r="AP55" s="281">
        <v>0.92785681790601804</v>
      </c>
      <c r="AQ55" s="281">
        <v>0</v>
      </c>
      <c r="AR55" s="281">
        <v>0</v>
      </c>
      <c r="AS55" s="282">
        <v>0</v>
      </c>
      <c r="AT55" s="280">
        <v>0</v>
      </c>
      <c r="AU55" s="281">
        <v>0</v>
      </c>
      <c r="AV55" s="281">
        <v>0</v>
      </c>
      <c r="AW55" s="281">
        <v>0</v>
      </c>
      <c r="AX55" s="281">
        <v>0</v>
      </c>
      <c r="AY55" s="281">
        <v>0</v>
      </c>
      <c r="AZ55" s="281">
        <v>0</v>
      </c>
      <c r="BA55" s="281">
        <v>0</v>
      </c>
      <c r="BB55" s="281">
        <v>0</v>
      </c>
      <c r="BC55" s="281">
        <v>0.92785681790601804</v>
      </c>
      <c r="BD55" s="281">
        <v>0</v>
      </c>
      <c r="BE55" s="281">
        <v>0</v>
      </c>
      <c r="BF55" s="281">
        <v>0</v>
      </c>
      <c r="BG55" s="281">
        <v>0</v>
      </c>
      <c r="BH55" s="281">
        <v>0</v>
      </c>
      <c r="BI55" s="281">
        <v>0</v>
      </c>
      <c r="BJ55" s="281">
        <v>0</v>
      </c>
      <c r="BK55" s="281">
        <v>0.92785681790601804</v>
      </c>
      <c r="BL55" s="281">
        <v>0</v>
      </c>
      <c r="BM55" s="282">
        <v>0</v>
      </c>
      <c r="BN55" s="280">
        <v>0</v>
      </c>
      <c r="BO55" s="281">
        <v>0</v>
      </c>
      <c r="BP55" s="281">
        <v>0</v>
      </c>
      <c r="BQ55" s="281">
        <v>0</v>
      </c>
      <c r="BR55" s="281">
        <v>0</v>
      </c>
      <c r="BS55" s="281">
        <v>0</v>
      </c>
      <c r="BT55" s="281">
        <v>0</v>
      </c>
      <c r="BU55" s="281">
        <v>0</v>
      </c>
      <c r="BV55" s="281">
        <v>0</v>
      </c>
      <c r="BW55" s="281">
        <v>0</v>
      </c>
      <c r="BX55" s="281">
        <v>0.92785681790601804</v>
      </c>
      <c r="BY55" s="281">
        <v>0</v>
      </c>
      <c r="BZ55" s="281">
        <v>0</v>
      </c>
      <c r="CA55" s="281">
        <v>0</v>
      </c>
      <c r="CB55" s="281">
        <v>0</v>
      </c>
      <c r="CC55" s="281">
        <v>0</v>
      </c>
      <c r="CD55" s="281">
        <v>0</v>
      </c>
      <c r="CE55" s="281">
        <v>0</v>
      </c>
      <c r="CF55" s="281">
        <v>0.92785681790601804</v>
      </c>
      <c r="CG55" s="282">
        <v>0</v>
      </c>
      <c r="CH55" s="280">
        <v>0</v>
      </c>
      <c r="CI55" s="281">
        <v>0</v>
      </c>
      <c r="CJ55" s="281">
        <v>0</v>
      </c>
      <c r="CK55" s="281">
        <v>0</v>
      </c>
      <c r="CL55" s="281">
        <v>0</v>
      </c>
      <c r="CM55" s="281">
        <v>0</v>
      </c>
      <c r="CN55" s="281">
        <v>0</v>
      </c>
      <c r="CO55" s="281">
        <v>0</v>
      </c>
      <c r="CP55" s="281">
        <v>0</v>
      </c>
      <c r="CQ55" s="281">
        <v>0</v>
      </c>
      <c r="CR55" s="281">
        <v>0</v>
      </c>
      <c r="CS55" s="281">
        <v>0.92785681790601804</v>
      </c>
      <c r="CT55" s="281">
        <v>0</v>
      </c>
      <c r="CU55" s="281">
        <v>0</v>
      </c>
      <c r="CV55" s="281">
        <v>0</v>
      </c>
      <c r="CW55" s="281">
        <v>0</v>
      </c>
      <c r="CX55" s="281">
        <v>0</v>
      </c>
      <c r="CY55" s="281">
        <v>0</v>
      </c>
      <c r="CZ55" s="281">
        <v>0</v>
      </c>
      <c r="DA55" s="282">
        <v>0.92785681790601804</v>
      </c>
      <c r="DB55" s="280">
        <v>0</v>
      </c>
      <c r="DC55" s="281">
        <v>0</v>
      </c>
      <c r="DD55" s="281">
        <v>0</v>
      </c>
      <c r="DE55" s="281">
        <v>0</v>
      </c>
      <c r="DF55" s="281">
        <v>0</v>
      </c>
      <c r="DG55" s="281">
        <v>0</v>
      </c>
      <c r="DH55" s="281">
        <v>0</v>
      </c>
      <c r="DI55" s="281">
        <v>0</v>
      </c>
      <c r="DJ55" s="281">
        <v>0</v>
      </c>
      <c r="DK55" s="281">
        <v>0</v>
      </c>
      <c r="DL55" s="281">
        <v>0</v>
      </c>
      <c r="DM55" s="281">
        <v>0</v>
      </c>
      <c r="DN55" s="281">
        <v>0.92785681790601804</v>
      </c>
      <c r="DO55" s="281">
        <v>0</v>
      </c>
      <c r="DP55" s="281">
        <v>0</v>
      </c>
      <c r="DQ55" s="281">
        <v>0</v>
      </c>
      <c r="DR55" s="281">
        <v>0</v>
      </c>
      <c r="DS55" s="281">
        <v>0</v>
      </c>
      <c r="DT55" s="281">
        <v>0</v>
      </c>
      <c r="DU55" s="282">
        <v>0</v>
      </c>
      <c r="DV55" s="280">
        <v>0</v>
      </c>
      <c r="DW55" s="281">
        <v>0</v>
      </c>
      <c r="DX55" s="281">
        <v>0</v>
      </c>
      <c r="DY55" s="281">
        <v>0</v>
      </c>
      <c r="DZ55" s="281">
        <v>0</v>
      </c>
      <c r="EA55" s="281">
        <v>0</v>
      </c>
      <c r="EB55" s="281">
        <v>0</v>
      </c>
      <c r="EC55" s="281">
        <v>0</v>
      </c>
      <c r="ED55" s="281">
        <v>0</v>
      </c>
      <c r="EE55" s="281">
        <v>0</v>
      </c>
      <c r="EF55" s="281">
        <v>0</v>
      </c>
      <c r="EG55" s="281">
        <v>0</v>
      </c>
      <c r="EH55" s="281">
        <v>0</v>
      </c>
      <c r="EI55" s="281">
        <v>0.92785681790601804</v>
      </c>
      <c r="EJ55" s="281">
        <v>0</v>
      </c>
      <c r="EK55" s="281">
        <v>0</v>
      </c>
      <c r="EL55" s="281">
        <v>0</v>
      </c>
      <c r="EM55" s="281">
        <v>0</v>
      </c>
      <c r="EN55" s="281">
        <v>0</v>
      </c>
      <c r="EO55" s="282">
        <v>0</v>
      </c>
      <c r="EP55" s="280">
        <v>0</v>
      </c>
      <c r="EQ55" s="281">
        <v>0</v>
      </c>
      <c r="ER55" s="281">
        <v>0</v>
      </c>
      <c r="ES55" s="281">
        <v>0</v>
      </c>
      <c r="ET55" s="281">
        <v>0</v>
      </c>
      <c r="EU55" s="281">
        <v>0</v>
      </c>
      <c r="EV55" s="281">
        <v>0</v>
      </c>
      <c r="EW55" s="281">
        <v>0</v>
      </c>
      <c r="EX55" s="281">
        <v>0.46392840895300902</v>
      </c>
      <c r="EY55" s="281">
        <v>0</v>
      </c>
      <c r="EZ55" s="281">
        <v>0</v>
      </c>
      <c r="FA55" s="281">
        <v>0</v>
      </c>
      <c r="FB55" s="281">
        <v>0</v>
      </c>
      <c r="FC55" s="281">
        <v>0</v>
      </c>
      <c r="FD55" s="281">
        <v>0</v>
      </c>
      <c r="FE55" s="281">
        <v>0</v>
      </c>
      <c r="FF55" s="281">
        <v>0.46392840895300902</v>
      </c>
      <c r="FG55" s="281">
        <v>0</v>
      </c>
      <c r="FH55" s="281">
        <v>0</v>
      </c>
      <c r="FI55" s="282">
        <v>0</v>
      </c>
      <c r="FJ55" s="280">
        <v>0</v>
      </c>
      <c r="FK55" s="281">
        <v>0</v>
      </c>
      <c r="FL55" s="281">
        <v>0</v>
      </c>
      <c r="FM55" s="281">
        <v>0</v>
      </c>
      <c r="FN55" s="281">
        <v>0</v>
      </c>
      <c r="FO55" s="281">
        <v>0</v>
      </c>
      <c r="FP55" s="281">
        <v>0</v>
      </c>
      <c r="FQ55" s="281">
        <v>0</v>
      </c>
      <c r="FR55" s="281">
        <v>0</v>
      </c>
      <c r="FS55" s="281">
        <v>0.46392840895300902</v>
      </c>
      <c r="FT55" s="281">
        <v>0</v>
      </c>
      <c r="FU55" s="281">
        <v>0</v>
      </c>
      <c r="FV55" s="281">
        <v>0</v>
      </c>
      <c r="FW55" s="281">
        <v>0</v>
      </c>
      <c r="FX55" s="281">
        <v>0</v>
      </c>
      <c r="FY55" s="281">
        <v>0</v>
      </c>
      <c r="FZ55" s="281">
        <v>0</v>
      </c>
      <c r="GA55" s="281">
        <v>0.46392840895300902</v>
      </c>
      <c r="GB55" s="281">
        <v>0</v>
      </c>
      <c r="GC55" s="282">
        <v>0</v>
      </c>
      <c r="GD55" s="280">
        <v>0</v>
      </c>
      <c r="GE55" s="281">
        <v>0</v>
      </c>
      <c r="GF55" s="281">
        <v>0</v>
      </c>
      <c r="GG55" s="281">
        <v>0</v>
      </c>
      <c r="GH55" s="281">
        <v>0</v>
      </c>
      <c r="GI55" s="281">
        <v>0</v>
      </c>
      <c r="GJ55" s="281">
        <v>0</v>
      </c>
      <c r="GK55" s="281">
        <v>0</v>
      </c>
      <c r="GL55" s="281">
        <v>0</v>
      </c>
      <c r="GM55" s="281">
        <v>0</v>
      </c>
      <c r="GN55" s="281">
        <v>0.46392840895300902</v>
      </c>
      <c r="GO55" s="281">
        <v>0</v>
      </c>
      <c r="GP55" s="281">
        <v>0</v>
      </c>
      <c r="GQ55" s="281">
        <v>0</v>
      </c>
      <c r="GR55" s="281">
        <v>0</v>
      </c>
      <c r="GS55" s="281">
        <v>0</v>
      </c>
      <c r="GT55" s="281">
        <v>0</v>
      </c>
      <c r="GU55" s="281">
        <v>0</v>
      </c>
      <c r="GV55" s="281">
        <v>0.46392840895300902</v>
      </c>
      <c r="GW55" s="282">
        <v>0</v>
      </c>
      <c r="GX55" s="280">
        <v>0</v>
      </c>
      <c r="GY55" s="281">
        <v>0</v>
      </c>
      <c r="GZ55" s="281">
        <v>0</v>
      </c>
      <c r="HA55" s="281">
        <v>0</v>
      </c>
      <c r="HB55" s="281">
        <v>0</v>
      </c>
      <c r="HC55" s="281">
        <v>0</v>
      </c>
      <c r="HD55" s="281">
        <v>0</v>
      </c>
      <c r="HE55" s="281">
        <v>0</v>
      </c>
      <c r="HF55" s="281">
        <v>0</v>
      </c>
      <c r="HG55" s="281">
        <v>0</v>
      </c>
      <c r="HH55" s="281">
        <v>0</v>
      </c>
      <c r="HI55" s="281">
        <v>0.46392840895300902</v>
      </c>
      <c r="HJ55" s="281">
        <v>0</v>
      </c>
      <c r="HK55" s="281">
        <v>0</v>
      </c>
      <c r="HL55" s="281">
        <v>0</v>
      </c>
      <c r="HM55" s="281">
        <v>0</v>
      </c>
      <c r="HN55" s="281">
        <v>0</v>
      </c>
      <c r="HO55" s="281">
        <v>0</v>
      </c>
      <c r="HP55" s="281">
        <v>0</v>
      </c>
      <c r="HQ55" s="282">
        <v>0.46392840895300902</v>
      </c>
      <c r="HR55" s="280">
        <v>0</v>
      </c>
      <c r="HS55" s="281">
        <v>0</v>
      </c>
      <c r="HT55" s="281">
        <v>0</v>
      </c>
      <c r="HU55" s="281">
        <v>0</v>
      </c>
      <c r="HV55" s="281">
        <v>0</v>
      </c>
      <c r="HW55" s="281">
        <v>0</v>
      </c>
      <c r="HX55" s="281">
        <v>0</v>
      </c>
      <c r="HY55" s="281">
        <v>0</v>
      </c>
      <c r="HZ55" s="281">
        <v>0</v>
      </c>
      <c r="IA55" s="281">
        <v>0</v>
      </c>
      <c r="IB55" s="281">
        <v>0</v>
      </c>
      <c r="IC55" s="281">
        <v>0</v>
      </c>
      <c r="ID55" s="281">
        <v>0.46392840895300902</v>
      </c>
      <c r="IE55" s="281">
        <v>0</v>
      </c>
      <c r="IF55" s="281">
        <v>0</v>
      </c>
      <c r="IG55" s="281">
        <v>0</v>
      </c>
      <c r="IH55" s="281">
        <v>0</v>
      </c>
      <c r="II55" s="281">
        <v>0</v>
      </c>
      <c r="IJ55" s="281">
        <v>0</v>
      </c>
      <c r="IK55" s="282">
        <v>0</v>
      </c>
      <c r="IL55" s="280">
        <v>0</v>
      </c>
      <c r="IM55" s="281">
        <v>0</v>
      </c>
      <c r="IN55" s="281">
        <v>0</v>
      </c>
      <c r="IO55" s="281">
        <v>0</v>
      </c>
      <c r="IP55" s="281">
        <v>0</v>
      </c>
      <c r="IQ55" s="281">
        <v>0</v>
      </c>
      <c r="IR55" s="281">
        <v>0</v>
      </c>
      <c r="IS55" s="281">
        <v>0</v>
      </c>
      <c r="IT55" s="281">
        <v>0</v>
      </c>
      <c r="IU55" s="281">
        <v>0</v>
      </c>
      <c r="IV55" s="281">
        <v>0</v>
      </c>
      <c r="IW55" s="281">
        <v>0</v>
      </c>
      <c r="IX55" s="281">
        <v>0</v>
      </c>
      <c r="IY55" s="281">
        <v>0.46392840895300902</v>
      </c>
      <c r="IZ55" s="281">
        <v>0</v>
      </c>
      <c r="JA55" s="281">
        <v>0</v>
      </c>
      <c r="JB55" s="281">
        <v>0</v>
      </c>
      <c r="JC55" s="281">
        <v>0</v>
      </c>
      <c r="JD55" s="281">
        <v>0</v>
      </c>
      <c r="JE55" s="282">
        <v>0</v>
      </c>
    </row>
    <row r="56" spans="2:265" x14ac:dyDescent="0.25">
      <c r="B56" s="83"/>
      <c r="C56" s="35" t="s">
        <v>205</v>
      </c>
      <c r="D56" s="83" t="s">
        <v>203</v>
      </c>
      <c r="E56" s="83" t="s">
        <v>251</v>
      </c>
      <c r="F56" s="280">
        <v>3.7077195520720002E-2</v>
      </c>
      <c r="G56" s="281">
        <v>3.7077195520720002E-2</v>
      </c>
      <c r="H56" s="281">
        <v>3.7077195520720002E-2</v>
      </c>
      <c r="I56" s="281">
        <v>3.7077195520720002E-2</v>
      </c>
      <c r="J56" s="281">
        <v>3.7077195520720002E-2</v>
      </c>
      <c r="K56" s="281">
        <v>3.7077195520720002E-2</v>
      </c>
      <c r="L56" s="281">
        <v>3.7077195520720002E-2</v>
      </c>
      <c r="M56" s="281">
        <v>3.7077195520720002E-2</v>
      </c>
      <c r="N56" s="281">
        <v>3.7077195520720002E-2</v>
      </c>
      <c r="O56" s="281">
        <v>3.7077195520720002E-2</v>
      </c>
      <c r="P56" s="281">
        <v>3.7077195520720002E-2</v>
      </c>
      <c r="Q56" s="281">
        <v>3.7077195520720002E-2</v>
      </c>
      <c r="R56" s="281">
        <v>3.7077195520720002E-2</v>
      </c>
      <c r="S56" s="281">
        <v>3.7077195520720002E-2</v>
      </c>
      <c r="T56" s="281">
        <v>3.7077195520720002E-2</v>
      </c>
      <c r="U56" s="281">
        <v>3.7077195520720002E-2</v>
      </c>
      <c r="V56" s="281">
        <v>3.7077195520720002E-2</v>
      </c>
      <c r="W56" s="281">
        <v>3.7077195520720002E-2</v>
      </c>
      <c r="X56" s="281">
        <v>3.7077195520720002E-2</v>
      </c>
      <c r="Y56" s="282">
        <v>3.7077195520720002E-2</v>
      </c>
      <c r="Z56" s="280">
        <v>3.7077195520720002E-2</v>
      </c>
      <c r="AA56" s="281">
        <v>3.7077195520720002E-2</v>
      </c>
      <c r="AB56" s="281">
        <v>3.7077195520720002E-2</v>
      </c>
      <c r="AC56" s="281">
        <v>3.7077195520720002E-2</v>
      </c>
      <c r="AD56" s="281">
        <v>3.7077195520720002E-2</v>
      </c>
      <c r="AE56" s="281">
        <v>3.7077195520720002E-2</v>
      </c>
      <c r="AF56" s="281">
        <v>3.7077195520720002E-2</v>
      </c>
      <c r="AG56" s="281">
        <v>3.7077195520720002E-2</v>
      </c>
      <c r="AH56" s="281">
        <v>3.7077195520720002E-2</v>
      </c>
      <c r="AI56" s="281">
        <v>3.7077195520720002E-2</v>
      </c>
      <c r="AJ56" s="281">
        <v>3.7077195520720002E-2</v>
      </c>
      <c r="AK56" s="281">
        <v>3.7077195520720002E-2</v>
      </c>
      <c r="AL56" s="281">
        <v>3.7077195520720002E-2</v>
      </c>
      <c r="AM56" s="281">
        <v>3.7077195520720002E-2</v>
      </c>
      <c r="AN56" s="281">
        <v>3.7077195520720002E-2</v>
      </c>
      <c r="AO56" s="281">
        <v>3.7077195520720002E-2</v>
      </c>
      <c r="AP56" s="281">
        <v>3.7077195520720002E-2</v>
      </c>
      <c r="AQ56" s="281">
        <v>3.7077195520720002E-2</v>
      </c>
      <c r="AR56" s="281">
        <v>3.7077195520720002E-2</v>
      </c>
      <c r="AS56" s="282">
        <v>3.7077195520720002E-2</v>
      </c>
      <c r="AT56" s="280">
        <v>3.7077195520720002E-2</v>
      </c>
      <c r="AU56" s="281">
        <v>3.7077195520720002E-2</v>
      </c>
      <c r="AV56" s="281">
        <v>3.7077195520720002E-2</v>
      </c>
      <c r="AW56" s="281">
        <v>3.7077195520720002E-2</v>
      </c>
      <c r="AX56" s="281">
        <v>3.7077195520720002E-2</v>
      </c>
      <c r="AY56" s="281">
        <v>3.7077195520720002E-2</v>
      </c>
      <c r="AZ56" s="281">
        <v>3.7077195520720002E-2</v>
      </c>
      <c r="BA56" s="281">
        <v>3.7077195520720002E-2</v>
      </c>
      <c r="BB56" s="281">
        <v>3.7077195520720002E-2</v>
      </c>
      <c r="BC56" s="281">
        <v>3.7077195520720002E-2</v>
      </c>
      <c r="BD56" s="281">
        <v>3.7077195520720002E-2</v>
      </c>
      <c r="BE56" s="281">
        <v>3.7077195520720002E-2</v>
      </c>
      <c r="BF56" s="281">
        <v>3.7077195520720002E-2</v>
      </c>
      <c r="BG56" s="281">
        <v>3.7077195520720002E-2</v>
      </c>
      <c r="BH56" s="281">
        <v>3.7077195520720002E-2</v>
      </c>
      <c r="BI56" s="281">
        <v>3.7077195520720002E-2</v>
      </c>
      <c r="BJ56" s="281">
        <v>3.7077195520720002E-2</v>
      </c>
      <c r="BK56" s="281">
        <v>3.7077195520720002E-2</v>
      </c>
      <c r="BL56" s="281">
        <v>3.7077195520720002E-2</v>
      </c>
      <c r="BM56" s="282">
        <v>3.7077195520720002E-2</v>
      </c>
      <c r="BN56" s="280">
        <v>3.7077195520720002E-2</v>
      </c>
      <c r="BO56" s="281">
        <v>3.7077195520720002E-2</v>
      </c>
      <c r="BP56" s="281">
        <v>3.7077195520720002E-2</v>
      </c>
      <c r="BQ56" s="281">
        <v>3.7077195520720002E-2</v>
      </c>
      <c r="BR56" s="281">
        <v>3.7077195520720002E-2</v>
      </c>
      <c r="BS56" s="281">
        <v>3.7077195520720002E-2</v>
      </c>
      <c r="BT56" s="281">
        <v>3.7077195520720002E-2</v>
      </c>
      <c r="BU56" s="281">
        <v>3.7077195520720002E-2</v>
      </c>
      <c r="BV56" s="281">
        <v>3.7077195520720002E-2</v>
      </c>
      <c r="BW56" s="281">
        <v>3.7077195520720002E-2</v>
      </c>
      <c r="BX56" s="281">
        <v>3.7077195520720002E-2</v>
      </c>
      <c r="BY56" s="281">
        <v>3.7077195520720002E-2</v>
      </c>
      <c r="BZ56" s="281">
        <v>3.7077195520720002E-2</v>
      </c>
      <c r="CA56" s="281">
        <v>3.7077195520720002E-2</v>
      </c>
      <c r="CB56" s="281">
        <v>3.7077195520720002E-2</v>
      </c>
      <c r="CC56" s="281">
        <v>3.7077195520720002E-2</v>
      </c>
      <c r="CD56" s="281">
        <v>3.7077195520720002E-2</v>
      </c>
      <c r="CE56" s="281">
        <v>3.7077195520720002E-2</v>
      </c>
      <c r="CF56" s="281">
        <v>3.7077195520720002E-2</v>
      </c>
      <c r="CG56" s="282">
        <v>3.7077195520720002E-2</v>
      </c>
      <c r="CH56" s="280">
        <v>3.7077195520720002E-2</v>
      </c>
      <c r="CI56" s="281">
        <v>3.7077195520720002E-2</v>
      </c>
      <c r="CJ56" s="281">
        <v>3.7077195520720002E-2</v>
      </c>
      <c r="CK56" s="281">
        <v>3.7077195520720002E-2</v>
      </c>
      <c r="CL56" s="281">
        <v>3.7077195520720002E-2</v>
      </c>
      <c r="CM56" s="281">
        <v>3.7077195520720002E-2</v>
      </c>
      <c r="CN56" s="281">
        <v>3.7077195520720002E-2</v>
      </c>
      <c r="CO56" s="281">
        <v>3.7077195520720002E-2</v>
      </c>
      <c r="CP56" s="281">
        <v>3.7077195520720002E-2</v>
      </c>
      <c r="CQ56" s="281">
        <v>3.7077195520720002E-2</v>
      </c>
      <c r="CR56" s="281">
        <v>3.7077195520720002E-2</v>
      </c>
      <c r="CS56" s="281">
        <v>3.7077195520720002E-2</v>
      </c>
      <c r="CT56" s="281">
        <v>3.7077195520720002E-2</v>
      </c>
      <c r="CU56" s="281">
        <v>3.7077195520720002E-2</v>
      </c>
      <c r="CV56" s="281">
        <v>3.7077195520720002E-2</v>
      </c>
      <c r="CW56" s="281">
        <v>3.7077195520720002E-2</v>
      </c>
      <c r="CX56" s="281">
        <v>3.7077195520720002E-2</v>
      </c>
      <c r="CY56" s="281">
        <v>3.7077195520720002E-2</v>
      </c>
      <c r="CZ56" s="281">
        <v>3.7077195520720002E-2</v>
      </c>
      <c r="DA56" s="282">
        <v>3.7077195520720002E-2</v>
      </c>
      <c r="DB56" s="280">
        <v>3.7077195520720002E-2</v>
      </c>
      <c r="DC56" s="281">
        <v>3.7077195520720002E-2</v>
      </c>
      <c r="DD56" s="281">
        <v>3.7077195520720002E-2</v>
      </c>
      <c r="DE56" s="281">
        <v>3.7077195520720002E-2</v>
      </c>
      <c r="DF56" s="281">
        <v>3.7077195520720002E-2</v>
      </c>
      <c r="DG56" s="281">
        <v>3.7077195520720002E-2</v>
      </c>
      <c r="DH56" s="281">
        <v>3.7077195520720002E-2</v>
      </c>
      <c r="DI56" s="281">
        <v>3.7077195520720002E-2</v>
      </c>
      <c r="DJ56" s="281">
        <v>3.7077195520720002E-2</v>
      </c>
      <c r="DK56" s="281">
        <v>3.7077195520720002E-2</v>
      </c>
      <c r="DL56" s="281">
        <v>3.7077195520720002E-2</v>
      </c>
      <c r="DM56" s="281">
        <v>3.7077195520720002E-2</v>
      </c>
      <c r="DN56" s="281">
        <v>3.7077195520720002E-2</v>
      </c>
      <c r="DO56" s="281">
        <v>3.7077195520720002E-2</v>
      </c>
      <c r="DP56" s="281">
        <v>3.7077195520720002E-2</v>
      </c>
      <c r="DQ56" s="281">
        <v>3.7077195520720002E-2</v>
      </c>
      <c r="DR56" s="281">
        <v>3.7077195520720002E-2</v>
      </c>
      <c r="DS56" s="281">
        <v>3.7077195520720002E-2</v>
      </c>
      <c r="DT56" s="281">
        <v>3.7077195520720002E-2</v>
      </c>
      <c r="DU56" s="282">
        <v>3.7077195520720002E-2</v>
      </c>
      <c r="DV56" s="280">
        <v>3.7077195520720002E-2</v>
      </c>
      <c r="DW56" s="281">
        <v>3.7077195520720002E-2</v>
      </c>
      <c r="DX56" s="281">
        <v>3.7077195520720002E-2</v>
      </c>
      <c r="DY56" s="281">
        <v>3.7077195520720002E-2</v>
      </c>
      <c r="DZ56" s="281">
        <v>3.7077195520720002E-2</v>
      </c>
      <c r="EA56" s="281">
        <v>3.7077195520720002E-2</v>
      </c>
      <c r="EB56" s="281">
        <v>3.7077195520720002E-2</v>
      </c>
      <c r="EC56" s="281">
        <v>3.7077195520720002E-2</v>
      </c>
      <c r="ED56" s="281">
        <v>3.7077195520720002E-2</v>
      </c>
      <c r="EE56" s="281">
        <v>3.7077195520720002E-2</v>
      </c>
      <c r="EF56" s="281">
        <v>3.7077195520720002E-2</v>
      </c>
      <c r="EG56" s="281">
        <v>3.7077195520720002E-2</v>
      </c>
      <c r="EH56" s="281">
        <v>3.7077195520720002E-2</v>
      </c>
      <c r="EI56" s="281">
        <v>3.7077195520720002E-2</v>
      </c>
      <c r="EJ56" s="281">
        <v>3.7077195520720002E-2</v>
      </c>
      <c r="EK56" s="281">
        <v>3.7077195520720002E-2</v>
      </c>
      <c r="EL56" s="281">
        <v>3.7077195520720002E-2</v>
      </c>
      <c r="EM56" s="281">
        <v>3.7077195520720002E-2</v>
      </c>
      <c r="EN56" s="281">
        <v>3.7077195520720002E-2</v>
      </c>
      <c r="EO56" s="282">
        <v>3.7077195520720002E-2</v>
      </c>
      <c r="EP56" s="280">
        <v>3.7077195520720002E-2</v>
      </c>
      <c r="EQ56" s="281">
        <v>3.7077195520720002E-2</v>
      </c>
      <c r="ER56" s="281">
        <v>3.7077195520720002E-2</v>
      </c>
      <c r="ES56" s="281">
        <v>3.7077195520720002E-2</v>
      </c>
      <c r="ET56" s="281">
        <v>3.7077195520720002E-2</v>
      </c>
      <c r="EU56" s="281">
        <v>3.7077195520720002E-2</v>
      </c>
      <c r="EV56" s="281">
        <v>3.7077195520720002E-2</v>
      </c>
      <c r="EW56" s="281">
        <v>3.7077195520720002E-2</v>
      </c>
      <c r="EX56" s="281">
        <v>3.7077195520720002E-2</v>
      </c>
      <c r="EY56" s="281">
        <v>3.7077195520720002E-2</v>
      </c>
      <c r="EZ56" s="281">
        <v>3.7077195520720002E-2</v>
      </c>
      <c r="FA56" s="281">
        <v>3.7077195520720002E-2</v>
      </c>
      <c r="FB56" s="281">
        <v>3.7077195520720002E-2</v>
      </c>
      <c r="FC56" s="281">
        <v>3.7077195520720002E-2</v>
      </c>
      <c r="FD56" s="281">
        <v>3.7077195520720002E-2</v>
      </c>
      <c r="FE56" s="281">
        <v>3.7077195520720002E-2</v>
      </c>
      <c r="FF56" s="281">
        <v>3.7077195520720002E-2</v>
      </c>
      <c r="FG56" s="281">
        <v>3.7077195520720002E-2</v>
      </c>
      <c r="FH56" s="281">
        <v>3.7077195520720002E-2</v>
      </c>
      <c r="FI56" s="282">
        <v>3.7077195520720002E-2</v>
      </c>
      <c r="FJ56" s="280">
        <v>3.7077195520720002E-2</v>
      </c>
      <c r="FK56" s="281">
        <v>3.7077195520720002E-2</v>
      </c>
      <c r="FL56" s="281">
        <v>3.7077195520720002E-2</v>
      </c>
      <c r="FM56" s="281">
        <v>3.7077195520720002E-2</v>
      </c>
      <c r="FN56" s="281">
        <v>3.7077195520720002E-2</v>
      </c>
      <c r="FO56" s="281">
        <v>3.7077195520720002E-2</v>
      </c>
      <c r="FP56" s="281">
        <v>3.7077195520720002E-2</v>
      </c>
      <c r="FQ56" s="281">
        <v>3.7077195520720002E-2</v>
      </c>
      <c r="FR56" s="281">
        <v>3.7077195520720002E-2</v>
      </c>
      <c r="FS56" s="281">
        <v>3.7077195520720002E-2</v>
      </c>
      <c r="FT56" s="281">
        <v>3.7077195520720002E-2</v>
      </c>
      <c r="FU56" s="281">
        <v>3.7077195520720002E-2</v>
      </c>
      <c r="FV56" s="281">
        <v>3.7077195520720002E-2</v>
      </c>
      <c r="FW56" s="281">
        <v>3.7077195520720002E-2</v>
      </c>
      <c r="FX56" s="281">
        <v>3.7077195520720002E-2</v>
      </c>
      <c r="FY56" s="281">
        <v>3.7077195520720002E-2</v>
      </c>
      <c r="FZ56" s="281">
        <v>3.7077195520720002E-2</v>
      </c>
      <c r="GA56" s="281">
        <v>3.7077195520720002E-2</v>
      </c>
      <c r="GB56" s="281">
        <v>3.7077195520720002E-2</v>
      </c>
      <c r="GC56" s="282">
        <v>3.7077195520720002E-2</v>
      </c>
      <c r="GD56" s="280">
        <v>3.7077195520720002E-2</v>
      </c>
      <c r="GE56" s="281">
        <v>3.7077195520720002E-2</v>
      </c>
      <c r="GF56" s="281">
        <v>3.7077195520720002E-2</v>
      </c>
      <c r="GG56" s="281">
        <v>3.7077195520720002E-2</v>
      </c>
      <c r="GH56" s="281">
        <v>3.7077195520720002E-2</v>
      </c>
      <c r="GI56" s="281">
        <v>3.7077195520720002E-2</v>
      </c>
      <c r="GJ56" s="281">
        <v>3.7077195520720002E-2</v>
      </c>
      <c r="GK56" s="281">
        <v>3.7077195520720002E-2</v>
      </c>
      <c r="GL56" s="281">
        <v>3.7077195520720002E-2</v>
      </c>
      <c r="GM56" s="281">
        <v>3.7077195520720002E-2</v>
      </c>
      <c r="GN56" s="281">
        <v>3.7077195520720002E-2</v>
      </c>
      <c r="GO56" s="281">
        <v>3.7077195520720002E-2</v>
      </c>
      <c r="GP56" s="281">
        <v>3.7077195520720002E-2</v>
      </c>
      <c r="GQ56" s="281">
        <v>3.7077195520720002E-2</v>
      </c>
      <c r="GR56" s="281">
        <v>3.7077195520720002E-2</v>
      </c>
      <c r="GS56" s="281">
        <v>3.7077195520720002E-2</v>
      </c>
      <c r="GT56" s="281">
        <v>3.7077195520720002E-2</v>
      </c>
      <c r="GU56" s="281">
        <v>3.7077195520720002E-2</v>
      </c>
      <c r="GV56" s="281">
        <v>3.7077195520720002E-2</v>
      </c>
      <c r="GW56" s="282">
        <v>3.7077195520720002E-2</v>
      </c>
      <c r="GX56" s="280">
        <v>3.7077195520720002E-2</v>
      </c>
      <c r="GY56" s="281">
        <v>3.7077195520720002E-2</v>
      </c>
      <c r="GZ56" s="281">
        <v>3.7077195520720002E-2</v>
      </c>
      <c r="HA56" s="281">
        <v>3.7077195520720002E-2</v>
      </c>
      <c r="HB56" s="281">
        <v>3.7077195520720002E-2</v>
      </c>
      <c r="HC56" s="281">
        <v>3.7077195520720002E-2</v>
      </c>
      <c r="HD56" s="281">
        <v>3.7077195520720002E-2</v>
      </c>
      <c r="HE56" s="281">
        <v>3.7077195520720002E-2</v>
      </c>
      <c r="HF56" s="281">
        <v>3.7077195520720002E-2</v>
      </c>
      <c r="HG56" s="281">
        <v>3.7077195520720002E-2</v>
      </c>
      <c r="HH56" s="281">
        <v>3.7077195520720002E-2</v>
      </c>
      <c r="HI56" s="281">
        <v>3.7077195520720002E-2</v>
      </c>
      <c r="HJ56" s="281">
        <v>3.7077195520720002E-2</v>
      </c>
      <c r="HK56" s="281">
        <v>3.7077195520720002E-2</v>
      </c>
      <c r="HL56" s="281">
        <v>3.7077195520720002E-2</v>
      </c>
      <c r="HM56" s="281">
        <v>3.7077195520720002E-2</v>
      </c>
      <c r="HN56" s="281">
        <v>3.7077195520720002E-2</v>
      </c>
      <c r="HO56" s="281">
        <v>3.7077195520720002E-2</v>
      </c>
      <c r="HP56" s="281">
        <v>3.7077195520720002E-2</v>
      </c>
      <c r="HQ56" s="282">
        <v>3.7077195520720002E-2</v>
      </c>
      <c r="HR56" s="280">
        <v>3.7077195520720002E-2</v>
      </c>
      <c r="HS56" s="281">
        <v>3.7077195520720002E-2</v>
      </c>
      <c r="HT56" s="281">
        <v>3.7077195520720002E-2</v>
      </c>
      <c r="HU56" s="281">
        <v>3.7077195520720002E-2</v>
      </c>
      <c r="HV56" s="281">
        <v>3.7077195520720002E-2</v>
      </c>
      <c r="HW56" s="281">
        <v>3.7077195520720002E-2</v>
      </c>
      <c r="HX56" s="281">
        <v>3.7077195520720002E-2</v>
      </c>
      <c r="HY56" s="281">
        <v>3.7077195520720002E-2</v>
      </c>
      <c r="HZ56" s="281">
        <v>3.7077195520720002E-2</v>
      </c>
      <c r="IA56" s="281">
        <v>3.7077195520720002E-2</v>
      </c>
      <c r="IB56" s="281">
        <v>3.7077195520720002E-2</v>
      </c>
      <c r="IC56" s="281">
        <v>3.7077195520720002E-2</v>
      </c>
      <c r="ID56" s="281">
        <v>3.7077195520720002E-2</v>
      </c>
      <c r="IE56" s="281">
        <v>3.7077195520720002E-2</v>
      </c>
      <c r="IF56" s="281">
        <v>3.7077195520720002E-2</v>
      </c>
      <c r="IG56" s="281">
        <v>3.7077195520720002E-2</v>
      </c>
      <c r="IH56" s="281">
        <v>3.7077195520720002E-2</v>
      </c>
      <c r="II56" s="281">
        <v>3.7077195520720002E-2</v>
      </c>
      <c r="IJ56" s="281">
        <v>3.7077195520720002E-2</v>
      </c>
      <c r="IK56" s="282">
        <v>3.7077195520720002E-2</v>
      </c>
      <c r="IL56" s="280">
        <v>3.7077195520720002E-2</v>
      </c>
      <c r="IM56" s="281">
        <v>3.7077195520720002E-2</v>
      </c>
      <c r="IN56" s="281">
        <v>3.7077195520720002E-2</v>
      </c>
      <c r="IO56" s="281">
        <v>3.7077195520720002E-2</v>
      </c>
      <c r="IP56" s="281">
        <v>3.7077195520720002E-2</v>
      </c>
      <c r="IQ56" s="281">
        <v>3.7077195520720002E-2</v>
      </c>
      <c r="IR56" s="281">
        <v>3.7077195520720002E-2</v>
      </c>
      <c r="IS56" s="281">
        <v>3.7077195520720002E-2</v>
      </c>
      <c r="IT56" s="281">
        <v>3.7077195520720002E-2</v>
      </c>
      <c r="IU56" s="281">
        <v>3.7077195520720002E-2</v>
      </c>
      <c r="IV56" s="281">
        <v>3.7077195520720002E-2</v>
      </c>
      <c r="IW56" s="281">
        <v>3.7077195520720002E-2</v>
      </c>
      <c r="IX56" s="281">
        <v>3.7077195520720002E-2</v>
      </c>
      <c r="IY56" s="281">
        <v>3.7077195520720002E-2</v>
      </c>
      <c r="IZ56" s="281">
        <v>3.7077195520720002E-2</v>
      </c>
      <c r="JA56" s="281">
        <v>3.7077195520720002E-2</v>
      </c>
      <c r="JB56" s="281">
        <v>3.7077195520720002E-2</v>
      </c>
      <c r="JC56" s="281">
        <v>3.7077195520720002E-2</v>
      </c>
      <c r="JD56" s="281">
        <v>3.7077195520720002E-2</v>
      </c>
      <c r="JE56" s="282">
        <v>3.7077195520720002E-2</v>
      </c>
    </row>
    <row r="57" spans="2:265" x14ac:dyDescent="0.25">
      <c r="B57" s="83"/>
      <c r="C57" s="59"/>
      <c r="D57" s="138" t="s">
        <v>131</v>
      </c>
      <c r="E57" s="83" t="s">
        <v>251</v>
      </c>
      <c r="F57" s="283">
        <v>3.7077195520720002E-2</v>
      </c>
      <c r="G57" s="284">
        <v>3.7077195520720002E-2</v>
      </c>
      <c r="H57" s="284">
        <v>3.7077195520720002E-2</v>
      </c>
      <c r="I57" s="284">
        <v>3.7077195520720002E-2</v>
      </c>
      <c r="J57" s="284">
        <v>3.7077195520720002E-2</v>
      </c>
      <c r="K57" s="284">
        <v>3.7077195520720002E-2</v>
      </c>
      <c r="L57" s="284">
        <v>3.7077195520720002E-2</v>
      </c>
      <c r="M57" s="284">
        <v>3.7077195520720002E-2</v>
      </c>
      <c r="N57" s="284">
        <v>3.7077195520720002E-2</v>
      </c>
      <c r="O57" s="284">
        <v>6.9862705659916662</v>
      </c>
      <c r="P57" s="284">
        <v>3.7077195520720002E-2</v>
      </c>
      <c r="Q57" s="284">
        <v>3.7077195520720002E-2</v>
      </c>
      <c r="R57" s="284">
        <v>3.7077195520720002E-2</v>
      </c>
      <c r="S57" s="284">
        <v>3.7077195520720002E-2</v>
      </c>
      <c r="T57" s="284">
        <v>3.7077195520720002E-2</v>
      </c>
      <c r="U57" s="284">
        <v>3.7077195520720002E-2</v>
      </c>
      <c r="V57" s="284">
        <v>3.7077195520720002E-2</v>
      </c>
      <c r="W57" s="284">
        <v>0.96493401342673801</v>
      </c>
      <c r="X57" s="284">
        <v>3.7077195520720002E-2</v>
      </c>
      <c r="Y57" s="285">
        <v>3.7077195520720002E-2</v>
      </c>
      <c r="Z57" s="283">
        <v>6.9862705659916662</v>
      </c>
      <c r="AA57" s="284">
        <v>3.7077195520720002E-2</v>
      </c>
      <c r="AB57" s="284">
        <v>3.7077195520720002E-2</v>
      </c>
      <c r="AC57" s="284">
        <v>3.7077195520720002E-2</v>
      </c>
      <c r="AD57" s="284">
        <v>3.7077195520720002E-2</v>
      </c>
      <c r="AE57" s="284">
        <v>3.7077195520720002E-2</v>
      </c>
      <c r="AF57" s="284">
        <v>3.7077195520720002E-2</v>
      </c>
      <c r="AG57" s="284">
        <v>3.7077195520720002E-2</v>
      </c>
      <c r="AH57" s="284">
        <v>0.96493401342673801</v>
      </c>
      <c r="AI57" s="284">
        <v>3.7077195520720002E-2</v>
      </c>
      <c r="AJ57" s="284">
        <v>3.7077195520720002E-2</v>
      </c>
      <c r="AK57" s="284">
        <v>3.7077195520720002E-2</v>
      </c>
      <c r="AL57" s="284">
        <v>3.7077195520720002E-2</v>
      </c>
      <c r="AM57" s="284">
        <v>3.7077195520720002E-2</v>
      </c>
      <c r="AN57" s="284">
        <v>3.7077195520720002E-2</v>
      </c>
      <c r="AO57" s="284">
        <v>3.7077195520720002E-2</v>
      </c>
      <c r="AP57" s="284">
        <v>0.96493401342673801</v>
      </c>
      <c r="AQ57" s="284">
        <v>3.7077195520720002E-2</v>
      </c>
      <c r="AR57" s="284">
        <v>3.7077195520720002E-2</v>
      </c>
      <c r="AS57" s="285">
        <v>3.7077195520720002E-2</v>
      </c>
      <c r="AT57" s="283">
        <v>3.7077195520720002E-2</v>
      </c>
      <c r="AU57" s="284">
        <v>6.9862705659916662</v>
      </c>
      <c r="AV57" s="284">
        <v>3.7077195520720002E-2</v>
      </c>
      <c r="AW57" s="284">
        <v>3.7077195520720002E-2</v>
      </c>
      <c r="AX57" s="284">
        <v>3.7077195520720002E-2</v>
      </c>
      <c r="AY57" s="284">
        <v>3.7077195520720002E-2</v>
      </c>
      <c r="AZ57" s="284">
        <v>3.7077195520720002E-2</v>
      </c>
      <c r="BA57" s="284">
        <v>3.7077195520720002E-2</v>
      </c>
      <c r="BB57" s="284">
        <v>3.7077195520720002E-2</v>
      </c>
      <c r="BC57" s="284">
        <v>0.96493401342673801</v>
      </c>
      <c r="BD57" s="284">
        <v>3.7077195520720002E-2</v>
      </c>
      <c r="BE57" s="284">
        <v>3.7077195520720002E-2</v>
      </c>
      <c r="BF57" s="284">
        <v>3.7077195520720002E-2</v>
      </c>
      <c r="BG57" s="284">
        <v>3.7077195520720002E-2</v>
      </c>
      <c r="BH57" s="284">
        <v>3.7077195520720002E-2</v>
      </c>
      <c r="BI57" s="284">
        <v>3.7077195520720002E-2</v>
      </c>
      <c r="BJ57" s="284">
        <v>3.7077195520720002E-2</v>
      </c>
      <c r="BK57" s="284">
        <v>0.96493401342673801</v>
      </c>
      <c r="BL57" s="284">
        <v>3.7077195520720002E-2</v>
      </c>
      <c r="BM57" s="285">
        <v>3.7077195520720002E-2</v>
      </c>
      <c r="BN57" s="283">
        <v>3.7077195520720002E-2</v>
      </c>
      <c r="BO57" s="284">
        <v>3.7077195520720002E-2</v>
      </c>
      <c r="BP57" s="284">
        <v>6.9862705659916662</v>
      </c>
      <c r="BQ57" s="284">
        <v>3.7077195520720002E-2</v>
      </c>
      <c r="BR57" s="284">
        <v>3.7077195520720002E-2</v>
      </c>
      <c r="BS57" s="284">
        <v>3.7077195520720002E-2</v>
      </c>
      <c r="BT57" s="284">
        <v>3.7077195520720002E-2</v>
      </c>
      <c r="BU57" s="284">
        <v>3.7077195520720002E-2</v>
      </c>
      <c r="BV57" s="284">
        <v>3.7077195520720002E-2</v>
      </c>
      <c r="BW57" s="284">
        <v>3.7077195520720002E-2</v>
      </c>
      <c r="BX57" s="284">
        <v>0.96493401342673801</v>
      </c>
      <c r="BY57" s="284">
        <v>3.7077195520720002E-2</v>
      </c>
      <c r="BZ57" s="284">
        <v>3.7077195520720002E-2</v>
      </c>
      <c r="CA57" s="284">
        <v>3.7077195520720002E-2</v>
      </c>
      <c r="CB57" s="284">
        <v>3.7077195520720002E-2</v>
      </c>
      <c r="CC57" s="284">
        <v>3.7077195520720002E-2</v>
      </c>
      <c r="CD57" s="284">
        <v>3.7077195520720002E-2</v>
      </c>
      <c r="CE57" s="284">
        <v>3.7077195520720002E-2</v>
      </c>
      <c r="CF57" s="284">
        <v>0.96493401342673801</v>
      </c>
      <c r="CG57" s="285">
        <v>3.7077195520720002E-2</v>
      </c>
      <c r="CH57" s="283">
        <v>3.7077195520720002E-2</v>
      </c>
      <c r="CI57" s="284">
        <v>3.7077195520720002E-2</v>
      </c>
      <c r="CJ57" s="284">
        <v>3.7077195520720002E-2</v>
      </c>
      <c r="CK57" s="284">
        <v>6.9862705659916662</v>
      </c>
      <c r="CL57" s="284">
        <v>3.7077195520720002E-2</v>
      </c>
      <c r="CM57" s="284">
        <v>3.7077195520720002E-2</v>
      </c>
      <c r="CN57" s="284">
        <v>3.7077195520720002E-2</v>
      </c>
      <c r="CO57" s="284">
        <v>3.7077195520720002E-2</v>
      </c>
      <c r="CP57" s="284">
        <v>3.7077195520720002E-2</v>
      </c>
      <c r="CQ57" s="284">
        <v>3.7077195520720002E-2</v>
      </c>
      <c r="CR57" s="284">
        <v>3.7077195520720002E-2</v>
      </c>
      <c r="CS57" s="284">
        <v>0.96493401342673801</v>
      </c>
      <c r="CT57" s="284">
        <v>3.7077195520720002E-2</v>
      </c>
      <c r="CU57" s="284">
        <v>3.7077195520720002E-2</v>
      </c>
      <c r="CV57" s="284">
        <v>3.7077195520720002E-2</v>
      </c>
      <c r="CW57" s="284">
        <v>3.7077195520720002E-2</v>
      </c>
      <c r="CX57" s="284">
        <v>3.7077195520720002E-2</v>
      </c>
      <c r="CY57" s="284">
        <v>3.7077195520720002E-2</v>
      </c>
      <c r="CZ57" s="284">
        <v>3.7077195520720002E-2</v>
      </c>
      <c r="DA57" s="285">
        <v>0.96493401342673801</v>
      </c>
      <c r="DB57" s="283">
        <v>3.7077195520720002E-2</v>
      </c>
      <c r="DC57" s="284">
        <v>3.7077195520720002E-2</v>
      </c>
      <c r="DD57" s="284">
        <v>3.7077195520720002E-2</v>
      </c>
      <c r="DE57" s="284">
        <v>3.7077195520720002E-2</v>
      </c>
      <c r="DF57" s="284">
        <v>6.9862705659916662</v>
      </c>
      <c r="DG57" s="284">
        <v>3.7077195520720002E-2</v>
      </c>
      <c r="DH57" s="284">
        <v>3.7077195520720002E-2</v>
      </c>
      <c r="DI57" s="284">
        <v>3.7077195520720002E-2</v>
      </c>
      <c r="DJ57" s="284">
        <v>3.7077195520720002E-2</v>
      </c>
      <c r="DK57" s="284">
        <v>3.7077195520720002E-2</v>
      </c>
      <c r="DL57" s="284">
        <v>3.7077195520720002E-2</v>
      </c>
      <c r="DM57" s="284">
        <v>3.7077195520720002E-2</v>
      </c>
      <c r="DN57" s="284">
        <v>0.96493401342673801</v>
      </c>
      <c r="DO57" s="284">
        <v>3.7077195520720002E-2</v>
      </c>
      <c r="DP57" s="284">
        <v>3.7077195520720002E-2</v>
      </c>
      <c r="DQ57" s="284">
        <v>3.7077195520720002E-2</v>
      </c>
      <c r="DR57" s="284">
        <v>3.7077195520720002E-2</v>
      </c>
      <c r="DS57" s="284">
        <v>3.7077195520720002E-2</v>
      </c>
      <c r="DT57" s="284">
        <v>3.7077195520720002E-2</v>
      </c>
      <c r="DU57" s="285">
        <v>3.7077195520720002E-2</v>
      </c>
      <c r="DV57" s="283">
        <v>3.7077195520720002E-2</v>
      </c>
      <c r="DW57" s="284">
        <v>3.7077195520720002E-2</v>
      </c>
      <c r="DX57" s="284">
        <v>3.7077195520720002E-2</v>
      </c>
      <c r="DY57" s="284">
        <v>3.7077195520720002E-2</v>
      </c>
      <c r="DZ57" s="284">
        <v>3.7077195520720002E-2</v>
      </c>
      <c r="EA57" s="284">
        <v>6.9862705659916662</v>
      </c>
      <c r="EB57" s="284">
        <v>3.7077195520720002E-2</v>
      </c>
      <c r="EC57" s="284">
        <v>3.7077195520720002E-2</v>
      </c>
      <c r="ED57" s="284">
        <v>3.7077195520720002E-2</v>
      </c>
      <c r="EE57" s="284">
        <v>3.7077195520720002E-2</v>
      </c>
      <c r="EF57" s="284">
        <v>3.7077195520720002E-2</v>
      </c>
      <c r="EG57" s="284">
        <v>3.7077195520720002E-2</v>
      </c>
      <c r="EH57" s="284">
        <v>3.7077195520720002E-2</v>
      </c>
      <c r="EI57" s="284">
        <v>0.96493401342673801</v>
      </c>
      <c r="EJ57" s="284">
        <v>3.7077195520720002E-2</v>
      </c>
      <c r="EK57" s="284">
        <v>3.7077195520720002E-2</v>
      </c>
      <c r="EL57" s="284">
        <v>3.7077195520720002E-2</v>
      </c>
      <c r="EM57" s="284">
        <v>3.7077195520720002E-2</v>
      </c>
      <c r="EN57" s="284">
        <v>3.7077195520720002E-2</v>
      </c>
      <c r="EO57" s="285">
        <v>3.7077195520720002E-2</v>
      </c>
      <c r="EP57" s="283">
        <v>0.50100560447372899</v>
      </c>
      <c r="EQ57" s="284">
        <v>3.7077195520720002E-2</v>
      </c>
      <c r="ER57" s="284">
        <v>3.7077195520720002E-2</v>
      </c>
      <c r="ES57" s="284">
        <v>3.7077195520720002E-2</v>
      </c>
      <c r="ET57" s="284">
        <v>3.7077195520720002E-2</v>
      </c>
      <c r="EU57" s="284">
        <v>3.7077195520720002E-2</v>
      </c>
      <c r="EV57" s="284">
        <v>3.7077195520720002E-2</v>
      </c>
      <c r="EW57" s="284">
        <v>3.7077195520720002E-2</v>
      </c>
      <c r="EX57" s="284">
        <v>0.50100560447372899</v>
      </c>
      <c r="EY57" s="284">
        <v>3.7077195520720002E-2</v>
      </c>
      <c r="EZ57" s="284">
        <v>3.7077195520720002E-2</v>
      </c>
      <c r="FA57" s="284">
        <v>3.7077195520720002E-2</v>
      </c>
      <c r="FB57" s="284">
        <v>3.7077195520720002E-2</v>
      </c>
      <c r="FC57" s="284">
        <v>3.7077195520720002E-2</v>
      </c>
      <c r="FD57" s="284">
        <v>3.7077195520720002E-2</v>
      </c>
      <c r="FE57" s="284">
        <v>3.7077195520720002E-2</v>
      </c>
      <c r="FF57" s="284">
        <v>0.50100560447372899</v>
      </c>
      <c r="FG57" s="284">
        <v>3.7077195520720002E-2</v>
      </c>
      <c r="FH57" s="284">
        <v>3.7077195520720002E-2</v>
      </c>
      <c r="FI57" s="285">
        <v>3.7077195520720002E-2</v>
      </c>
      <c r="FJ57" s="283">
        <v>3.7077195520720002E-2</v>
      </c>
      <c r="FK57" s="284">
        <v>0.50100560447372899</v>
      </c>
      <c r="FL57" s="284">
        <v>3.7077195520720002E-2</v>
      </c>
      <c r="FM57" s="284">
        <v>3.7077195520720002E-2</v>
      </c>
      <c r="FN57" s="284">
        <v>3.7077195520720002E-2</v>
      </c>
      <c r="FO57" s="284">
        <v>3.7077195520720002E-2</v>
      </c>
      <c r="FP57" s="284">
        <v>3.7077195520720002E-2</v>
      </c>
      <c r="FQ57" s="284">
        <v>3.7077195520720002E-2</v>
      </c>
      <c r="FR57" s="284">
        <v>3.7077195520720002E-2</v>
      </c>
      <c r="FS57" s="284">
        <v>0.50100560447372899</v>
      </c>
      <c r="FT57" s="284">
        <v>3.7077195520720002E-2</v>
      </c>
      <c r="FU57" s="284">
        <v>3.7077195520720002E-2</v>
      </c>
      <c r="FV57" s="284">
        <v>3.7077195520720002E-2</v>
      </c>
      <c r="FW57" s="284">
        <v>3.7077195520720002E-2</v>
      </c>
      <c r="FX57" s="284">
        <v>3.7077195520720002E-2</v>
      </c>
      <c r="FY57" s="284">
        <v>3.7077195520720002E-2</v>
      </c>
      <c r="FZ57" s="284">
        <v>3.7077195520720002E-2</v>
      </c>
      <c r="GA57" s="284">
        <v>0.50100560447372899</v>
      </c>
      <c r="GB57" s="284">
        <v>3.7077195520720002E-2</v>
      </c>
      <c r="GC57" s="285">
        <v>3.7077195520720002E-2</v>
      </c>
      <c r="GD57" s="283">
        <v>3.7077195520720002E-2</v>
      </c>
      <c r="GE57" s="284">
        <v>3.7077195520720002E-2</v>
      </c>
      <c r="GF57" s="284">
        <v>0.50100560447372899</v>
      </c>
      <c r="GG57" s="284">
        <v>3.7077195520720002E-2</v>
      </c>
      <c r="GH57" s="284">
        <v>3.7077195520720002E-2</v>
      </c>
      <c r="GI57" s="284">
        <v>3.7077195520720002E-2</v>
      </c>
      <c r="GJ57" s="284">
        <v>3.7077195520720002E-2</v>
      </c>
      <c r="GK57" s="284">
        <v>3.7077195520720002E-2</v>
      </c>
      <c r="GL57" s="284">
        <v>3.7077195520720002E-2</v>
      </c>
      <c r="GM57" s="284">
        <v>3.7077195520720002E-2</v>
      </c>
      <c r="GN57" s="284">
        <v>0.50100560447372899</v>
      </c>
      <c r="GO57" s="284">
        <v>3.7077195520720002E-2</v>
      </c>
      <c r="GP57" s="284">
        <v>3.7077195520720002E-2</v>
      </c>
      <c r="GQ57" s="284">
        <v>3.7077195520720002E-2</v>
      </c>
      <c r="GR57" s="284">
        <v>3.7077195520720002E-2</v>
      </c>
      <c r="GS57" s="284">
        <v>3.7077195520720002E-2</v>
      </c>
      <c r="GT57" s="284">
        <v>3.7077195520720002E-2</v>
      </c>
      <c r="GU57" s="284">
        <v>3.7077195520720002E-2</v>
      </c>
      <c r="GV57" s="284">
        <v>0.50100560447372899</v>
      </c>
      <c r="GW57" s="285">
        <v>3.7077195520720002E-2</v>
      </c>
      <c r="GX57" s="283">
        <v>3.7077195520720002E-2</v>
      </c>
      <c r="GY57" s="284">
        <v>3.7077195520720002E-2</v>
      </c>
      <c r="GZ57" s="284">
        <v>3.7077195520720002E-2</v>
      </c>
      <c r="HA57" s="284">
        <v>0.50100560447372899</v>
      </c>
      <c r="HB57" s="284">
        <v>3.7077195520720002E-2</v>
      </c>
      <c r="HC57" s="284">
        <v>3.7077195520720002E-2</v>
      </c>
      <c r="HD57" s="284">
        <v>3.7077195520720002E-2</v>
      </c>
      <c r="HE57" s="284">
        <v>3.7077195520720002E-2</v>
      </c>
      <c r="HF57" s="284">
        <v>3.7077195520720002E-2</v>
      </c>
      <c r="HG57" s="284">
        <v>3.7077195520720002E-2</v>
      </c>
      <c r="HH57" s="284">
        <v>3.7077195520720002E-2</v>
      </c>
      <c r="HI57" s="284">
        <v>0.50100560447372899</v>
      </c>
      <c r="HJ57" s="284">
        <v>3.7077195520720002E-2</v>
      </c>
      <c r="HK57" s="284">
        <v>3.7077195520720002E-2</v>
      </c>
      <c r="HL57" s="284">
        <v>3.7077195520720002E-2</v>
      </c>
      <c r="HM57" s="284">
        <v>3.7077195520720002E-2</v>
      </c>
      <c r="HN57" s="284">
        <v>3.7077195520720002E-2</v>
      </c>
      <c r="HO57" s="284">
        <v>3.7077195520720002E-2</v>
      </c>
      <c r="HP57" s="284">
        <v>3.7077195520720002E-2</v>
      </c>
      <c r="HQ57" s="285">
        <v>0.50100560447372899</v>
      </c>
      <c r="HR57" s="283">
        <v>3.7077195520720002E-2</v>
      </c>
      <c r="HS57" s="284">
        <v>3.7077195520720002E-2</v>
      </c>
      <c r="HT57" s="284">
        <v>3.7077195520720002E-2</v>
      </c>
      <c r="HU57" s="284">
        <v>3.7077195520720002E-2</v>
      </c>
      <c r="HV57" s="284">
        <v>0.50100560447372899</v>
      </c>
      <c r="HW57" s="284">
        <v>3.7077195520720002E-2</v>
      </c>
      <c r="HX57" s="284">
        <v>3.7077195520720002E-2</v>
      </c>
      <c r="HY57" s="284">
        <v>3.7077195520720002E-2</v>
      </c>
      <c r="HZ57" s="284">
        <v>3.7077195520720002E-2</v>
      </c>
      <c r="IA57" s="284">
        <v>3.7077195520720002E-2</v>
      </c>
      <c r="IB57" s="284">
        <v>3.7077195520720002E-2</v>
      </c>
      <c r="IC57" s="284">
        <v>3.7077195520720002E-2</v>
      </c>
      <c r="ID57" s="284">
        <v>0.50100560447372899</v>
      </c>
      <c r="IE57" s="284">
        <v>3.7077195520720002E-2</v>
      </c>
      <c r="IF57" s="284">
        <v>3.7077195520720002E-2</v>
      </c>
      <c r="IG57" s="284">
        <v>3.7077195520720002E-2</v>
      </c>
      <c r="IH57" s="284">
        <v>3.7077195520720002E-2</v>
      </c>
      <c r="II57" s="284">
        <v>3.7077195520720002E-2</v>
      </c>
      <c r="IJ57" s="284">
        <v>3.7077195520720002E-2</v>
      </c>
      <c r="IK57" s="285">
        <v>3.7077195520720002E-2</v>
      </c>
      <c r="IL57" s="283">
        <v>3.7077195520720002E-2</v>
      </c>
      <c r="IM57" s="284">
        <v>3.7077195520720002E-2</v>
      </c>
      <c r="IN57" s="284">
        <v>3.7077195520720002E-2</v>
      </c>
      <c r="IO57" s="284">
        <v>3.7077195520720002E-2</v>
      </c>
      <c r="IP57" s="284">
        <v>3.7077195520720002E-2</v>
      </c>
      <c r="IQ57" s="284">
        <v>0.50100560447372899</v>
      </c>
      <c r="IR57" s="284">
        <v>3.7077195520720002E-2</v>
      </c>
      <c r="IS57" s="284">
        <v>3.7077195520720002E-2</v>
      </c>
      <c r="IT57" s="284">
        <v>3.7077195520720002E-2</v>
      </c>
      <c r="IU57" s="284">
        <v>3.7077195520720002E-2</v>
      </c>
      <c r="IV57" s="284">
        <v>3.7077195520720002E-2</v>
      </c>
      <c r="IW57" s="284">
        <v>3.7077195520720002E-2</v>
      </c>
      <c r="IX57" s="284">
        <v>3.7077195520720002E-2</v>
      </c>
      <c r="IY57" s="284">
        <v>0.50100560447372899</v>
      </c>
      <c r="IZ57" s="284">
        <v>3.7077195520720002E-2</v>
      </c>
      <c r="JA57" s="284">
        <v>3.7077195520720002E-2</v>
      </c>
      <c r="JB57" s="284">
        <v>3.7077195520720002E-2</v>
      </c>
      <c r="JC57" s="284">
        <v>3.7077195520720002E-2</v>
      </c>
      <c r="JD57" s="284">
        <v>3.7077195520720002E-2</v>
      </c>
      <c r="JE57" s="285">
        <v>3.7077195520720002E-2</v>
      </c>
    </row>
    <row r="58" spans="2:265" x14ac:dyDescent="0.25">
      <c r="B58" s="83"/>
      <c r="C58" s="22" t="s">
        <v>208</v>
      </c>
      <c r="D58" s="83" t="s">
        <v>202</v>
      </c>
      <c r="E58" s="82" t="s">
        <v>251</v>
      </c>
      <c r="F58" s="280">
        <v>0</v>
      </c>
      <c r="G58" s="281">
        <v>0</v>
      </c>
      <c r="H58" s="281">
        <v>0</v>
      </c>
      <c r="I58" s="281">
        <v>0</v>
      </c>
      <c r="J58" s="281">
        <v>0</v>
      </c>
      <c r="K58" s="281">
        <v>0</v>
      </c>
      <c r="L58" s="281">
        <v>0</v>
      </c>
      <c r="M58" s="281">
        <v>0</v>
      </c>
      <c r="N58" s="281">
        <v>0</v>
      </c>
      <c r="O58" s="281">
        <v>6.3237659671285611</v>
      </c>
      <c r="P58" s="281">
        <v>0</v>
      </c>
      <c r="Q58" s="281">
        <v>0</v>
      </c>
      <c r="R58" s="281">
        <v>0</v>
      </c>
      <c r="S58" s="281">
        <v>0</v>
      </c>
      <c r="T58" s="281">
        <v>0</v>
      </c>
      <c r="U58" s="281">
        <v>0</v>
      </c>
      <c r="V58" s="281">
        <v>0</v>
      </c>
      <c r="W58" s="281">
        <v>0</v>
      </c>
      <c r="X58" s="281">
        <v>0</v>
      </c>
      <c r="Y58" s="282">
        <v>0</v>
      </c>
      <c r="Z58" s="280">
        <v>6.3237659671285611</v>
      </c>
      <c r="AA58" s="281">
        <v>0</v>
      </c>
      <c r="AB58" s="281">
        <v>0</v>
      </c>
      <c r="AC58" s="281">
        <v>0</v>
      </c>
      <c r="AD58" s="281">
        <v>0</v>
      </c>
      <c r="AE58" s="281">
        <v>0</v>
      </c>
      <c r="AF58" s="281">
        <v>0</v>
      </c>
      <c r="AG58" s="281">
        <v>0</v>
      </c>
      <c r="AH58" s="281">
        <v>0</v>
      </c>
      <c r="AI58" s="281">
        <v>0</v>
      </c>
      <c r="AJ58" s="281">
        <v>0</v>
      </c>
      <c r="AK58" s="281">
        <v>0</v>
      </c>
      <c r="AL58" s="281">
        <v>0</v>
      </c>
      <c r="AM58" s="281">
        <v>0</v>
      </c>
      <c r="AN58" s="281">
        <v>0</v>
      </c>
      <c r="AO58" s="281">
        <v>0</v>
      </c>
      <c r="AP58" s="281">
        <v>0</v>
      </c>
      <c r="AQ58" s="281">
        <v>0</v>
      </c>
      <c r="AR58" s="281">
        <v>0</v>
      </c>
      <c r="AS58" s="282">
        <v>0</v>
      </c>
      <c r="AT58" s="280">
        <v>0</v>
      </c>
      <c r="AU58" s="281">
        <v>6.3237659671285611</v>
      </c>
      <c r="AV58" s="281">
        <v>0</v>
      </c>
      <c r="AW58" s="281">
        <v>0</v>
      </c>
      <c r="AX58" s="281">
        <v>0</v>
      </c>
      <c r="AY58" s="281">
        <v>0</v>
      </c>
      <c r="AZ58" s="281">
        <v>0</v>
      </c>
      <c r="BA58" s="281">
        <v>0</v>
      </c>
      <c r="BB58" s="281">
        <v>0</v>
      </c>
      <c r="BC58" s="281">
        <v>0</v>
      </c>
      <c r="BD58" s="281">
        <v>0</v>
      </c>
      <c r="BE58" s="281">
        <v>0</v>
      </c>
      <c r="BF58" s="281">
        <v>0</v>
      </c>
      <c r="BG58" s="281">
        <v>0</v>
      </c>
      <c r="BH58" s="281">
        <v>0</v>
      </c>
      <c r="BI58" s="281">
        <v>0</v>
      </c>
      <c r="BJ58" s="281">
        <v>0</v>
      </c>
      <c r="BK58" s="281">
        <v>0</v>
      </c>
      <c r="BL58" s="281">
        <v>0</v>
      </c>
      <c r="BM58" s="282">
        <v>0</v>
      </c>
      <c r="BN58" s="280">
        <v>0</v>
      </c>
      <c r="BO58" s="281">
        <v>0</v>
      </c>
      <c r="BP58" s="281">
        <v>6.3237659671285611</v>
      </c>
      <c r="BQ58" s="281">
        <v>0</v>
      </c>
      <c r="BR58" s="281">
        <v>0</v>
      </c>
      <c r="BS58" s="281">
        <v>0</v>
      </c>
      <c r="BT58" s="281">
        <v>0</v>
      </c>
      <c r="BU58" s="281">
        <v>0</v>
      </c>
      <c r="BV58" s="281">
        <v>0</v>
      </c>
      <c r="BW58" s="281">
        <v>0</v>
      </c>
      <c r="BX58" s="281">
        <v>0</v>
      </c>
      <c r="BY58" s="281">
        <v>0</v>
      </c>
      <c r="BZ58" s="281">
        <v>0</v>
      </c>
      <c r="CA58" s="281">
        <v>0</v>
      </c>
      <c r="CB58" s="281">
        <v>0</v>
      </c>
      <c r="CC58" s="281">
        <v>0</v>
      </c>
      <c r="CD58" s="281">
        <v>0</v>
      </c>
      <c r="CE58" s="281">
        <v>0</v>
      </c>
      <c r="CF58" s="281">
        <v>0</v>
      </c>
      <c r="CG58" s="282">
        <v>0</v>
      </c>
      <c r="CH58" s="280">
        <v>0</v>
      </c>
      <c r="CI58" s="281">
        <v>0</v>
      </c>
      <c r="CJ58" s="281">
        <v>0</v>
      </c>
      <c r="CK58" s="281">
        <v>6.3237659671285611</v>
      </c>
      <c r="CL58" s="281">
        <v>0</v>
      </c>
      <c r="CM58" s="281">
        <v>0</v>
      </c>
      <c r="CN58" s="281">
        <v>0</v>
      </c>
      <c r="CO58" s="281">
        <v>0</v>
      </c>
      <c r="CP58" s="281">
        <v>0</v>
      </c>
      <c r="CQ58" s="281">
        <v>0</v>
      </c>
      <c r="CR58" s="281">
        <v>0</v>
      </c>
      <c r="CS58" s="281">
        <v>0</v>
      </c>
      <c r="CT58" s="281">
        <v>0</v>
      </c>
      <c r="CU58" s="281">
        <v>0</v>
      </c>
      <c r="CV58" s="281">
        <v>0</v>
      </c>
      <c r="CW58" s="281">
        <v>0</v>
      </c>
      <c r="CX58" s="281">
        <v>0</v>
      </c>
      <c r="CY58" s="281">
        <v>0</v>
      </c>
      <c r="CZ58" s="281">
        <v>0</v>
      </c>
      <c r="DA58" s="282">
        <v>0</v>
      </c>
      <c r="DB58" s="280">
        <v>0</v>
      </c>
      <c r="DC58" s="281">
        <v>0</v>
      </c>
      <c r="DD58" s="281">
        <v>0</v>
      </c>
      <c r="DE58" s="281">
        <v>0</v>
      </c>
      <c r="DF58" s="281">
        <v>6.3237659671285611</v>
      </c>
      <c r="DG58" s="281">
        <v>0</v>
      </c>
      <c r="DH58" s="281">
        <v>0</v>
      </c>
      <c r="DI58" s="281">
        <v>0</v>
      </c>
      <c r="DJ58" s="281">
        <v>0</v>
      </c>
      <c r="DK58" s="281">
        <v>0</v>
      </c>
      <c r="DL58" s="281">
        <v>0</v>
      </c>
      <c r="DM58" s="281">
        <v>0</v>
      </c>
      <c r="DN58" s="281">
        <v>0</v>
      </c>
      <c r="DO58" s="281">
        <v>0</v>
      </c>
      <c r="DP58" s="281">
        <v>0</v>
      </c>
      <c r="DQ58" s="281">
        <v>0</v>
      </c>
      <c r="DR58" s="281">
        <v>0</v>
      </c>
      <c r="DS58" s="281">
        <v>0</v>
      </c>
      <c r="DT58" s="281">
        <v>0</v>
      </c>
      <c r="DU58" s="282">
        <v>0</v>
      </c>
      <c r="DV58" s="280">
        <v>0</v>
      </c>
      <c r="DW58" s="281">
        <v>0</v>
      </c>
      <c r="DX58" s="281">
        <v>0</v>
      </c>
      <c r="DY58" s="281">
        <v>0</v>
      </c>
      <c r="DZ58" s="281">
        <v>0</v>
      </c>
      <c r="EA58" s="281">
        <v>6.3237659671285611</v>
      </c>
      <c r="EB58" s="281">
        <v>0</v>
      </c>
      <c r="EC58" s="281">
        <v>0</v>
      </c>
      <c r="ED58" s="281">
        <v>0</v>
      </c>
      <c r="EE58" s="281">
        <v>0</v>
      </c>
      <c r="EF58" s="281">
        <v>0</v>
      </c>
      <c r="EG58" s="281">
        <v>0</v>
      </c>
      <c r="EH58" s="281">
        <v>0</v>
      </c>
      <c r="EI58" s="281">
        <v>0</v>
      </c>
      <c r="EJ58" s="281">
        <v>0</v>
      </c>
      <c r="EK58" s="281">
        <v>0</v>
      </c>
      <c r="EL58" s="281">
        <v>0</v>
      </c>
      <c r="EM58" s="281">
        <v>0</v>
      </c>
      <c r="EN58" s="281">
        <v>0</v>
      </c>
      <c r="EO58" s="282">
        <v>0</v>
      </c>
      <c r="EP58" s="280">
        <v>0.42217485214723821</v>
      </c>
      <c r="EQ58" s="281">
        <v>0</v>
      </c>
      <c r="ER58" s="281">
        <v>0</v>
      </c>
      <c r="ES58" s="281">
        <v>0</v>
      </c>
      <c r="ET58" s="281">
        <v>0</v>
      </c>
      <c r="EU58" s="281">
        <v>0</v>
      </c>
      <c r="EV58" s="281">
        <v>0</v>
      </c>
      <c r="EW58" s="281">
        <v>0</v>
      </c>
      <c r="EX58" s="281">
        <v>0</v>
      </c>
      <c r="EY58" s="281">
        <v>0</v>
      </c>
      <c r="EZ58" s="281">
        <v>0</v>
      </c>
      <c r="FA58" s="281">
        <v>0</v>
      </c>
      <c r="FB58" s="281">
        <v>0</v>
      </c>
      <c r="FC58" s="281">
        <v>0</v>
      </c>
      <c r="FD58" s="281">
        <v>0</v>
      </c>
      <c r="FE58" s="281">
        <v>0</v>
      </c>
      <c r="FF58" s="281">
        <v>0</v>
      </c>
      <c r="FG58" s="281">
        <v>0</v>
      </c>
      <c r="FH58" s="281">
        <v>0</v>
      </c>
      <c r="FI58" s="282">
        <v>0</v>
      </c>
      <c r="FJ58" s="280">
        <v>0</v>
      </c>
      <c r="FK58" s="281">
        <v>0.42217485214723821</v>
      </c>
      <c r="FL58" s="281">
        <v>0</v>
      </c>
      <c r="FM58" s="281">
        <v>0</v>
      </c>
      <c r="FN58" s="281">
        <v>0</v>
      </c>
      <c r="FO58" s="281">
        <v>0</v>
      </c>
      <c r="FP58" s="281">
        <v>0</v>
      </c>
      <c r="FQ58" s="281">
        <v>0</v>
      </c>
      <c r="FR58" s="281">
        <v>0</v>
      </c>
      <c r="FS58" s="281">
        <v>0</v>
      </c>
      <c r="FT58" s="281">
        <v>0</v>
      </c>
      <c r="FU58" s="281">
        <v>0</v>
      </c>
      <c r="FV58" s="281">
        <v>0</v>
      </c>
      <c r="FW58" s="281">
        <v>0</v>
      </c>
      <c r="FX58" s="281">
        <v>0</v>
      </c>
      <c r="FY58" s="281">
        <v>0</v>
      </c>
      <c r="FZ58" s="281">
        <v>0</v>
      </c>
      <c r="GA58" s="281">
        <v>0</v>
      </c>
      <c r="GB58" s="281">
        <v>0</v>
      </c>
      <c r="GC58" s="282">
        <v>0</v>
      </c>
      <c r="GD58" s="280">
        <v>0</v>
      </c>
      <c r="GE58" s="281">
        <v>0</v>
      </c>
      <c r="GF58" s="281">
        <v>0.42217485214723821</v>
      </c>
      <c r="GG58" s="281">
        <v>0</v>
      </c>
      <c r="GH58" s="281">
        <v>0</v>
      </c>
      <c r="GI58" s="281">
        <v>0</v>
      </c>
      <c r="GJ58" s="281">
        <v>0</v>
      </c>
      <c r="GK58" s="281">
        <v>0</v>
      </c>
      <c r="GL58" s="281">
        <v>0</v>
      </c>
      <c r="GM58" s="281">
        <v>0</v>
      </c>
      <c r="GN58" s="281">
        <v>0</v>
      </c>
      <c r="GO58" s="281">
        <v>0</v>
      </c>
      <c r="GP58" s="281">
        <v>0</v>
      </c>
      <c r="GQ58" s="281">
        <v>0</v>
      </c>
      <c r="GR58" s="281">
        <v>0</v>
      </c>
      <c r="GS58" s="281">
        <v>0</v>
      </c>
      <c r="GT58" s="281">
        <v>0</v>
      </c>
      <c r="GU58" s="281">
        <v>0</v>
      </c>
      <c r="GV58" s="281">
        <v>0</v>
      </c>
      <c r="GW58" s="282">
        <v>0</v>
      </c>
      <c r="GX58" s="280">
        <v>0</v>
      </c>
      <c r="GY58" s="281">
        <v>0</v>
      </c>
      <c r="GZ58" s="281">
        <v>0</v>
      </c>
      <c r="HA58" s="281">
        <v>0.42217485214723821</v>
      </c>
      <c r="HB58" s="281">
        <v>0</v>
      </c>
      <c r="HC58" s="281">
        <v>0</v>
      </c>
      <c r="HD58" s="281">
        <v>0</v>
      </c>
      <c r="HE58" s="281">
        <v>0</v>
      </c>
      <c r="HF58" s="281">
        <v>0</v>
      </c>
      <c r="HG58" s="281">
        <v>0</v>
      </c>
      <c r="HH58" s="281">
        <v>0</v>
      </c>
      <c r="HI58" s="281">
        <v>0</v>
      </c>
      <c r="HJ58" s="281">
        <v>0</v>
      </c>
      <c r="HK58" s="281">
        <v>0</v>
      </c>
      <c r="HL58" s="281">
        <v>0</v>
      </c>
      <c r="HM58" s="281">
        <v>0</v>
      </c>
      <c r="HN58" s="281">
        <v>0</v>
      </c>
      <c r="HO58" s="281">
        <v>0</v>
      </c>
      <c r="HP58" s="281">
        <v>0</v>
      </c>
      <c r="HQ58" s="282">
        <v>0</v>
      </c>
      <c r="HR58" s="280">
        <v>0</v>
      </c>
      <c r="HS58" s="281">
        <v>0</v>
      </c>
      <c r="HT58" s="281">
        <v>0</v>
      </c>
      <c r="HU58" s="281">
        <v>0</v>
      </c>
      <c r="HV58" s="281">
        <v>0.42217485214723821</v>
      </c>
      <c r="HW58" s="281">
        <v>0</v>
      </c>
      <c r="HX58" s="281">
        <v>0</v>
      </c>
      <c r="HY58" s="281">
        <v>0</v>
      </c>
      <c r="HZ58" s="281">
        <v>0</v>
      </c>
      <c r="IA58" s="281">
        <v>0</v>
      </c>
      <c r="IB58" s="281">
        <v>0</v>
      </c>
      <c r="IC58" s="281">
        <v>0</v>
      </c>
      <c r="ID58" s="281">
        <v>0</v>
      </c>
      <c r="IE58" s="281">
        <v>0</v>
      </c>
      <c r="IF58" s="281">
        <v>0</v>
      </c>
      <c r="IG58" s="281">
        <v>0</v>
      </c>
      <c r="IH58" s="281">
        <v>0</v>
      </c>
      <c r="II58" s="281">
        <v>0</v>
      </c>
      <c r="IJ58" s="281">
        <v>0</v>
      </c>
      <c r="IK58" s="282">
        <v>0</v>
      </c>
      <c r="IL58" s="280">
        <v>0</v>
      </c>
      <c r="IM58" s="281">
        <v>0</v>
      </c>
      <c r="IN58" s="281">
        <v>0</v>
      </c>
      <c r="IO58" s="281">
        <v>0</v>
      </c>
      <c r="IP58" s="281">
        <v>0</v>
      </c>
      <c r="IQ58" s="281">
        <v>0.42217485214723821</v>
      </c>
      <c r="IR58" s="281">
        <v>0</v>
      </c>
      <c r="IS58" s="281">
        <v>0</v>
      </c>
      <c r="IT58" s="281">
        <v>0</v>
      </c>
      <c r="IU58" s="281">
        <v>0</v>
      </c>
      <c r="IV58" s="281">
        <v>0</v>
      </c>
      <c r="IW58" s="281">
        <v>0</v>
      </c>
      <c r="IX58" s="281">
        <v>0</v>
      </c>
      <c r="IY58" s="281">
        <v>0</v>
      </c>
      <c r="IZ58" s="281">
        <v>0</v>
      </c>
      <c r="JA58" s="281">
        <v>0</v>
      </c>
      <c r="JB58" s="281">
        <v>0</v>
      </c>
      <c r="JC58" s="281">
        <v>0</v>
      </c>
      <c r="JD58" s="281">
        <v>0</v>
      </c>
      <c r="JE58" s="282">
        <v>0</v>
      </c>
    </row>
    <row r="59" spans="2:265" x14ac:dyDescent="0.25">
      <c r="B59" s="83"/>
      <c r="C59" s="35" t="s">
        <v>206</v>
      </c>
      <c r="D59" s="83" t="s">
        <v>321</v>
      </c>
      <c r="E59" s="83" t="s">
        <v>251</v>
      </c>
      <c r="F59" s="280">
        <v>0</v>
      </c>
      <c r="G59" s="281">
        <v>0</v>
      </c>
      <c r="H59" s="281">
        <v>0</v>
      </c>
      <c r="I59" s="281">
        <v>0</v>
      </c>
      <c r="J59" s="281">
        <v>0</v>
      </c>
      <c r="K59" s="281">
        <v>0</v>
      </c>
      <c r="L59" s="281">
        <v>0</v>
      </c>
      <c r="M59" s="281">
        <v>0</v>
      </c>
      <c r="N59" s="281">
        <v>0</v>
      </c>
      <c r="O59" s="281">
        <v>0</v>
      </c>
      <c r="P59" s="281">
        <v>0</v>
      </c>
      <c r="Q59" s="281">
        <v>0</v>
      </c>
      <c r="R59" s="281">
        <v>0</v>
      </c>
      <c r="S59" s="281">
        <v>0</v>
      </c>
      <c r="T59" s="281">
        <v>0</v>
      </c>
      <c r="U59" s="281">
        <v>0</v>
      </c>
      <c r="V59" s="281">
        <v>0</v>
      </c>
      <c r="W59" s="281">
        <v>0.84434970429447642</v>
      </c>
      <c r="X59" s="281">
        <v>0</v>
      </c>
      <c r="Y59" s="282">
        <v>0</v>
      </c>
      <c r="Z59" s="280">
        <v>0</v>
      </c>
      <c r="AA59" s="281">
        <v>0</v>
      </c>
      <c r="AB59" s="281">
        <v>0</v>
      </c>
      <c r="AC59" s="281">
        <v>0</v>
      </c>
      <c r="AD59" s="281">
        <v>0</v>
      </c>
      <c r="AE59" s="281">
        <v>0</v>
      </c>
      <c r="AF59" s="281">
        <v>0</v>
      </c>
      <c r="AG59" s="281">
        <v>0</v>
      </c>
      <c r="AH59" s="281">
        <v>0.84434970429447642</v>
      </c>
      <c r="AI59" s="281">
        <v>0</v>
      </c>
      <c r="AJ59" s="281">
        <v>0</v>
      </c>
      <c r="AK59" s="281">
        <v>0</v>
      </c>
      <c r="AL59" s="281">
        <v>0</v>
      </c>
      <c r="AM59" s="281">
        <v>0</v>
      </c>
      <c r="AN59" s="281">
        <v>0</v>
      </c>
      <c r="AO59" s="281">
        <v>0</v>
      </c>
      <c r="AP59" s="281">
        <v>0.84434970429447642</v>
      </c>
      <c r="AQ59" s="281">
        <v>0</v>
      </c>
      <c r="AR59" s="281">
        <v>0</v>
      </c>
      <c r="AS59" s="282">
        <v>0</v>
      </c>
      <c r="AT59" s="280">
        <v>0</v>
      </c>
      <c r="AU59" s="281">
        <v>0</v>
      </c>
      <c r="AV59" s="281">
        <v>0</v>
      </c>
      <c r="AW59" s="281">
        <v>0</v>
      </c>
      <c r="AX59" s="281">
        <v>0</v>
      </c>
      <c r="AY59" s="281">
        <v>0</v>
      </c>
      <c r="AZ59" s="281">
        <v>0</v>
      </c>
      <c r="BA59" s="281">
        <v>0</v>
      </c>
      <c r="BB59" s="281">
        <v>0</v>
      </c>
      <c r="BC59" s="281">
        <v>0.84434970429447642</v>
      </c>
      <c r="BD59" s="281">
        <v>0</v>
      </c>
      <c r="BE59" s="281">
        <v>0</v>
      </c>
      <c r="BF59" s="281">
        <v>0</v>
      </c>
      <c r="BG59" s="281">
        <v>0</v>
      </c>
      <c r="BH59" s="281">
        <v>0</v>
      </c>
      <c r="BI59" s="281">
        <v>0</v>
      </c>
      <c r="BJ59" s="281">
        <v>0</v>
      </c>
      <c r="BK59" s="281">
        <v>0.84434970429447642</v>
      </c>
      <c r="BL59" s="281">
        <v>0</v>
      </c>
      <c r="BM59" s="282">
        <v>0</v>
      </c>
      <c r="BN59" s="280">
        <v>0</v>
      </c>
      <c r="BO59" s="281">
        <v>0</v>
      </c>
      <c r="BP59" s="281">
        <v>0</v>
      </c>
      <c r="BQ59" s="281">
        <v>0</v>
      </c>
      <c r="BR59" s="281">
        <v>0</v>
      </c>
      <c r="BS59" s="281">
        <v>0</v>
      </c>
      <c r="BT59" s="281">
        <v>0</v>
      </c>
      <c r="BU59" s="281">
        <v>0</v>
      </c>
      <c r="BV59" s="281">
        <v>0</v>
      </c>
      <c r="BW59" s="281">
        <v>0</v>
      </c>
      <c r="BX59" s="281">
        <v>0.84434970429447642</v>
      </c>
      <c r="BY59" s="281">
        <v>0</v>
      </c>
      <c r="BZ59" s="281">
        <v>0</v>
      </c>
      <c r="CA59" s="281">
        <v>0</v>
      </c>
      <c r="CB59" s="281">
        <v>0</v>
      </c>
      <c r="CC59" s="281">
        <v>0</v>
      </c>
      <c r="CD59" s="281">
        <v>0</v>
      </c>
      <c r="CE59" s="281">
        <v>0</v>
      </c>
      <c r="CF59" s="281">
        <v>0.84434970429447642</v>
      </c>
      <c r="CG59" s="282">
        <v>0</v>
      </c>
      <c r="CH59" s="280">
        <v>0</v>
      </c>
      <c r="CI59" s="281">
        <v>0</v>
      </c>
      <c r="CJ59" s="281">
        <v>0</v>
      </c>
      <c r="CK59" s="281">
        <v>0</v>
      </c>
      <c r="CL59" s="281">
        <v>0</v>
      </c>
      <c r="CM59" s="281">
        <v>0</v>
      </c>
      <c r="CN59" s="281">
        <v>0</v>
      </c>
      <c r="CO59" s="281">
        <v>0</v>
      </c>
      <c r="CP59" s="281">
        <v>0</v>
      </c>
      <c r="CQ59" s="281">
        <v>0</v>
      </c>
      <c r="CR59" s="281">
        <v>0</v>
      </c>
      <c r="CS59" s="281">
        <v>0.84434970429447642</v>
      </c>
      <c r="CT59" s="281">
        <v>0</v>
      </c>
      <c r="CU59" s="281">
        <v>0</v>
      </c>
      <c r="CV59" s="281">
        <v>0</v>
      </c>
      <c r="CW59" s="281">
        <v>0</v>
      </c>
      <c r="CX59" s="281">
        <v>0</v>
      </c>
      <c r="CY59" s="281">
        <v>0</v>
      </c>
      <c r="CZ59" s="281">
        <v>0</v>
      </c>
      <c r="DA59" s="282">
        <v>0.84434970429447642</v>
      </c>
      <c r="DB59" s="280">
        <v>0</v>
      </c>
      <c r="DC59" s="281">
        <v>0</v>
      </c>
      <c r="DD59" s="281">
        <v>0</v>
      </c>
      <c r="DE59" s="281">
        <v>0</v>
      </c>
      <c r="DF59" s="281">
        <v>0</v>
      </c>
      <c r="DG59" s="281">
        <v>0</v>
      </c>
      <c r="DH59" s="281">
        <v>0</v>
      </c>
      <c r="DI59" s="281">
        <v>0</v>
      </c>
      <c r="DJ59" s="281">
        <v>0</v>
      </c>
      <c r="DK59" s="281">
        <v>0</v>
      </c>
      <c r="DL59" s="281">
        <v>0</v>
      </c>
      <c r="DM59" s="281">
        <v>0</v>
      </c>
      <c r="DN59" s="281">
        <v>0.84434970429447642</v>
      </c>
      <c r="DO59" s="281">
        <v>0</v>
      </c>
      <c r="DP59" s="281">
        <v>0</v>
      </c>
      <c r="DQ59" s="281">
        <v>0</v>
      </c>
      <c r="DR59" s="281">
        <v>0</v>
      </c>
      <c r="DS59" s="281">
        <v>0</v>
      </c>
      <c r="DT59" s="281">
        <v>0</v>
      </c>
      <c r="DU59" s="282">
        <v>0</v>
      </c>
      <c r="DV59" s="280">
        <v>0</v>
      </c>
      <c r="DW59" s="281">
        <v>0</v>
      </c>
      <c r="DX59" s="281">
        <v>0</v>
      </c>
      <c r="DY59" s="281">
        <v>0</v>
      </c>
      <c r="DZ59" s="281">
        <v>0</v>
      </c>
      <c r="EA59" s="281">
        <v>0</v>
      </c>
      <c r="EB59" s="281">
        <v>0</v>
      </c>
      <c r="EC59" s="281">
        <v>0</v>
      </c>
      <c r="ED59" s="281">
        <v>0</v>
      </c>
      <c r="EE59" s="281">
        <v>0</v>
      </c>
      <c r="EF59" s="281">
        <v>0</v>
      </c>
      <c r="EG59" s="281">
        <v>0</v>
      </c>
      <c r="EH59" s="281">
        <v>0</v>
      </c>
      <c r="EI59" s="281">
        <v>0.84434970429447642</v>
      </c>
      <c r="EJ59" s="281">
        <v>0</v>
      </c>
      <c r="EK59" s="281">
        <v>0</v>
      </c>
      <c r="EL59" s="281">
        <v>0</v>
      </c>
      <c r="EM59" s="281">
        <v>0</v>
      </c>
      <c r="EN59" s="281">
        <v>0</v>
      </c>
      <c r="EO59" s="282">
        <v>0</v>
      </c>
      <c r="EP59" s="280">
        <v>0</v>
      </c>
      <c r="EQ59" s="281">
        <v>0</v>
      </c>
      <c r="ER59" s="281">
        <v>0</v>
      </c>
      <c r="ES59" s="281">
        <v>0</v>
      </c>
      <c r="ET59" s="281">
        <v>0</v>
      </c>
      <c r="EU59" s="281">
        <v>0</v>
      </c>
      <c r="EV59" s="281">
        <v>0</v>
      </c>
      <c r="EW59" s="281">
        <v>0</v>
      </c>
      <c r="EX59" s="281">
        <v>0.42217485214723821</v>
      </c>
      <c r="EY59" s="281">
        <v>0</v>
      </c>
      <c r="EZ59" s="281">
        <v>0</v>
      </c>
      <c r="FA59" s="281">
        <v>0</v>
      </c>
      <c r="FB59" s="281">
        <v>0</v>
      </c>
      <c r="FC59" s="281">
        <v>0</v>
      </c>
      <c r="FD59" s="281">
        <v>0</v>
      </c>
      <c r="FE59" s="281">
        <v>0</v>
      </c>
      <c r="FF59" s="281">
        <v>0.42217485214723821</v>
      </c>
      <c r="FG59" s="281">
        <v>0</v>
      </c>
      <c r="FH59" s="281">
        <v>0</v>
      </c>
      <c r="FI59" s="282">
        <v>0</v>
      </c>
      <c r="FJ59" s="280">
        <v>0</v>
      </c>
      <c r="FK59" s="281">
        <v>0</v>
      </c>
      <c r="FL59" s="281">
        <v>0</v>
      </c>
      <c r="FM59" s="281">
        <v>0</v>
      </c>
      <c r="FN59" s="281">
        <v>0</v>
      </c>
      <c r="FO59" s="281">
        <v>0</v>
      </c>
      <c r="FP59" s="281">
        <v>0</v>
      </c>
      <c r="FQ59" s="281">
        <v>0</v>
      </c>
      <c r="FR59" s="281">
        <v>0</v>
      </c>
      <c r="FS59" s="281">
        <v>0.42217485214723821</v>
      </c>
      <c r="FT59" s="281">
        <v>0</v>
      </c>
      <c r="FU59" s="281">
        <v>0</v>
      </c>
      <c r="FV59" s="281">
        <v>0</v>
      </c>
      <c r="FW59" s="281">
        <v>0</v>
      </c>
      <c r="FX59" s="281">
        <v>0</v>
      </c>
      <c r="FY59" s="281">
        <v>0</v>
      </c>
      <c r="FZ59" s="281">
        <v>0</v>
      </c>
      <c r="GA59" s="281">
        <v>0.42217485214723821</v>
      </c>
      <c r="GB59" s="281">
        <v>0</v>
      </c>
      <c r="GC59" s="282">
        <v>0</v>
      </c>
      <c r="GD59" s="280">
        <v>0</v>
      </c>
      <c r="GE59" s="281">
        <v>0</v>
      </c>
      <c r="GF59" s="281">
        <v>0</v>
      </c>
      <c r="GG59" s="281">
        <v>0</v>
      </c>
      <c r="GH59" s="281">
        <v>0</v>
      </c>
      <c r="GI59" s="281">
        <v>0</v>
      </c>
      <c r="GJ59" s="281">
        <v>0</v>
      </c>
      <c r="GK59" s="281">
        <v>0</v>
      </c>
      <c r="GL59" s="281">
        <v>0</v>
      </c>
      <c r="GM59" s="281">
        <v>0</v>
      </c>
      <c r="GN59" s="281">
        <v>0.42217485214723821</v>
      </c>
      <c r="GO59" s="281">
        <v>0</v>
      </c>
      <c r="GP59" s="281">
        <v>0</v>
      </c>
      <c r="GQ59" s="281">
        <v>0</v>
      </c>
      <c r="GR59" s="281">
        <v>0</v>
      </c>
      <c r="GS59" s="281">
        <v>0</v>
      </c>
      <c r="GT59" s="281">
        <v>0</v>
      </c>
      <c r="GU59" s="281">
        <v>0</v>
      </c>
      <c r="GV59" s="281">
        <v>0.42217485214723821</v>
      </c>
      <c r="GW59" s="282">
        <v>0</v>
      </c>
      <c r="GX59" s="280">
        <v>0</v>
      </c>
      <c r="GY59" s="281">
        <v>0</v>
      </c>
      <c r="GZ59" s="281">
        <v>0</v>
      </c>
      <c r="HA59" s="281">
        <v>0</v>
      </c>
      <c r="HB59" s="281">
        <v>0</v>
      </c>
      <c r="HC59" s="281">
        <v>0</v>
      </c>
      <c r="HD59" s="281">
        <v>0</v>
      </c>
      <c r="HE59" s="281">
        <v>0</v>
      </c>
      <c r="HF59" s="281">
        <v>0</v>
      </c>
      <c r="HG59" s="281">
        <v>0</v>
      </c>
      <c r="HH59" s="281">
        <v>0</v>
      </c>
      <c r="HI59" s="281">
        <v>0.42217485214723821</v>
      </c>
      <c r="HJ59" s="281">
        <v>0</v>
      </c>
      <c r="HK59" s="281">
        <v>0</v>
      </c>
      <c r="HL59" s="281">
        <v>0</v>
      </c>
      <c r="HM59" s="281">
        <v>0</v>
      </c>
      <c r="HN59" s="281">
        <v>0</v>
      </c>
      <c r="HO59" s="281">
        <v>0</v>
      </c>
      <c r="HP59" s="281">
        <v>0</v>
      </c>
      <c r="HQ59" s="282">
        <v>0.42217485214723821</v>
      </c>
      <c r="HR59" s="280">
        <v>0</v>
      </c>
      <c r="HS59" s="281">
        <v>0</v>
      </c>
      <c r="HT59" s="281">
        <v>0</v>
      </c>
      <c r="HU59" s="281">
        <v>0</v>
      </c>
      <c r="HV59" s="281">
        <v>0</v>
      </c>
      <c r="HW59" s="281">
        <v>0</v>
      </c>
      <c r="HX59" s="281">
        <v>0</v>
      </c>
      <c r="HY59" s="281">
        <v>0</v>
      </c>
      <c r="HZ59" s="281">
        <v>0</v>
      </c>
      <c r="IA59" s="281">
        <v>0</v>
      </c>
      <c r="IB59" s="281">
        <v>0</v>
      </c>
      <c r="IC59" s="281">
        <v>0</v>
      </c>
      <c r="ID59" s="281">
        <v>0.42217485214723821</v>
      </c>
      <c r="IE59" s="281">
        <v>0</v>
      </c>
      <c r="IF59" s="281">
        <v>0</v>
      </c>
      <c r="IG59" s="281">
        <v>0</v>
      </c>
      <c r="IH59" s="281">
        <v>0</v>
      </c>
      <c r="II59" s="281">
        <v>0</v>
      </c>
      <c r="IJ59" s="281">
        <v>0</v>
      </c>
      <c r="IK59" s="282">
        <v>0</v>
      </c>
      <c r="IL59" s="280">
        <v>0</v>
      </c>
      <c r="IM59" s="281">
        <v>0</v>
      </c>
      <c r="IN59" s="281">
        <v>0</v>
      </c>
      <c r="IO59" s="281">
        <v>0</v>
      </c>
      <c r="IP59" s="281">
        <v>0</v>
      </c>
      <c r="IQ59" s="281">
        <v>0</v>
      </c>
      <c r="IR59" s="281">
        <v>0</v>
      </c>
      <c r="IS59" s="281">
        <v>0</v>
      </c>
      <c r="IT59" s="281">
        <v>0</v>
      </c>
      <c r="IU59" s="281">
        <v>0</v>
      </c>
      <c r="IV59" s="281">
        <v>0</v>
      </c>
      <c r="IW59" s="281">
        <v>0</v>
      </c>
      <c r="IX59" s="281">
        <v>0</v>
      </c>
      <c r="IY59" s="281">
        <v>0.42217485214723821</v>
      </c>
      <c r="IZ59" s="281">
        <v>0</v>
      </c>
      <c r="JA59" s="281">
        <v>0</v>
      </c>
      <c r="JB59" s="281">
        <v>0</v>
      </c>
      <c r="JC59" s="281">
        <v>0</v>
      </c>
      <c r="JD59" s="281">
        <v>0</v>
      </c>
      <c r="JE59" s="282">
        <v>0</v>
      </c>
    </row>
    <row r="60" spans="2:265" x14ac:dyDescent="0.25">
      <c r="B60" s="83"/>
      <c r="C60" s="35" t="s">
        <v>205</v>
      </c>
      <c r="D60" s="83" t="s">
        <v>203</v>
      </c>
      <c r="E60" s="83" t="s">
        <v>251</v>
      </c>
      <c r="F60" s="280">
        <v>3.3740247923855202E-2</v>
      </c>
      <c r="G60" s="281">
        <v>3.3740247923855202E-2</v>
      </c>
      <c r="H60" s="281">
        <v>3.3740247923855202E-2</v>
      </c>
      <c r="I60" s="281">
        <v>3.3740247923855202E-2</v>
      </c>
      <c r="J60" s="281">
        <v>3.3740247923855202E-2</v>
      </c>
      <c r="K60" s="281">
        <v>3.3740247923855202E-2</v>
      </c>
      <c r="L60" s="281">
        <v>3.3740247923855202E-2</v>
      </c>
      <c r="M60" s="281">
        <v>3.3740247923855202E-2</v>
      </c>
      <c r="N60" s="281">
        <v>3.3740247923855202E-2</v>
      </c>
      <c r="O60" s="281">
        <v>3.3740247923855202E-2</v>
      </c>
      <c r="P60" s="281">
        <v>3.3740247923855202E-2</v>
      </c>
      <c r="Q60" s="281">
        <v>3.3740247923855202E-2</v>
      </c>
      <c r="R60" s="281">
        <v>3.3740247923855202E-2</v>
      </c>
      <c r="S60" s="281">
        <v>3.3740247923855202E-2</v>
      </c>
      <c r="T60" s="281">
        <v>3.3740247923855202E-2</v>
      </c>
      <c r="U60" s="281">
        <v>3.3740247923855202E-2</v>
      </c>
      <c r="V60" s="281">
        <v>3.3740247923855202E-2</v>
      </c>
      <c r="W60" s="281">
        <v>3.3740247923855202E-2</v>
      </c>
      <c r="X60" s="281">
        <v>3.3740247923855202E-2</v>
      </c>
      <c r="Y60" s="282">
        <v>3.3740247923855202E-2</v>
      </c>
      <c r="Z60" s="280">
        <v>3.3740247923855202E-2</v>
      </c>
      <c r="AA60" s="281">
        <v>3.3740247923855202E-2</v>
      </c>
      <c r="AB60" s="281">
        <v>3.3740247923855202E-2</v>
      </c>
      <c r="AC60" s="281">
        <v>3.3740247923855202E-2</v>
      </c>
      <c r="AD60" s="281">
        <v>3.3740247923855202E-2</v>
      </c>
      <c r="AE60" s="281">
        <v>3.3740247923855202E-2</v>
      </c>
      <c r="AF60" s="281">
        <v>3.3740247923855202E-2</v>
      </c>
      <c r="AG60" s="281">
        <v>3.3740247923855202E-2</v>
      </c>
      <c r="AH60" s="281">
        <v>3.3740247923855202E-2</v>
      </c>
      <c r="AI60" s="281">
        <v>3.3740247923855202E-2</v>
      </c>
      <c r="AJ60" s="281">
        <v>3.3740247923855202E-2</v>
      </c>
      <c r="AK60" s="281">
        <v>3.3740247923855202E-2</v>
      </c>
      <c r="AL60" s="281">
        <v>3.3740247923855202E-2</v>
      </c>
      <c r="AM60" s="281">
        <v>3.3740247923855202E-2</v>
      </c>
      <c r="AN60" s="281">
        <v>3.3740247923855202E-2</v>
      </c>
      <c r="AO60" s="281">
        <v>3.3740247923855202E-2</v>
      </c>
      <c r="AP60" s="281">
        <v>3.3740247923855202E-2</v>
      </c>
      <c r="AQ60" s="281">
        <v>3.3740247923855202E-2</v>
      </c>
      <c r="AR60" s="281">
        <v>3.3740247923855202E-2</v>
      </c>
      <c r="AS60" s="282">
        <v>3.3740247923855202E-2</v>
      </c>
      <c r="AT60" s="280">
        <v>3.3740247923855202E-2</v>
      </c>
      <c r="AU60" s="281">
        <v>3.3740247923855202E-2</v>
      </c>
      <c r="AV60" s="281">
        <v>3.3740247923855202E-2</v>
      </c>
      <c r="AW60" s="281">
        <v>3.3740247923855202E-2</v>
      </c>
      <c r="AX60" s="281">
        <v>3.3740247923855202E-2</v>
      </c>
      <c r="AY60" s="281">
        <v>3.3740247923855202E-2</v>
      </c>
      <c r="AZ60" s="281">
        <v>3.3740247923855202E-2</v>
      </c>
      <c r="BA60" s="281">
        <v>3.3740247923855202E-2</v>
      </c>
      <c r="BB60" s="281">
        <v>3.3740247923855202E-2</v>
      </c>
      <c r="BC60" s="281">
        <v>3.3740247923855202E-2</v>
      </c>
      <c r="BD60" s="281">
        <v>3.3740247923855202E-2</v>
      </c>
      <c r="BE60" s="281">
        <v>3.3740247923855202E-2</v>
      </c>
      <c r="BF60" s="281">
        <v>3.3740247923855202E-2</v>
      </c>
      <c r="BG60" s="281">
        <v>3.3740247923855202E-2</v>
      </c>
      <c r="BH60" s="281">
        <v>3.3740247923855202E-2</v>
      </c>
      <c r="BI60" s="281">
        <v>3.3740247923855202E-2</v>
      </c>
      <c r="BJ60" s="281">
        <v>3.3740247923855202E-2</v>
      </c>
      <c r="BK60" s="281">
        <v>3.3740247923855202E-2</v>
      </c>
      <c r="BL60" s="281">
        <v>3.3740247923855202E-2</v>
      </c>
      <c r="BM60" s="282">
        <v>3.3740247923855202E-2</v>
      </c>
      <c r="BN60" s="280">
        <v>3.3740247923855202E-2</v>
      </c>
      <c r="BO60" s="281">
        <v>3.3740247923855202E-2</v>
      </c>
      <c r="BP60" s="281">
        <v>3.3740247923855202E-2</v>
      </c>
      <c r="BQ60" s="281">
        <v>3.3740247923855202E-2</v>
      </c>
      <c r="BR60" s="281">
        <v>3.3740247923855202E-2</v>
      </c>
      <c r="BS60" s="281">
        <v>3.3740247923855202E-2</v>
      </c>
      <c r="BT60" s="281">
        <v>3.3740247923855202E-2</v>
      </c>
      <c r="BU60" s="281">
        <v>3.3740247923855202E-2</v>
      </c>
      <c r="BV60" s="281">
        <v>3.3740247923855202E-2</v>
      </c>
      <c r="BW60" s="281">
        <v>3.3740247923855202E-2</v>
      </c>
      <c r="BX60" s="281">
        <v>3.3740247923855202E-2</v>
      </c>
      <c r="BY60" s="281">
        <v>3.3740247923855202E-2</v>
      </c>
      <c r="BZ60" s="281">
        <v>3.3740247923855202E-2</v>
      </c>
      <c r="CA60" s="281">
        <v>3.3740247923855202E-2</v>
      </c>
      <c r="CB60" s="281">
        <v>3.3740247923855202E-2</v>
      </c>
      <c r="CC60" s="281">
        <v>3.3740247923855202E-2</v>
      </c>
      <c r="CD60" s="281">
        <v>3.3740247923855202E-2</v>
      </c>
      <c r="CE60" s="281">
        <v>3.3740247923855202E-2</v>
      </c>
      <c r="CF60" s="281">
        <v>3.3740247923855202E-2</v>
      </c>
      <c r="CG60" s="282">
        <v>3.3740247923855202E-2</v>
      </c>
      <c r="CH60" s="280">
        <v>3.3740247923855202E-2</v>
      </c>
      <c r="CI60" s="281">
        <v>3.3740247923855202E-2</v>
      </c>
      <c r="CJ60" s="281">
        <v>3.3740247923855202E-2</v>
      </c>
      <c r="CK60" s="281">
        <v>3.3740247923855202E-2</v>
      </c>
      <c r="CL60" s="281">
        <v>3.3740247923855202E-2</v>
      </c>
      <c r="CM60" s="281">
        <v>3.3740247923855202E-2</v>
      </c>
      <c r="CN60" s="281">
        <v>3.3740247923855202E-2</v>
      </c>
      <c r="CO60" s="281">
        <v>3.3740247923855202E-2</v>
      </c>
      <c r="CP60" s="281">
        <v>3.3740247923855202E-2</v>
      </c>
      <c r="CQ60" s="281">
        <v>3.3740247923855202E-2</v>
      </c>
      <c r="CR60" s="281">
        <v>3.3740247923855202E-2</v>
      </c>
      <c r="CS60" s="281">
        <v>3.3740247923855202E-2</v>
      </c>
      <c r="CT60" s="281">
        <v>3.3740247923855202E-2</v>
      </c>
      <c r="CU60" s="281">
        <v>3.3740247923855202E-2</v>
      </c>
      <c r="CV60" s="281">
        <v>3.3740247923855202E-2</v>
      </c>
      <c r="CW60" s="281">
        <v>3.3740247923855202E-2</v>
      </c>
      <c r="CX60" s="281">
        <v>3.3740247923855202E-2</v>
      </c>
      <c r="CY60" s="281">
        <v>3.3740247923855202E-2</v>
      </c>
      <c r="CZ60" s="281">
        <v>3.3740247923855202E-2</v>
      </c>
      <c r="DA60" s="282">
        <v>3.3740247923855202E-2</v>
      </c>
      <c r="DB60" s="280">
        <v>3.3740247923855202E-2</v>
      </c>
      <c r="DC60" s="281">
        <v>3.3740247923855202E-2</v>
      </c>
      <c r="DD60" s="281">
        <v>3.3740247923855202E-2</v>
      </c>
      <c r="DE60" s="281">
        <v>3.3740247923855202E-2</v>
      </c>
      <c r="DF60" s="281">
        <v>3.3740247923855202E-2</v>
      </c>
      <c r="DG60" s="281">
        <v>3.3740247923855202E-2</v>
      </c>
      <c r="DH60" s="281">
        <v>3.3740247923855202E-2</v>
      </c>
      <c r="DI60" s="281">
        <v>3.3740247923855202E-2</v>
      </c>
      <c r="DJ60" s="281">
        <v>3.3740247923855202E-2</v>
      </c>
      <c r="DK60" s="281">
        <v>3.3740247923855202E-2</v>
      </c>
      <c r="DL60" s="281">
        <v>3.3740247923855202E-2</v>
      </c>
      <c r="DM60" s="281">
        <v>3.3740247923855202E-2</v>
      </c>
      <c r="DN60" s="281">
        <v>3.3740247923855202E-2</v>
      </c>
      <c r="DO60" s="281">
        <v>3.3740247923855202E-2</v>
      </c>
      <c r="DP60" s="281">
        <v>3.3740247923855202E-2</v>
      </c>
      <c r="DQ60" s="281">
        <v>3.3740247923855202E-2</v>
      </c>
      <c r="DR60" s="281">
        <v>3.3740247923855202E-2</v>
      </c>
      <c r="DS60" s="281">
        <v>3.3740247923855202E-2</v>
      </c>
      <c r="DT60" s="281">
        <v>3.3740247923855202E-2</v>
      </c>
      <c r="DU60" s="282">
        <v>3.3740247923855202E-2</v>
      </c>
      <c r="DV60" s="280">
        <v>3.3740247923855202E-2</v>
      </c>
      <c r="DW60" s="281">
        <v>3.3740247923855202E-2</v>
      </c>
      <c r="DX60" s="281">
        <v>3.3740247923855202E-2</v>
      </c>
      <c r="DY60" s="281">
        <v>3.3740247923855202E-2</v>
      </c>
      <c r="DZ60" s="281">
        <v>3.3740247923855202E-2</v>
      </c>
      <c r="EA60" s="281">
        <v>3.3740247923855202E-2</v>
      </c>
      <c r="EB60" s="281">
        <v>3.3740247923855202E-2</v>
      </c>
      <c r="EC60" s="281">
        <v>3.3740247923855202E-2</v>
      </c>
      <c r="ED60" s="281">
        <v>3.3740247923855202E-2</v>
      </c>
      <c r="EE60" s="281">
        <v>3.3740247923855202E-2</v>
      </c>
      <c r="EF60" s="281">
        <v>3.3740247923855202E-2</v>
      </c>
      <c r="EG60" s="281">
        <v>3.3740247923855202E-2</v>
      </c>
      <c r="EH60" s="281">
        <v>3.3740247923855202E-2</v>
      </c>
      <c r="EI60" s="281">
        <v>3.3740247923855202E-2</v>
      </c>
      <c r="EJ60" s="281">
        <v>3.3740247923855202E-2</v>
      </c>
      <c r="EK60" s="281">
        <v>3.3740247923855202E-2</v>
      </c>
      <c r="EL60" s="281">
        <v>3.3740247923855202E-2</v>
      </c>
      <c r="EM60" s="281">
        <v>3.3740247923855202E-2</v>
      </c>
      <c r="EN60" s="281">
        <v>3.3740247923855202E-2</v>
      </c>
      <c r="EO60" s="282">
        <v>3.3740247923855202E-2</v>
      </c>
      <c r="EP60" s="280">
        <v>3.3740247923855202E-2</v>
      </c>
      <c r="EQ60" s="281">
        <v>3.3740247923855202E-2</v>
      </c>
      <c r="ER60" s="281">
        <v>3.3740247923855202E-2</v>
      </c>
      <c r="ES60" s="281">
        <v>3.3740247923855202E-2</v>
      </c>
      <c r="ET60" s="281">
        <v>3.3740247923855202E-2</v>
      </c>
      <c r="EU60" s="281">
        <v>3.3740247923855202E-2</v>
      </c>
      <c r="EV60" s="281">
        <v>3.3740247923855202E-2</v>
      </c>
      <c r="EW60" s="281">
        <v>3.3740247923855202E-2</v>
      </c>
      <c r="EX60" s="281">
        <v>3.3740247923855202E-2</v>
      </c>
      <c r="EY60" s="281">
        <v>3.3740247923855202E-2</v>
      </c>
      <c r="EZ60" s="281">
        <v>3.3740247923855202E-2</v>
      </c>
      <c r="FA60" s="281">
        <v>3.3740247923855202E-2</v>
      </c>
      <c r="FB60" s="281">
        <v>3.3740247923855202E-2</v>
      </c>
      <c r="FC60" s="281">
        <v>3.3740247923855202E-2</v>
      </c>
      <c r="FD60" s="281">
        <v>3.3740247923855202E-2</v>
      </c>
      <c r="FE60" s="281">
        <v>3.3740247923855202E-2</v>
      </c>
      <c r="FF60" s="281">
        <v>3.3740247923855202E-2</v>
      </c>
      <c r="FG60" s="281">
        <v>3.3740247923855202E-2</v>
      </c>
      <c r="FH60" s="281">
        <v>3.3740247923855202E-2</v>
      </c>
      <c r="FI60" s="282">
        <v>3.3740247923855202E-2</v>
      </c>
      <c r="FJ60" s="280">
        <v>3.3740247923855202E-2</v>
      </c>
      <c r="FK60" s="281">
        <v>3.3740247923855202E-2</v>
      </c>
      <c r="FL60" s="281">
        <v>3.3740247923855202E-2</v>
      </c>
      <c r="FM60" s="281">
        <v>3.3740247923855202E-2</v>
      </c>
      <c r="FN60" s="281">
        <v>3.3740247923855202E-2</v>
      </c>
      <c r="FO60" s="281">
        <v>3.3740247923855202E-2</v>
      </c>
      <c r="FP60" s="281">
        <v>3.3740247923855202E-2</v>
      </c>
      <c r="FQ60" s="281">
        <v>3.3740247923855202E-2</v>
      </c>
      <c r="FR60" s="281">
        <v>3.3740247923855202E-2</v>
      </c>
      <c r="FS60" s="281">
        <v>3.3740247923855202E-2</v>
      </c>
      <c r="FT60" s="281">
        <v>3.3740247923855202E-2</v>
      </c>
      <c r="FU60" s="281">
        <v>3.3740247923855202E-2</v>
      </c>
      <c r="FV60" s="281">
        <v>3.3740247923855202E-2</v>
      </c>
      <c r="FW60" s="281">
        <v>3.3740247923855202E-2</v>
      </c>
      <c r="FX60" s="281">
        <v>3.3740247923855202E-2</v>
      </c>
      <c r="FY60" s="281">
        <v>3.3740247923855202E-2</v>
      </c>
      <c r="FZ60" s="281">
        <v>3.3740247923855202E-2</v>
      </c>
      <c r="GA60" s="281">
        <v>3.3740247923855202E-2</v>
      </c>
      <c r="GB60" s="281">
        <v>3.3740247923855202E-2</v>
      </c>
      <c r="GC60" s="282">
        <v>3.3740247923855202E-2</v>
      </c>
      <c r="GD60" s="280">
        <v>3.3740247923855202E-2</v>
      </c>
      <c r="GE60" s="281">
        <v>3.3740247923855202E-2</v>
      </c>
      <c r="GF60" s="281">
        <v>3.3740247923855202E-2</v>
      </c>
      <c r="GG60" s="281">
        <v>3.3740247923855202E-2</v>
      </c>
      <c r="GH60" s="281">
        <v>3.3740247923855202E-2</v>
      </c>
      <c r="GI60" s="281">
        <v>3.3740247923855202E-2</v>
      </c>
      <c r="GJ60" s="281">
        <v>3.3740247923855202E-2</v>
      </c>
      <c r="GK60" s="281">
        <v>3.3740247923855202E-2</v>
      </c>
      <c r="GL60" s="281">
        <v>3.3740247923855202E-2</v>
      </c>
      <c r="GM60" s="281">
        <v>3.3740247923855202E-2</v>
      </c>
      <c r="GN60" s="281">
        <v>3.3740247923855202E-2</v>
      </c>
      <c r="GO60" s="281">
        <v>3.3740247923855202E-2</v>
      </c>
      <c r="GP60" s="281">
        <v>3.3740247923855202E-2</v>
      </c>
      <c r="GQ60" s="281">
        <v>3.3740247923855202E-2</v>
      </c>
      <c r="GR60" s="281">
        <v>3.3740247923855202E-2</v>
      </c>
      <c r="GS60" s="281">
        <v>3.3740247923855202E-2</v>
      </c>
      <c r="GT60" s="281">
        <v>3.3740247923855202E-2</v>
      </c>
      <c r="GU60" s="281">
        <v>3.3740247923855202E-2</v>
      </c>
      <c r="GV60" s="281">
        <v>3.3740247923855202E-2</v>
      </c>
      <c r="GW60" s="282">
        <v>3.3740247923855202E-2</v>
      </c>
      <c r="GX60" s="280">
        <v>3.3740247923855202E-2</v>
      </c>
      <c r="GY60" s="281">
        <v>3.3740247923855202E-2</v>
      </c>
      <c r="GZ60" s="281">
        <v>3.3740247923855202E-2</v>
      </c>
      <c r="HA60" s="281">
        <v>3.3740247923855202E-2</v>
      </c>
      <c r="HB60" s="281">
        <v>3.3740247923855202E-2</v>
      </c>
      <c r="HC60" s="281">
        <v>3.3740247923855202E-2</v>
      </c>
      <c r="HD60" s="281">
        <v>3.3740247923855202E-2</v>
      </c>
      <c r="HE60" s="281">
        <v>3.3740247923855202E-2</v>
      </c>
      <c r="HF60" s="281">
        <v>3.3740247923855202E-2</v>
      </c>
      <c r="HG60" s="281">
        <v>3.3740247923855202E-2</v>
      </c>
      <c r="HH60" s="281">
        <v>3.3740247923855202E-2</v>
      </c>
      <c r="HI60" s="281">
        <v>3.3740247923855202E-2</v>
      </c>
      <c r="HJ60" s="281">
        <v>3.3740247923855202E-2</v>
      </c>
      <c r="HK60" s="281">
        <v>3.3740247923855202E-2</v>
      </c>
      <c r="HL60" s="281">
        <v>3.3740247923855202E-2</v>
      </c>
      <c r="HM60" s="281">
        <v>3.3740247923855202E-2</v>
      </c>
      <c r="HN60" s="281">
        <v>3.3740247923855202E-2</v>
      </c>
      <c r="HO60" s="281">
        <v>3.3740247923855202E-2</v>
      </c>
      <c r="HP60" s="281">
        <v>3.3740247923855202E-2</v>
      </c>
      <c r="HQ60" s="282">
        <v>3.3740247923855202E-2</v>
      </c>
      <c r="HR60" s="280">
        <v>3.3740247923855202E-2</v>
      </c>
      <c r="HS60" s="281">
        <v>3.3740247923855202E-2</v>
      </c>
      <c r="HT60" s="281">
        <v>3.3740247923855202E-2</v>
      </c>
      <c r="HU60" s="281">
        <v>3.3740247923855202E-2</v>
      </c>
      <c r="HV60" s="281">
        <v>3.3740247923855202E-2</v>
      </c>
      <c r="HW60" s="281">
        <v>3.3740247923855202E-2</v>
      </c>
      <c r="HX60" s="281">
        <v>3.3740247923855202E-2</v>
      </c>
      <c r="HY60" s="281">
        <v>3.3740247923855202E-2</v>
      </c>
      <c r="HZ60" s="281">
        <v>3.3740247923855202E-2</v>
      </c>
      <c r="IA60" s="281">
        <v>3.3740247923855202E-2</v>
      </c>
      <c r="IB60" s="281">
        <v>3.3740247923855202E-2</v>
      </c>
      <c r="IC60" s="281">
        <v>3.3740247923855202E-2</v>
      </c>
      <c r="ID60" s="281">
        <v>3.3740247923855202E-2</v>
      </c>
      <c r="IE60" s="281">
        <v>3.3740247923855202E-2</v>
      </c>
      <c r="IF60" s="281">
        <v>3.3740247923855202E-2</v>
      </c>
      <c r="IG60" s="281">
        <v>3.3740247923855202E-2</v>
      </c>
      <c r="IH60" s="281">
        <v>3.3740247923855202E-2</v>
      </c>
      <c r="II60" s="281">
        <v>3.3740247923855202E-2</v>
      </c>
      <c r="IJ60" s="281">
        <v>3.3740247923855202E-2</v>
      </c>
      <c r="IK60" s="282">
        <v>3.3740247923855202E-2</v>
      </c>
      <c r="IL60" s="280">
        <v>3.3740247923855202E-2</v>
      </c>
      <c r="IM60" s="281">
        <v>3.3740247923855202E-2</v>
      </c>
      <c r="IN60" s="281">
        <v>3.3740247923855202E-2</v>
      </c>
      <c r="IO60" s="281">
        <v>3.3740247923855202E-2</v>
      </c>
      <c r="IP60" s="281">
        <v>3.3740247923855202E-2</v>
      </c>
      <c r="IQ60" s="281">
        <v>3.3740247923855202E-2</v>
      </c>
      <c r="IR60" s="281">
        <v>3.3740247923855202E-2</v>
      </c>
      <c r="IS60" s="281">
        <v>3.3740247923855202E-2</v>
      </c>
      <c r="IT60" s="281">
        <v>3.3740247923855202E-2</v>
      </c>
      <c r="IU60" s="281">
        <v>3.3740247923855202E-2</v>
      </c>
      <c r="IV60" s="281">
        <v>3.3740247923855202E-2</v>
      </c>
      <c r="IW60" s="281">
        <v>3.3740247923855202E-2</v>
      </c>
      <c r="IX60" s="281">
        <v>3.3740247923855202E-2</v>
      </c>
      <c r="IY60" s="281">
        <v>3.3740247923855202E-2</v>
      </c>
      <c r="IZ60" s="281">
        <v>3.3740247923855202E-2</v>
      </c>
      <c r="JA60" s="281">
        <v>3.3740247923855202E-2</v>
      </c>
      <c r="JB60" s="281">
        <v>3.3740247923855202E-2</v>
      </c>
      <c r="JC60" s="281">
        <v>3.3740247923855202E-2</v>
      </c>
      <c r="JD60" s="281">
        <v>3.3740247923855202E-2</v>
      </c>
      <c r="JE60" s="282">
        <v>3.3740247923855202E-2</v>
      </c>
    </row>
    <row r="61" spans="2:265" x14ac:dyDescent="0.25">
      <c r="B61" s="83"/>
      <c r="C61" s="59"/>
      <c r="D61" s="83" t="s">
        <v>131</v>
      </c>
      <c r="E61" s="83" t="s">
        <v>251</v>
      </c>
      <c r="F61" s="280">
        <v>3.3740247923855202E-2</v>
      </c>
      <c r="G61" s="281">
        <v>3.3740247923855202E-2</v>
      </c>
      <c r="H61" s="281">
        <v>3.3740247923855202E-2</v>
      </c>
      <c r="I61" s="281">
        <v>3.3740247923855202E-2</v>
      </c>
      <c r="J61" s="281">
        <v>3.3740247923855202E-2</v>
      </c>
      <c r="K61" s="281">
        <v>3.3740247923855202E-2</v>
      </c>
      <c r="L61" s="281">
        <v>3.3740247923855202E-2</v>
      </c>
      <c r="M61" s="281">
        <v>3.3740247923855202E-2</v>
      </c>
      <c r="N61" s="281">
        <v>3.3740247923855202E-2</v>
      </c>
      <c r="O61" s="281">
        <v>6.3575062150524166</v>
      </c>
      <c r="P61" s="281">
        <v>3.3740247923855202E-2</v>
      </c>
      <c r="Q61" s="281">
        <v>3.3740247923855202E-2</v>
      </c>
      <c r="R61" s="281">
        <v>3.3740247923855202E-2</v>
      </c>
      <c r="S61" s="281">
        <v>3.3740247923855202E-2</v>
      </c>
      <c r="T61" s="281">
        <v>3.3740247923855202E-2</v>
      </c>
      <c r="U61" s="281">
        <v>3.3740247923855202E-2</v>
      </c>
      <c r="V61" s="281">
        <v>3.3740247923855202E-2</v>
      </c>
      <c r="W61" s="281">
        <v>0.87808995221833164</v>
      </c>
      <c r="X61" s="281">
        <v>3.3740247923855202E-2</v>
      </c>
      <c r="Y61" s="282">
        <v>3.3740247923855202E-2</v>
      </c>
      <c r="Z61" s="280">
        <v>6.3575062150524166</v>
      </c>
      <c r="AA61" s="281">
        <v>3.3740247923855202E-2</v>
      </c>
      <c r="AB61" s="281">
        <v>3.3740247923855202E-2</v>
      </c>
      <c r="AC61" s="281">
        <v>3.3740247923855202E-2</v>
      </c>
      <c r="AD61" s="281">
        <v>3.3740247923855202E-2</v>
      </c>
      <c r="AE61" s="281">
        <v>3.3740247923855202E-2</v>
      </c>
      <c r="AF61" s="281">
        <v>3.3740247923855202E-2</v>
      </c>
      <c r="AG61" s="281">
        <v>3.3740247923855202E-2</v>
      </c>
      <c r="AH61" s="281">
        <v>0.87808995221833164</v>
      </c>
      <c r="AI61" s="281">
        <v>3.3740247923855202E-2</v>
      </c>
      <c r="AJ61" s="281">
        <v>3.3740247923855202E-2</v>
      </c>
      <c r="AK61" s="281">
        <v>3.3740247923855202E-2</v>
      </c>
      <c r="AL61" s="281">
        <v>3.3740247923855202E-2</v>
      </c>
      <c r="AM61" s="281">
        <v>3.3740247923855202E-2</v>
      </c>
      <c r="AN61" s="281">
        <v>3.3740247923855202E-2</v>
      </c>
      <c r="AO61" s="281">
        <v>3.3740247923855202E-2</v>
      </c>
      <c r="AP61" s="281">
        <v>0.87808995221833164</v>
      </c>
      <c r="AQ61" s="281">
        <v>3.3740247923855202E-2</v>
      </c>
      <c r="AR61" s="281">
        <v>3.3740247923855202E-2</v>
      </c>
      <c r="AS61" s="282">
        <v>3.3740247923855202E-2</v>
      </c>
      <c r="AT61" s="280">
        <v>3.3740247923855202E-2</v>
      </c>
      <c r="AU61" s="281">
        <v>6.3575062150524166</v>
      </c>
      <c r="AV61" s="281">
        <v>3.3740247923855202E-2</v>
      </c>
      <c r="AW61" s="281">
        <v>3.3740247923855202E-2</v>
      </c>
      <c r="AX61" s="281">
        <v>3.3740247923855202E-2</v>
      </c>
      <c r="AY61" s="281">
        <v>3.3740247923855202E-2</v>
      </c>
      <c r="AZ61" s="281">
        <v>3.3740247923855202E-2</v>
      </c>
      <c r="BA61" s="281">
        <v>3.3740247923855202E-2</v>
      </c>
      <c r="BB61" s="281">
        <v>3.3740247923855202E-2</v>
      </c>
      <c r="BC61" s="281">
        <v>0.87808995221833164</v>
      </c>
      <c r="BD61" s="281">
        <v>3.3740247923855202E-2</v>
      </c>
      <c r="BE61" s="281">
        <v>3.3740247923855202E-2</v>
      </c>
      <c r="BF61" s="281">
        <v>3.3740247923855202E-2</v>
      </c>
      <c r="BG61" s="281">
        <v>3.3740247923855202E-2</v>
      </c>
      <c r="BH61" s="281">
        <v>3.3740247923855202E-2</v>
      </c>
      <c r="BI61" s="281">
        <v>3.3740247923855202E-2</v>
      </c>
      <c r="BJ61" s="281">
        <v>3.3740247923855202E-2</v>
      </c>
      <c r="BK61" s="281">
        <v>0.87808995221833164</v>
      </c>
      <c r="BL61" s="281">
        <v>3.3740247923855202E-2</v>
      </c>
      <c r="BM61" s="282">
        <v>3.3740247923855202E-2</v>
      </c>
      <c r="BN61" s="280">
        <v>3.3740247923855202E-2</v>
      </c>
      <c r="BO61" s="281">
        <v>3.3740247923855202E-2</v>
      </c>
      <c r="BP61" s="281">
        <v>6.3575062150524166</v>
      </c>
      <c r="BQ61" s="281">
        <v>3.3740247923855202E-2</v>
      </c>
      <c r="BR61" s="281">
        <v>3.3740247923855202E-2</v>
      </c>
      <c r="BS61" s="281">
        <v>3.3740247923855202E-2</v>
      </c>
      <c r="BT61" s="281">
        <v>3.3740247923855202E-2</v>
      </c>
      <c r="BU61" s="281">
        <v>3.3740247923855202E-2</v>
      </c>
      <c r="BV61" s="281">
        <v>3.3740247923855202E-2</v>
      </c>
      <c r="BW61" s="281">
        <v>3.3740247923855202E-2</v>
      </c>
      <c r="BX61" s="281">
        <v>0.87808995221833164</v>
      </c>
      <c r="BY61" s="281">
        <v>3.3740247923855202E-2</v>
      </c>
      <c r="BZ61" s="281">
        <v>3.3740247923855202E-2</v>
      </c>
      <c r="CA61" s="281">
        <v>3.3740247923855202E-2</v>
      </c>
      <c r="CB61" s="281">
        <v>3.3740247923855202E-2</v>
      </c>
      <c r="CC61" s="281">
        <v>3.3740247923855202E-2</v>
      </c>
      <c r="CD61" s="281">
        <v>3.3740247923855202E-2</v>
      </c>
      <c r="CE61" s="281">
        <v>3.3740247923855202E-2</v>
      </c>
      <c r="CF61" s="281">
        <v>0.87808995221833164</v>
      </c>
      <c r="CG61" s="282">
        <v>3.3740247923855202E-2</v>
      </c>
      <c r="CH61" s="280">
        <v>3.3740247923855202E-2</v>
      </c>
      <c r="CI61" s="281">
        <v>3.3740247923855202E-2</v>
      </c>
      <c r="CJ61" s="281">
        <v>3.3740247923855202E-2</v>
      </c>
      <c r="CK61" s="281">
        <v>6.3575062150524166</v>
      </c>
      <c r="CL61" s="281">
        <v>3.3740247923855202E-2</v>
      </c>
      <c r="CM61" s="281">
        <v>3.3740247923855202E-2</v>
      </c>
      <c r="CN61" s="281">
        <v>3.3740247923855202E-2</v>
      </c>
      <c r="CO61" s="281">
        <v>3.3740247923855202E-2</v>
      </c>
      <c r="CP61" s="281">
        <v>3.3740247923855202E-2</v>
      </c>
      <c r="CQ61" s="281">
        <v>3.3740247923855202E-2</v>
      </c>
      <c r="CR61" s="281">
        <v>3.3740247923855202E-2</v>
      </c>
      <c r="CS61" s="281">
        <v>0.87808995221833164</v>
      </c>
      <c r="CT61" s="281">
        <v>3.3740247923855202E-2</v>
      </c>
      <c r="CU61" s="281">
        <v>3.3740247923855202E-2</v>
      </c>
      <c r="CV61" s="281">
        <v>3.3740247923855202E-2</v>
      </c>
      <c r="CW61" s="281">
        <v>3.3740247923855202E-2</v>
      </c>
      <c r="CX61" s="281">
        <v>3.3740247923855202E-2</v>
      </c>
      <c r="CY61" s="281">
        <v>3.3740247923855202E-2</v>
      </c>
      <c r="CZ61" s="281">
        <v>3.3740247923855202E-2</v>
      </c>
      <c r="DA61" s="282">
        <v>0.87808995221833164</v>
      </c>
      <c r="DB61" s="280">
        <v>3.3740247923855202E-2</v>
      </c>
      <c r="DC61" s="281">
        <v>3.3740247923855202E-2</v>
      </c>
      <c r="DD61" s="281">
        <v>3.3740247923855202E-2</v>
      </c>
      <c r="DE61" s="281">
        <v>3.3740247923855202E-2</v>
      </c>
      <c r="DF61" s="281">
        <v>6.3575062150524166</v>
      </c>
      <c r="DG61" s="281">
        <v>3.3740247923855202E-2</v>
      </c>
      <c r="DH61" s="281">
        <v>3.3740247923855202E-2</v>
      </c>
      <c r="DI61" s="281">
        <v>3.3740247923855202E-2</v>
      </c>
      <c r="DJ61" s="281">
        <v>3.3740247923855202E-2</v>
      </c>
      <c r="DK61" s="281">
        <v>3.3740247923855202E-2</v>
      </c>
      <c r="DL61" s="281">
        <v>3.3740247923855202E-2</v>
      </c>
      <c r="DM61" s="281">
        <v>3.3740247923855202E-2</v>
      </c>
      <c r="DN61" s="281">
        <v>0.87808995221833164</v>
      </c>
      <c r="DO61" s="281">
        <v>3.3740247923855202E-2</v>
      </c>
      <c r="DP61" s="281">
        <v>3.3740247923855202E-2</v>
      </c>
      <c r="DQ61" s="281">
        <v>3.3740247923855202E-2</v>
      </c>
      <c r="DR61" s="281">
        <v>3.3740247923855202E-2</v>
      </c>
      <c r="DS61" s="281">
        <v>3.3740247923855202E-2</v>
      </c>
      <c r="DT61" s="281">
        <v>3.3740247923855202E-2</v>
      </c>
      <c r="DU61" s="282">
        <v>3.3740247923855202E-2</v>
      </c>
      <c r="DV61" s="280">
        <v>3.3740247923855202E-2</v>
      </c>
      <c r="DW61" s="281">
        <v>3.3740247923855202E-2</v>
      </c>
      <c r="DX61" s="281">
        <v>3.3740247923855202E-2</v>
      </c>
      <c r="DY61" s="281">
        <v>3.3740247923855202E-2</v>
      </c>
      <c r="DZ61" s="281">
        <v>3.3740247923855202E-2</v>
      </c>
      <c r="EA61" s="281">
        <v>6.3575062150524166</v>
      </c>
      <c r="EB61" s="281">
        <v>3.3740247923855202E-2</v>
      </c>
      <c r="EC61" s="281">
        <v>3.3740247923855202E-2</v>
      </c>
      <c r="ED61" s="281">
        <v>3.3740247923855202E-2</v>
      </c>
      <c r="EE61" s="281">
        <v>3.3740247923855202E-2</v>
      </c>
      <c r="EF61" s="281">
        <v>3.3740247923855202E-2</v>
      </c>
      <c r="EG61" s="281">
        <v>3.3740247923855202E-2</v>
      </c>
      <c r="EH61" s="281">
        <v>3.3740247923855202E-2</v>
      </c>
      <c r="EI61" s="281">
        <v>0.87808995221833164</v>
      </c>
      <c r="EJ61" s="281">
        <v>3.3740247923855202E-2</v>
      </c>
      <c r="EK61" s="281">
        <v>3.3740247923855202E-2</v>
      </c>
      <c r="EL61" s="281">
        <v>3.3740247923855202E-2</v>
      </c>
      <c r="EM61" s="281">
        <v>3.3740247923855202E-2</v>
      </c>
      <c r="EN61" s="281">
        <v>3.3740247923855202E-2</v>
      </c>
      <c r="EO61" s="282">
        <v>3.3740247923855202E-2</v>
      </c>
      <c r="EP61" s="280">
        <v>0.45591510007109343</v>
      </c>
      <c r="EQ61" s="281">
        <v>3.3740247923855202E-2</v>
      </c>
      <c r="ER61" s="281">
        <v>3.3740247923855202E-2</v>
      </c>
      <c r="ES61" s="281">
        <v>3.3740247923855202E-2</v>
      </c>
      <c r="ET61" s="281">
        <v>3.3740247923855202E-2</v>
      </c>
      <c r="EU61" s="281">
        <v>3.3740247923855202E-2</v>
      </c>
      <c r="EV61" s="281">
        <v>3.3740247923855202E-2</v>
      </c>
      <c r="EW61" s="281">
        <v>3.3740247923855202E-2</v>
      </c>
      <c r="EX61" s="281">
        <v>0.45591510007109343</v>
      </c>
      <c r="EY61" s="281">
        <v>3.3740247923855202E-2</v>
      </c>
      <c r="EZ61" s="281">
        <v>3.3740247923855202E-2</v>
      </c>
      <c r="FA61" s="281">
        <v>3.3740247923855202E-2</v>
      </c>
      <c r="FB61" s="281">
        <v>3.3740247923855202E-2</v>
      </c>
      <c r="FC61" s="281">
        <v>3.3740247923855202E-2</v>
      </c>
      <c r="FD61" s="281">
        <v>3.3740247923855202E-2</v>
      </c>
      <c r="FE61" s="281">
        <v>3.3740247923855202E-2</v>
      </c>
      <c r="FF61" s="281">
        <v>0.45591510007109343</v>
      </c>
      <c r="FG61" s="281">
        <v>3.3740247923855202E-2</v>
      </c>
      <c r="FH61" s="281">
        <v>3.3740247923855202E-2</v>
      </c>
      <c r="FI61" s="282">
        <v>3.3740247923855202E-2</v>
      </c>
      <c r="FJ61" s="280">
        <v>3.3740247923855202E-2</v>
      </c>
      <c r="FK61" s="281">
        <v>0.45591510007109343</v>
      </c>
      <c r="FL61" s="281">
        <v>3.3740247923855202E-2</v>
      </c>
      <c r="FM61" s="281">
        <v>3.3740247923855202E-2</v>
      </c>
      <c r="FN61" s="281">
        <v>3.3740247923855202E-2</v>
      </c>
      <c r="FO61" s="281">
        <v>3.3740247923855202E-2</v>
      </c>
      <c r="FP61" s="281">
        <v>3.3740247923855202E-2</v>
      </c>
      <c r="FQ61" s="281">
        <v>3.3740247923855202E-2</v>
      </c>
      <c r="FR61" s="281">
        <v>3.3740247923855202E-2</v>
      </c>
      <c r="FS61" s="281">
        <v>0.45591510007109343</v>
      </c>
      <c r="FT61" s="281">
        <v>3.3740247923855202E-2</v>
      </c>
      <c r="FU61" s="281">
        <v>3.3740247923855202E-2</v>
      </c>
      <c r="FV61" s="281">
        <v>3.3740247923855202E-2</v>
      </c>
      <c r="FW61" s="281">
        <v>3.3740247923855202E-2</v>
      </c>
      <c r="FX61" s="281">
        <v>3.3740247923855202E-2</v>
      </c>
      <c r="FY61" s="281">
        <v>3.3740247923855202E-2</v>
      </c>
      <c r="FZ61" s="281">
        <v>3.3740247923855202E-2</v>
      </c>
      <c r="GA61" s="281">
        <v>0.45591510007109343</v>
      </c>
      <c r="GB61" s="281">
        <v>3.3740247923855202E-2</v>
      </c>
      <c r="GC61" s="282">
        <v>3.3740247923855202E-2</v>
      </c>
      <c r="GD61" s="280">
        <v>3.3740247923855202E-2</v>
      </c>
      <c r="GE61" s="281">
        <v>3.3740247923855202E-2</v>
      </c>
      <c r="GF61" s="281">
        <v>0.45591510007109343</v>
      </c>
      <c r="GG61" s="281">
        <v>3.3740247923855202E-2</v>
      </c>
      <c r="GH61" s="281">
        <v>3.3740247923855202E-2</v>
      </c>
      <c r="GI61" s="281">
        <v>3.3740247923855202E-2</v>
      </c>
      <c r="GJ61" s="281">
        <v>3.3740247923855202E-2</v>
      </c>
      <c r="GK61" s="281">
        <v>3.3740247923855202E-2</v>
      </c>
      <c r="GL61" s="281">
        <v>3.3740247923855202E-2</v>
      </c>
      <c r="GM61" s="281">
        <v>3.3740247923855202E-2</v>
      </c>
      <c r="GN61" s="281">
        <v>0.45591510007109343</v>
      </c>
      <c r="GO61" s="281">
        <v>3.3740247923855202E-2</v>
      </c>
      <c r="GP61" s="281">
        <v>3.3740247923855202E-2</v>
      </c>
      <c r="GQ61" s="281">
        <v>3.3740247923855202E-2</v>
      </c>
      <c r="GR61" s="281">
        <v>3.3740247923855202E-2</v>
      </c>
      <c r="GS61" s="281">
        <v>3.3740247923855202E-2</v>
      </c>
      <c r="GT61" s="281">
        <v>3.3740247923855202E-2</v>
      </c>
      <c r="GU61" s="281">
        <v>3.3740247923855202E-2</v>
      </c>
      <c r="GV61" s="281">
        <v>0.45591510007109343</v>
      </c>
      <c r="GW61" s="282">
        <v>3.3740247923855202E-2</v>
      </c>
      <c r="GX61" s="280">
        <v>3.3740247923855202E-2</v>
      </c>
      <c r="GY61" s="281">
        <v>3.3740247923855202E-2</v>
      </c>
      <c r="GZ61" s="281">
        <v>3.3740247923855202E-2</v>
      </c>
      <c r="HA61" s="281">
        <v>0.45591510007109343</v>
      </c>
      <c r="HB61" s="281">
        <v>3.3740247923855202E-2</v>
      </c>
      <c r="HC61" s="281">
        <v>3.3740247923855202E-2</v>
      </c>
      <c r="HD61" s="281">
        <v>3.3740247923855202E-2</v>
      </c>
      <c r="HE61" s="281">
        <v>3.3740247923855202E-2</v>
      </c>
      <c r="HF61" s="281">
        <v>3.3740247923855202E-2</v>
      </c>
      <c r="HG61" s="281">
        <v>3.3740247923855202E-2</v>
      </c>
      <c r="HH61" s="281">
        <v>3.3740247923855202E-2</v>
      </c>
      <c r="HI61" s="281">
        <v>0.45591510007109343</v>
      </c>
      <c r="HJ61" s="281">
        <v>3.3740247923855202E-2</v>
      </c>
      <c r="HK61" s="281">
        <v>3.3740247923855202E-2</v>
      </c>
      <c r="HL61" s="281">
        <v>3.3740247923855202E-2</v>
      </c>
      <c r="HM61" s="281">
        <v>3.3740247923855202E-2</v>
      </c>
      <c r="HN61" s="281">
        <v>3.3740247923855202E-2</v>
      </c>
      <c r="HO61" s="281">
        <v>3.3740247923855202E-2</v>
      </c>
      <c r="HP61" s="281">
        <v>3.3740247923855202E-2</v>
      </c>
      <c r="HQ61" s="282">
        <v>0.45591510007109343</v>
      </c>
      <c r="HR61" s="280">
        <v>3.3740247923855202E-2</v>
      </c>
      <c r="HS61" s="281">
        <v>3.3740247923855202E-2</v>
      </c>
      <c r="HT61" s="281">
        <v>3.3740247923855202E-2</v>
      </c>
      <c r="HU61" s="281">
        <v>3.3740247923855202E-2</v>
      </c>
      <c r="HV61" s="281">
        <v>0.45591510007109343</v>
      </c>
      <c r="HW61" s="281">
        <v>3.3740247923855202E-2</v>
      </c>
      <c r="HX61" s="281">
        <v>3.3740247923855202E-2</v>
      </c>
      <c r="HY61" s="281">
        <v>3.3740247923855202E-2</v>
      </c>
      <c r="HZ61" s="281">
        <v>3.3740247923855202E-2</v>
      </c>
      <c r="IA61" s="281">
        <v>3.3740247923855202E-2</v>
      </c>
      <c r="IB61" s="281">
        <v>3.3740247923855202E-2</v>
      </c>
      <c r="IC61" s="281">
        <v>3.3740247923855202E-2</v>
      </c>
      <c r="ID61" s="281">
        <v>0.45591510007109343</v>
      </c>
      <c r="IE61" s="281">
        <v>3.3740247923855202E-2</v>
      </c>
      <c r="IF61" s="281">
        <v>3.3740247923855202E-2</v>
      </c>
      <c r="IG61" s="281">
        <v>3.3740247923855202E-2</v>
      </c>
      <c r="IH61" s="281">
        <v>3.3740247923855202E-2</v>
      </c>
      <c r="II61" s="281">
        <v>3.3740247923855202E-2</v>
      </c>
      <c r="IJ61" s="281">
        <v>3.3740247923855202E-2</v>
      </c>
      <c r="IK61" s="282">
        <v>3.3740247923855202E-2</v>
      </c>
      <c r="IL61" s="280">
        <v>3.3740247923855202E-2</v>
      </c>
      <c r="IM61" s="281">
        <v>3.3740247923855202E-2</v>
      </c>
      <c r="IN61" s="281">
        <v>3.3740247923855202E-2</v>
      </c>
      <c r="IO61" s="281">
        <v>3.3740247923855202E-2</v>
      </c>
      <c r="IP61" s="281">
        <v>3.3740247923855202E-2</v>
      </c>
      <c r="IQ61" s="281">
        <v>0.45591510007109343</v>
      </c>
      <c r="IR61" s="281">
        <v>3.3740247923855202E-2</v>
      </c>
      <c r="IS61" s="281">
        <v>3.3740247923855202E-2</v>
      </c>
      <c r="IT61" s="281">
        <v>3.3740247923855202E-2</v>
      </c>
      <c r="IU61" s="281">
        <v>3.3740247923855202E-2</v>
      </c>
      <c r="IV61" s="281">
        <v>3.3740247923855202E-2</v>
      </c>
      <c r="IW61" s="281">
        <v>3.3740247923855202E-2</v>
      </c>
      <c r="IX61" s="281">
        <v>3.3740247923855202E-2</v>
      </c>
      <c r="IY61" s="281">
        <v>0.45591510007109343</v>
      </c>
      <c r="IZ61" s="281">
        <v>3.3740247923855202E-2</v>
      </c>
      <c r="JA61" s="281">
        <v>3.3740247923855202E-2</v>
      </c>
      <c r="JB61" s="281">
        <v>3.3740247923855202E-2</v>
      </c>
      <c r="JC61" s="281">
        <v>3.3740247923855202E-2</v>
      </c>
      <c r="JD61" s="281">
        <v>3.3740247923855202E-2</v>
      </c>
      <c r="JE61" s="282">
        <v>3.3740247923855202E-2</v>
      </c>
    </row>
    <row r="62" spans="2:265" x14ac:dyDescent="0.25">
      <c r="B62" s="83"/>
      <c r="C62" s="259" t="s">
        <v>208</v>
      </c>
      <c r="D62" s="82" t="s">
        <v>187</v>
      </c>
      <c r="E62" s="82" t="s">
        <v>251</v>
      </c>
      <c r="F62" s="277">
        <v>0.54944996602737972</v>
      </c>
      <c r="G62" s="278">
        <v>0.58466763648346542</v>
      </c>
      <c r="H62" s="278">
        <v>0.62222337713938269</v>
      </c>
      <c r="I62" s="278">
        <v>0.66227954453377558</v>
      </c>
      <c r="J62" s="278">
        <v>0.7050103519040366</v>
      </c>
      <c r="K62" s="278">
        <v>0.7506027770931154</v>
      </c>
      <c r="L62" s="278">
        <v>0.79925754237281144</v>
      </c>
      <c r="M62" s="278">
        <v>0.85119017193548374</v>
      </c>
      <c r="N62" s="278">
        <v>0.90663213325350822</v>
      </c>
      <c r="O62" s="278">
        <v>0.85798133339350791</v>
      </c>
      <c r="P62" s="278">
        <v>0.90956959720927144</v>
      </c>
      <c r="Q62" s="278">
        <v>0.96426876102031467</v>
      </c>
      <c r="R62" s="278">
        <v>1.0222674222287413</v>
      </c>
      <c r="S62" s="278">
        <v>1.0837657195737969</v>
      </c>
      <c r="T62" s="278">
        <v>1.1489760506504241</v>
      </c>
      <c r="U62" s="278">
        <v>1.2181238351749299</v>
      </c>
      <c r="V62" s="278">
        <v>1.2914483270260602</v>
      </c>
      <c r="W62" s="278">
        <v>1.3723308386015645</v>
      </c>
      <c r="X62" s="278">
        <v>1.4551755495292042</v>
      </c>
      <c r="Y62" s="279">
        <v>1.5430518000361186</v>
      </c>
      <c r="Z62" s="277">
        <v>0.50783783297305962</v>
      </c>
      <c r="AA62" s="278">
        <v>0.53837284706179178</v>
      </c>
      <c r="AB62" s="278">
        <v>0.57074919807792546</v>
      </c>
      <c r="AC62" s="278">
        <v>0.60507851653399147</v>
      </c>
      <c r="AD62" s="278">
        <v>0.64147926424224266</v>
      </c>
      <c r="AE62" s="278">
        <v>0.68007715901278254</v>
      </c>
      <c r="AF62" s="278">
        <v>0.72100562642934285</v>
      </c>
      <c r="AG62" s="278">
        <v>0.76440628049514681</v>
      </c>
      <c r="AH62" s="278">
        <v>0.81228051482313701</v>
      </c>
      <c r="AI62" s="278">
        <v>0.86131617193279619</v>
      </c>
      <c r="AJ62" s="278">
        <v>0.91332998958861822</v>
      </c>
      <c r="AK62" s="278">
        <v>0.96850475362364918</v>
      </c>
      <c r="AL62" s="278">
        <v>1.0270346653783835</v>
      </c>
      <c r="AM62" s="278">
        <v>1.0891260743535882</v>
      </c>
      <c r="AN62" s="278">
        <v>1.154998259787732</v>
      </c>
      <c r="AO62" s="278">
        <v>1.224884264600685</v>
      </c>
      <c r="AP62" s="278">
        <v>1.2946517345297774</v>
      </c>
      <c r="AQ62" s="278">
        <v>1.3728071221973623</v>
      </c>
      <c r="AR62" s="278">
        <v>1.455709245317093</v>
      </c>
      <c r="AS62" s="279">
        <v>1.5436494367370202</v>
      </c>
      <c r="AT62" s="277">
        <v>0.54944996602737972</v>
      </c>
      <c r="AU62" s="278">
        <v>0.53830810295144327</v>
      </c>
      <c r="AV62" s="278">
        <v>0.57067521788549924</v>
      </c>
      <c r="AW62" s="278">
        <v>0.60499414996260104</v>
      </c>
      <c r="AX62" s="278">
        <v>0.64138322752603116</v>
      </c>
      <c r="AY62" s="278">
        <v>0.67996802009677726</v>
      </c>
      <c r="AZ62" s="278">
        <v>0.72088178855354967</v>
      </c>
      <c r="BA62" s="278">
        <v>0.76426596401510338</v>
      </c>
      <c r="BB62" s="278">
        <v>0.81027065732485548</v>
      </c>
      <c r="BC62" s="278">
        <v>0.86101734571252531</v>
      </c>
      <c r="BD62" s="278">
        <v>0.91299514224876388</v>
      </c>
      <c r="BE62" s="278">
        <v>0.96812978896393542</v>
      </c>
      <c r="BF62" s="278">
        <v>1.0266150388410678</v>
      </c>
      <c r="BG62" s="278">
        <v>1.0886567453010865</v>
      </c>
      <c r="BH62" s="278">
        <v>1.1544736388148031</v>
      </c>
      <c r="BI62" s="278">
        <v>1.2242981553749954</v>
      </c>
      <c r="BJ62" s="278">
        <v>1.2983773204767262</v>
      </c>
      <c r="BK62" s="278">
        <v>1.3723308386015645</v>
      </c>
      <c r="BL62" s="278">
        <v>1.4551755495292042</v>
      </c>
      <c r="BM62" s="279">
        <v>1.5430518000361186</v>
      </c>
      <c r="BN62" s="277">
        <v>0.54944996602737972</v>
      </c>
      <c r="BO62" s="278">
        <v>0.58466763648346542</v>
      </c>
      <c r="BP62" s="278">
        <v>0.57060658912852991</v>
      </c>
      <c r="BQ62" s="278">
        <v>0.60491573095862927</v>
      </c>
      <c r="BR62" s="278">
        <v>0.6412937989603571</v>
      </c>
      <c r="BS62" s="278">
        <v>0.67986622117759299</v>
      </c>
      <c r="BT62" s="278">
        <v>0.72076610130258389</v>
      </c>
      <c r="BU62" s="278">
        <v>0.76413469586676264</v>
      </c>
      <c r="BV62" s="278">
        <v>0.81012192185600962</v>
      </c>
      <c r="BW62" s="278">
        <v>0.85888689676434671</v>
      </c>
      <c r="BX62" s="278">
        <v>0.91267838645527677</v>
      </c>
      <c r="BY62" s="278">
        <v>0.96777485078368952</v>
      </c>
      <c r="BZ62" s="278">
        <v>1.0262175763017716</v>
      </c>
      <c r="CA62" s="278">
        <v>1.0882119411715321</v>
      </c>
      <c r="CB62" s="278">
        <v>1.1539761500191517</v>
      </c>
      <c r="CC62" s="278">
        <v>1.2237420571436914</v>
      </c>
      <c r="CD62" s="278">
        <v>1.2977560446974952</v>
      </c>
      <c r="CE62" s="278">
        <v>1.3762799597053297</v>
      </c>
      <c r="CF62" s="278">
        <v>1.4546706889176584</v>
      </c>
      <c r="CG62" s="279">
        <v>1.5424860825009563</v>
      </c>
      <c r="CH62" s="277">
        <v>0.54944996602737972</v>
      </c>
      <c r="CI62" s="278">
        <v>0.58466763648346542</v>
      </c>
      <c r="CJ62" s="278">
        <v>0.62222337713938269</v>
      </c>
      <c r="CK62" s="278">
        <v>0.60484298447624152</v>
      </c>
      <c r="CL62" s="278">
        <v>0.64121067481614691</v>
      </c>
      <c r="CM62" s="278">
        <v>0.67977142689797854</v>
      </c>
      <c r="CN62" s="278">
        <v>0.72065819444824863</v>
      </c>
      <c r="CO62" s="278">
        <v>0.7640120673807389</v>
      </c>
      <c r="CP62" s="278">
        <v>0.80998277761876813</v>
      </c>
      <c r="CQ62" s="278">
        <v>0.85872923716737026</v>
      </c>
      <c r="CR62" s="278">
        <v>0.91042011057020755</v>
      </c>
      <c r="CS62" s="278">
        <v>0.9674390896425934</v>
      </c>
      <c r="CT62" s="278">
        <v>1.0258413418307111</v>
      </c>
      <c r="CU62" s="278">
        <v>1.0877906308798779</v>
      </c>
      <c r="CV62" s="278">
        <v>1.153504657641824</v>
      </c>
      <c r="CW62" s="278">
        <v>1.2232147190203009</v>
      </c>
      <c r="CX62" s="278">
        <v>1.2971665805723129</v>
      </c>
      <c r="CY62" s="278">
        <v>1.3756214073793449</v>
      </c>
      <c r="CZ62" s="278">
        <v>1.4588567572876494</v>
      </c>
      <c r="DA62" s="279">
        <v>1.5419509302527175</v>
      </c>
      <c r="DB62" s="277">
        <v>0.54944996602737972</v>
      </c>
      <c r="DC62" s="278">
        <v>0.58466763648346542</v>
      </c>
      <c r="DD62" s="278">
        <v>0.62222337713938269</v>
      </c>
      <c r="DE62" s="278">
        <v>0.66227954453377558</v>
      </c>
      <c r="DF62" s="278">
        <v>0.6411335635448161</v>
      </c>
      <c r="DG62" s="278">
        <v>0.67968331530511583</v>
      </c>
      <c r="DH62" s="278">
        <v>0.72055771251185718</v>
      </c>
      <c r="DI62" s="278">
        <v>0.76389768611514342</v>
      </c>
      <c r="DJ62" s="278">
        <v>0.80985279142358324</v>
      </c>
      <c r="DK62" s="278">
        <v>0.85858174427589451</v>
      </c>
      <c r="DL62" s="278">
        <v>0.91025299139741245</v>
      </c>
      <c r="DM62" s="278">
        <v>0.96504531720442011</v>
      </c>
      <c r="DN62" s="278">
        <v>1.0254854350211489</v>
      </c>
      <c r="DO62" s="278">
        <v>1.0873918223405536</v>
      </c>
      <c r="DP62" s="278">
        <v>1.1530580687326706</v>
      </c>
      <c r="DQ62" s="278">
        <v>1.2227149371003334</v>
      </c>
      <c r="DR62" s="278">
        <v>1.2966076021615189</v>
      </c>
      <c r="DS62" s="278">
        <v>1.3749965754066515</v>
      </c>
      <c r="DT62" s="278">
        <v>1.4581586918221054</v>
      </c>
      <c r="DU62" s="279">
        <v>1.5463881627249085</v>
      </c>
      <c r="DV62" s="277">
        <v>0.54944996602737972</v>
      </c>
      <c r="DW62" s="278">
        <v>0.58466763648346542</v>
      </c>
      <c r="DX62" s="278">
        <v>0.62222337713938269</v>
      </c>
      <c r="DY62" s="278">
        <v>0.66227954453377558</v>
      </c>
      <c r="DZ62" s="278">
        <v>0.7050103519040366</v>
      </c>
      <c r="EA62" s="278">
        <v>0.67960157735750515</v>
      </c>
      <c r="EB62" s="278">
        <v>0.72046431422342272</v>
      </c>
      <c r="EC62" s="278">
        <v>0.76379117526256868</v>
      </c>
      <c r="ED62" s="278">
        <v>0.80973154728205188</v>
      </c>
      <c r="EE62" s="278">
        <v>0.85844395890899816</v>
      </c>
      <c r="EF62" s="278">
        <v>0.91009664893244802</v>
      </c>
      <c r="EG62" s="278">
        <v>0.96486817088125731</v>
      </c>
      <c r="EH62" s="278">
        <v>1.0229480362366852</v>
      </c>
      <c r="EI62" s="278">
        <v>1.087014561122418</v>
      </c>
      <c r="EJ62" s="278">
        <v>1.152635331680987</v>
      </c>
      <c r="EK62" s="278">
        <v>1.2222415528566306</v>
      </c>
      <c r="EL62" s="278">
        <v>1.2960778333263536</v>
      </c>
      <c r="EM62" s="278">
        <v>1.37440405829121</v>
      </c>
      <c r="EN62" s="278">
        <v>1.4574963699310508</v>
      </c>
      <c r="EO62" s="279">
        <v>1.5456482133314318</v>
      </c>
      <c r="EP62" s="277">
        <v>0.50285928887947307</v>
      </c>
      <c r="EQ62" s="278">
        <v>0.53328462479797245</v>
      </c>
      <c r="ER62" s="278">
        <v>0.56556314812784103</v>
      </c>
      <c r="ES62" s="278">
        <v>0.59980899978858793</v>
      </c>
      <c r="ET62" s="278">
        <v>0.63614347810505323</v>
      </c>
      <c r="EU62" s="278">
        <v>0.67469550012127455</v>
      </c>
      <c r="EV62" s="278">
        <v>0.71560209383385376</v>
      </c>
      <c r="EW62" s="278">
        <v>0.7590089235246934</v>
      </c>
      <c r="EX62" s="278">
        <v>0.80148130934049644</v>
      </c>
      <c r="EY62" s="278">
        <v>0.84997467241115043</v>
      </c>
      <c r="EZ62" s="278">
        <v>0.90142173466916031</v>
      </c>
      <c r="FA62" s="278">
        <v>0.95600441939931091</v>
      </c>
      <c r="FB62" s="278">
        <v>1.0139160577030919</v>
      </c>
      <c r="FC62" s="278">
        <v>1.0753621237629165</v>
      </c>
      <c r="FD62" s="278">
        <v>1.1405610193873263</v>
      </c>
      <c r="FE62" s="278">
        <v>1.209744911311559</v>
      </c>
      <c r="FF62" s="278">
        <v>1.2774394416648081</v>
      </c>
      <c r="FG62" s="278">
        <v>1.354730495022495</v>
      </c>
      <c r="FH62" s="278">
        <v>1.4367292961426923</v>
      </c>
      <c r="FI62" s="279">
        <v>1.5237258031025669</v>
      </c>
      <c r="FJ62" s="277">
        <v>0.54944996602737972</v>
      </c>
      <c r="FK62" s="278">
        <v>0.53303084621224162</v>
      </c>
      <c r="FL62" s="278">
        <v>0.56528170228585062</v>
      </c>
      <c r="FM62" s="278">
        <v>0.59949693701551132</v>
      </c>
      <c r="FN62" s="278">
        <v>0.63579753977590325</v>
      </c>
      <c r="FO62" s="278">
        <v>0.67431208679135624</v>
      </c>
      <c r="FP62" s="278">
        <v>0.71517723012855117</v>
      </c>
      <c r="FQ62" s="278">
        <v>0.75853821946388511</v>
      </c>
      <c r="FR62" s="278">
        <v>0.80454945893617491</v>
      </c>
      <c r="FS62" s="278">
        <v>0.84957018790092631</v>
      </c>
      <c r="FT62" s="278">
        <v>0.90097315275581957</v>
      </c>
      <c r="FU62" s="278">
        <v>0.95550703874930987</v>
      </c>
      <c r="FV62" s="278">
        <v>1.0133646845632696</v>
      </c>
      <c r="FW62" s="278">
        <v>1.0747510211652771</v>
      </c>
      <c r="FX62" s="278">
        <v>1.1398838511886917</v>
      </c>
      <c r="FY62" s="278">
        <v>1.208994680550566</v>
      </c>
      <c r="FZ62" s="278">
        <v>1.2823296059902527</v>
      </c>
      <c r="GA62" s="278">
        <v>1.3540858081646969</v>
      </c>
      <c r="GB62" s="278">
        <v>1.4360143247238448</v>
      </c>
      <c r="GC62" s="279">
        <v>1.5229330539112538</v>
      </c>
      <c r="GD62" s="277">
        <v>0.54944996602737972</v>
      </c>
      <c r="GE62" s="278">
        <v>0.58466763648346542</v>
      </c>
      <c r="GF62" s="278">
        <v>0.56501269698497603</v>
      </c>
      <c r="GG62" s="278">
        <v>0.59919860442300166</v>
      </c>
      <c r="GH62" s="278">
        <v>0.63546675323644197</v>
      </c>
      <c r="GI62" s="278">
        <v>0.67394539216245741</v>
      </c>
      <c r="GJ62" s="278">
        <v>0.71477081199883785</v>
      </c>
      <c r="GK62" s="278">
        <v>0.75808786393626415</v>
      </c>
      <c r="GL62" s="278">
        <v>0.80405051263171801</v>
      </c>
      <c r="GM62" s="278">
        <v>0.85282242647234541</v>
      </c>
      <c r="GN62" s="278">
        <v>0.90054439917498208</v>
      </c>
      <c r="GO62" s="278">
        <v>0.9550315419211689</v>
      </c>
      <c r="GP62" s="278">
        <v>1.0128374610742685</v>
      </c>
      <c r="GQ62" s="278">
        <v>1.0741665656370656</v>
      </c>
      <c r="GR62" s="278">
        <v>1.1392360824351937</v>
      </c>
      <c r="GS62" s="278">
        <v>1.2082768822600134</v>
      </c>
      <c r="GT62" s="278">
        <v>1.2815343613836001</v>
      </c>
      <c r="GU62" s="278">
        <v>1.359269382349668</v>
      </c>
      <c r="GV62" s="278">
        <v>1.4353309566545784</v>
      </c>
      <c r="GW62" s="279">
        <v>1.5221751842072755</v>
      </c>
      <c r="GX62" s="277">
        <v>0.54944996602737972</v>
      </c>
      <c r="GY62" s="278">
        <v>0.58466763648346542</v>
      </c>
      <c r="GZ62" s="278">
        <v>0.62222337713938269</v>
      </c>
      <c r="HA62" s="278">
        <v>0.59891345880407465</v>
      </c>
      <c r="HB62" s="278">
        <v>0.63515052068838185</v>
      </c>
      <c r="HC62" s="278">
        <v>0.67359475843062855</v>
      </c>
      <c r="HD62" s="278">
        <v>0.714382115692205</v>
      </c>
      <c r="HE62" s="278">
        <v>0.75765706071876815</v>
      </c>
      <c r="HF62" s="278">
        <v>0.80357313577244005</v>
      </c>
      <c r="HG62" s="278">
        <v>0.85229354338962127</v>
      </c>
      <c r="HH62" s="278">
        <v>0.90399177206068615</v>
      </c>
      <c r="HI62" s="278">
        <v>0.95457706312548074</v>
      </c>
      <c r="HJ62" s="278">
        <v>1.012333434436439</v>
      </c>
      <c r="HK62" s="278">
        <v>1.0736077087387246</v>
      </c>
      <c r="HL62" s="278">
        <v>1.1386165595752897</v>
      </c>
      <c r="HM62" s="278">
        <v>1.2075902473813054</v>
      </c>
      <c r="HN62" s="278">
        <v>1.280773495195614</v>
      </c>
      <c r="HO62" s="278">
        <v>1.3584264230666161</v>
      </c>
      <c r="HP62" s="278">
        <v>1.440825545290648</v>
      </c>
      <c r="HQ62" s="279">
        <v>1.521450814053853</v>
      </c>
      <c r="HR62" s="277">
        <v>0.54944996602737972</v>
      </c>
      <c r="HS62" s="278">
        <v>0.58466763648346542</v>
      </c>
      <c r="HT62" s="278">
        <v>0.62222337713938269</v>
      </c>
      <c r="HU62" s="278">
        <v>0.66227954453377558</v>
      </c>
      <c r="HV62" s="278">
        <v>0.63484826633231894</v>
      </c>
      <c r="HW62" s="278">
        <v>0.67325955192968479</v>
      </c>
      <c r="HX62" s="278">
        <v>0.7140104439364664</v>
      </c>
      <c r="HY62" s="278">
        <v>0.75724504263373726</v>
      </c>
      <c r="HZ62" s="278">
        <v>0.8031164843618942</v>
      </c>
      <c r="IA62" s="278">
        <v>0.85178752391878632</v>
      </c>
      <c r="IB62" s="278">
        <v>0.9034311559929985</v>
      </c>
      <c r="IC62" s="278">
        <v>0.9582312783843272</v>
      </c>
      <c r="ID62" s="278">
        <v>1.0118516869130099</v>
      </c>
      <c r="IE62" s="278">
        <v>1.073073440502625</v>
      </c>
      <c r="IF62" s="278">
        <v>1.1380241712630483</v>
      </c>
      <c r="IG62" s="278">
        <v>1.2069335531498071</v>
      </c>
      <c r="IH62" s="278">
        <v>1.2800456622241838</v>
      </c>
      <c r="II62" s="278">
        <v>1.3576199049073507</v>
      </c>
      <c r="IJ62" s="278">
        <v>1.4399320084506126</v>
      </c>
      <c r="IK62" s="279">
        <v>1.5272750780080866</v>
      </c>
      <c r="IL62" s="277">
        <v>0.54944996602737972</v>
      </c>
      <c r="IM62" s="278">
        <v>0.58466763648346542</v>
      </c>
      <c r="IN62" s="278">
        <v>0.62222337713938269</v>
      </c>
      <c r="IO62" s="278">
        <v>0.66227954453377558</v>
      </c>
      <c r="IP62" s="278">
        <v>0.7050103519040366</v>
      </c>
      <c r="IQ62" s="278">
        <v>0.67293916231225814</v>
      </c>
      <c r="IR62" s="278">
        <v>0.71365512504546591</v>
      </c>
      <c r="IS62" s="278">
        <v>0.75685107057265422</v>
      </c>
      <c r="IT62" s="278">
        <v>0.80267974519176133</v>
      </c>
      <c r="IU62" s="278">
        <v>0.85130347342360779</v>
      </c>
      <c r="IV62" s="278">
        <v>0.90289477535391349</v>
      </c>
      <c r="IW62" s="278">
        <v>0.95763702535257844</v>
      </c>
      <c r="IX62" s="278">
        <v>1.0157251550873869</v>
      </c>
      <c r="IY62" s="278">
        <v>1.0725627881277899</v>
      </c>
      <c r="IZ62" s="278">
        <v>1.1374578469327827</v>
      </c>
      <c r="JA62" s="278">
        <v>1.206305621538831</v>
      </c>
      <c r="JB62" s="278">
        <v>1.2793495663387953</v>
      </c>
      <c r="JC62" s="278">
        <v>1.3568484019576348</v>
      </c>
      <c r="JD62" s="278">
        <v>1.4390770992017918</v>
      </c>
      <c r="JE62" s="279">
        <v>1.5263279289576499</v>
      </c>
    </row>
    <row r="63" spans="2:265" x14ac:dyDescent="0.25">
      <c r="B63" s="83"/>
      <c r="C63" s="180" t="s">
        <v>209</v>
      </c>
      <c r="D63" s="83" t="s">
        <v>204</v>
      </c>
      <c r="E63" s="83" t="s">
        <v>251</v>
      </c>
      <c r="F63" s="280">
        <v>7.890918590226445E-2</v>
      </c>
      <c r="G63" s="281">
        <v>8.4325055254261344E-2</v>
      </c>
      <c r="H63" s="281">
        <v>9.0143669477334931E-2</v>
      </c>
      <c r="I63" s="281">
        <v>9.6398200651103716E-2</v>
      </c>
      <c r="J63" s="281">
        <v>0.10312487992410932</v>
      </c>
      <c r="K63" s="281">
        <v>0.11036331141154199</v>
      </c>
      <c r="L63" s="281">
        <v>0.118156821100781</v>
      </c>
      <c r="M63" s="281">
        <v>0.12655284482901819</v>
      </c>
      <c r="N63" s="281">
        <v>0.13560335984700336</v>
      </c>
      <c r="O63" s="281">
        <v>0.10986470360837297</v>
      </c>
      <c r="P63" s="281">
        <v>0.11647811046513312</v>
      </c>
      <c r="Q63" s="281">
        <v>0.12349201978359825</v>
      </c>
      <c r="R63" s="281">
        <v>0.13093095578675282</v>
      </c>
      <c r="S63" s="281">
        <v>0.13882097357219489</v>
      </c>
      <c r="T63" s="281">
        <v>0.14718975772530885</v>
      </c>
      <c r="U63" s="281">
        <v>0.15606672759492196</v>
      </c>
      <c r="V63" s="281">
        <v>0.16548314971218359</v>
      </c>
      <c r="W63" s="281">
        <v>0.17621086481227763</v>
      </c>
      <c r="X63" s="281">
        <v>0.18690693123366972</v>
      </c>
      <c r="Y63" s="282">
        <v>0.19826050312492227</v>
      </c>
      <c r="Z63" s="280">
        <v>6.5028749261977575E-2</v>
      </c>
      <c r="AA63" s="281">
        <v>6.8943214619192852E-2</v>
      </c>
      <c r="AB63" s="281">
        <v>7.3094736768131288E-2</v>
      </c>
      <c r="AC63" s="281">
        <v>7.7497831558696662E-2</v>
      </c>
      <c r="AD63" s="281">
        <v>8.2167920963124405E-2</v>
      </c>
      <c r="AE63" s="281">
        <v>8.7121391444966972E-2</v>
      </c>
      <c r="AF63" s="281">
        <v>9.2375656271593304E-2</v>
      </c>
      <c r="AG63" s="281">
        <v>9.7949222054750623E-2</v>
      </c>
      <c r="AH63" s="281">
        <v>0.10429894013968415</v>
      </c>
      <c r="AI63" s="281">
        <v>0.11062992542032118</v>
      </c>
      <c r="AJ63" s="281">
        <v>0.11735008717833127</v>
      </c>
      <c r="AK63" s="281">
        <v>0.1244838722195054</v>
      </c>
      <c r="AL63" s="281">
        <v>0.13205731764564743</v>
      </c>
      <c r="AM63" s="281">
        <v>0.14009815986871768</v>
      </c>
      <c r="AN63" s="281">
        <v>0.14863595165044433</v>
      </c>
      <c r="AO63" s="281">
        <v>0.15770218781170525</v>
      </c>
      <c r="AP63" s="281">
        <v>0.16623666491724304</v>
      </c>
      <c r="AQ63" s="281">
        <v>0.17632729361666952</v>
      </c>
      <c r="AR63" s="281">
        <v>0.18703821049520972</v>
      </c>
      <c r="AS63" s="282">
        <v>0.19840838004720202</v>
      </c>
      <c r="AT63" s="280">
        <v>7.890918590226445E-2</v>
      </c>
      <c r="AU63" s="281">
        <v>6.8930474217696242E-2</v>
      </c>
      <c r="AV63" s="281">
        <v>7.3079807496344421E-2</v>
      </c>
      <c r="AW63" s="281">
        <v>7.7480420974219172E-2</v>
      </c>
      <c r="AX63" s="281">
        <v>8.2147701452218475E-2</v>
      </c>
      <c r="AY63" s="281">
        <v>8.7097996220911869E-2</v>
      </c>
      <c r="AZ63" s="281">
        <v>9.2348674931664987E-2</v>
      </c>
      <c r="BA63" s="281">
        <v>9.7918195647888909E-2</v>
      </c>
      <c r="BB63" s="281">
        <v>0.10382617537803566</v>
      </c>
      <c r="BC63" s="281">
        <v>0.11055687654806517</v>
      </c>
      <c r="BD63" s="281">
        <v>0.11726772094554046</v>
      </c>
      <c r="BE63" s="281">
        <v>0.12439109240903114</v>
      </c>
      <c r="BF63" s="281">
        <v>0.13195290455267572</v>
      </c>
      <c r="BG63" s="281">
        <v>0.13998075670438628</v>
      </c>
      <c r="BH63" s="281">
        <v>0.14850404946084073</v>
      </c>
      <c r="BI63" s="281">
        <v>0.15755410874947098</v>
      </c>
      <c r="BJ63" s="281">
        <v>0.16716431908040758</v>
      </c>
      <c r="BK63" s="281">
        <v>0.17621086481227763</v>
      </c>
      <c r="BL63" s="281">
        <v>0.18690693123366972</v>
      </c>
      <c r="BM63" s="282">
        <v>0.19826050312492227</v>
      </c>
      <c r="BN63" s="280">
        <v>7.890918590226445E-2</v>
      </c>
      <c r="BO63" s="281">
        <v>8.4325055254261344E-2</v>
      </c>
      <c r="BP63" s="281">
        <v>7.3066302670758004E-2</v>
      </c>
      <c r="BQ63" s="281">
        <v>7.7464595946125092E-2</v>
      </c>
      <c r="BR63" s="281">
        <v>8.2129246232672315E-2</v>
      </c>
      <c r="BS63" s="281">
        <v>8.7076563539351573E-2</v>
      </c>
      <c r="BT63" s="281">
        <v>9.2323875994166582E-2</v>
      </c>
      <c r="BU63" s="281">
        <v>9.7889595427564896E-2</v>
      </c>
      <c r="BV63" s="281">
        <v>0.10379328738676223</v>
      </c>
      <c r="BW63" s="281">
        <v>0.11005574590071779</v>
      </c>
      <c r="BX63" s="281">
        <v>0.11719028914094907</v>
      </c>
      <c r="BY63" s="281">
        <v>0.12430378420227289</v>
      </c>
      <c r="BZ63" s="281">
        <v>0.13185455795357301</v>
      </c>
      <c r="CA63" s="281">
        <v>0.13987007882583627</v>
      </c>
      <c r="CB63" s="281">
        <v>0.14837960210664947</v>
      </c>
      <c r="CC63" s="281">
        <v>0.1574142924284912</v>
      </c>
      <c r="CD63" s="281">
        <v>0.16700735527443925</v>
      </c>
      <c r="CE63" s="281">
        <v>0.17719417822523201</v>
      </c>
      <c r="CF63" s="281">
        <v>0.18678351670101428</v>
      </c>
      <c r="CG63" s="282">
        <v>0.19812134710768989</v>
      </c>
      <c r="CH63" s="280">
        <v>7.890918590226445E-2</v>
      </c>
      <c r="CI63" s="281">
        <v>8.4325055254261344E-2</v>
      </c>
      <c r="CJ63" s="281">
        <v>9.0143669477334931E-2</v>
      </c>
      <c r="CK63" s="281">
        <v>7.7450280831003498E-2</v>
      </c>
      <c r="CL63" s="281">
        <v>8.2112471702892612E-2</v>
      </c>
      <c r="CM63" s="281">
        <v>8.7057001006632662E-2</v>
      </c>
      <c r="CN63" s="281">
        <v>9.2301157351712668E-2</v>
      </c>
      <c r="CO63" s="281">
        <v>9.7863308553816572E-2</v>
      </c>
      <c r="CP63" s="281">
        <v>0.10376297115321878</v>
      </c>
      <c r="CQ63" s="281">
        <v>0.11002088462996797</v>
      </c>
      <c r="CR63" s="281">
        <v>0.11665909065476085</v>
      </c>
      <c r="CS63" s="281">
        <v>0.12422170648940603</v>
      </c>
      <c r="CT63" s="281">
        <v>0.13176201125440926</v>
      </c>
      <c r="CU63" s="281">
        <v>0.13976583143078741</v>
      </c>
      <c r="CV63" s="281">
        <v>0.14826228355538645</v>
      </c>
      <c r="CW63" s="281">
        <v>0.15728237823304844</v>
      </c>
      <c r="CX63" s="281">
        <v>0.16685914997420065</v>
      </c>
      <c r="CY63" s="281">
        <v>0.17702779659090559</v>
      </c>
      <c r="CZ63" s="281">
        <v>0.18782582891874594</v>
      </c>
      <c r="DA63" s="282">
        <v>0.19799052770307515</v>
      </c>
      <c r="DB63" s="280">
        <v>7.890918590226445E-2</v>
      </c>
      <c r="DC63" s="281">
        <v>8.4325055254261344E-2</v>
      </c>
      <c r="DD63" s="281">
        <v>9.0143669477334931E-2</v>
      </c>
      <c r="DE63" s="281">
        <v>9.6398200651103716E-2</v>
      </c>
      <c r="DF63" s="281">
        <v>8.2097297680863698E-2</v>
      </c>
      <c r="DG63" s="281">
        <v>8.7039220005066156E-2</v>
      </c>
      <c r="DH63" s="281">
        <v>9.2280421067030619E-2</v>
      </c>
      <c r="DI63" s="281">
        <v>9.783922679281544E-2</v>
      </c>
      <c r="DJ63" s="281">
        <v>0.10373510706704557</v>
      </c>
      <c r="DK63" s="281">
        <v>0.10998874942241192</v>
      </c>
      <c r="DL63" s="281">
        <v>0.11662213770776604</v>
      </c>
      <c r="DM63" s="281">
        <v>0.12365863609404651</v>
      </c>
      <c r="DN63" s="281">
        <v>0.1316750088787704</v>
      </c>
      <c r="DO63" s="281">
        <v>0.13966773192967383</v>
      </c>
      <c r="DP63" s="281">
        <v>0.14815178131663465</v>
      </c>
      <c r="DQ63" s="281">
        <v>0.15715802056870962</v>
      </c>
      <c r="DR63" s="281">
        <v>0.16671932092703134</v>
      </c>
      <c r="DS63" s="281">
        <v>0.17687069897265267</v>
      </c>
      <c r="DT63" s="281">
        <v>0.18764946438635993</v>
      </c>
      <c r="DU63" s="282">
        <v>0.1990953786538707</v>
      </c>
      <c r="DV63" s="280">
        <v>7.890918590226445E-2</v>
      </c>
      <c r="DW63" s="281">
        <v>8.4325055254261344E-2</v>
      </c>
      <c r="DX63" s="281">
        <v>9.0143669477334931E-2</v>
      </c>
      <c r="DY63" s="281">
        <v>9.6398200651103716E-2</v>
      </c>
      <c r="DZ63" s="281">
        <v>0.10312487992410932</v>
      </c>
      <c r="EA63" s="281">
        <v>8.7023135541715521E-2</v>
      </c>
      <c r="EB63" s="281">
        <v>9.2261573205370137E-2</v>
      </c>
      <c r="EC63" s="281">
        <v>9.781724633105246E-2</v>
      </c>
      <c r="ED63" s="281">
        <v>0.10370958040038436</v>
      </c>
      <c r="EE63" s="281">
        <v>0.1099592134910683</v>
      </c>
      <c r="EF63" s="281">
        <v>0.11658807438775662</v>
      </c>
      <c r="EG63" s="281">
        <v>0.123619465970232</v>
      </c>
      <c r="EH63" s="281">
        <v>0.1310781542596893</v>
      </c>
      <c r="EI63" s="281">
        <v>0.13957550941149663</v>
      </c>
      <c r="EJ63" s="281">
        <v>0.14804779584545424</v>
      </c>
      <c r="EK63" s="281">
        <v>0.15704088819563272</v>
      </c>
      <c r="EL63" s="281">
        <v>0.16658750180283219</v>
      </c>
      <c r="EM63" s="281">
        <v>0.17672248018265321</v>
      </c>
      <c r="EN63" s="281">
        <v>0.18748294091101181</v>
      </c>
      <c r="EO63" s="282">
        <v>0.19890843224954152</v>
      </c>
      <c r="EP63" s="280">
        <v>6.7335080731044286E-2</v>
      </c>
      <c r="EQ63" s="281">
        <v>7.1410426577764613E-2</v>
      </c>
      <c r="ER63" s="281">
        <v>7.5735443895104129E-2</v>
      </c>
      <c r="ES63" s="281">
        <v>8.0325757915813534E-2</v>
      </c>
      <c r="ET63" s="281">
        <v>8.5198006454289363E-2</v>
      </c>
      <c r="EU63" s="281">
        <v>9.0369909074714302E-2</v>
      </c>
      <c r="EV63" s="281">
        <v>9.5860341336437185E-2</v>
      </c>
      <c r="EW63" s="281">
        <v>0.10168941452329114</v>
      </c>
      <c r="EX63" s="281">
        <v>0.10732188877155371</v>
      </c>
      <c r="EY63" s="281">
        <v>0.11381737090239614</v>
      </c>
      <c r="EZ63" s="281">
        <v>0.1207107914259503</v>
      </c>
      <c r="FA63" s="281">
        <v>0.1280270545893499</v>
      </c>
      <c r="FB63" s="281">
        <v>0.1357926785410353</v>
      </c>
      <c r="FC63" s="281">
        <v>0.14403590557426063</v>
      </c>
      <c r="FD63" s="281">
        <v>0.15278682046294964</v>
      </c>
      <c r="FE63" s="281">
        <v>0.16207747753811622</v>
      </c>
      <c r="FF63" s="281">
        <v>0.17105478577355399</v>
      </c>
      <c r="FG63" s="281">
        <v>0.18140759746094673</v>
      </c>
      <c r="FH63" s="281">
        <v>0.19239466248934492</v>
      </c>
      <c r="FI63" s="282">
        <v>0.20405567444509032</v>
      </c>
      <c r="FJ63" s="280">
        <v>7.890918590226445E-2</v>
      </c>
      <c r="FK63" s="281">
        <v>7.1375185574906935E-2</v>
      </c>
      <c r="FL63" s="281">
        <v>7.5695052172430485E-2</v>
      </c>
      <c r="FM63" s="281">
        <v>8.0279570528810379E-2</v>
      </c>
      <c r="FN63" s="281">
        <v>8.5145303390762345E-2</v>
      </c>
      <c r="FO63" s="281">
        <v>9.0309886841546713E-2</v>
      </c>
      <c r="FP63" s="281">
        <v>9.5792103619197169E-2</v>
      </c>
      <c r="FQ63" s="281">
        <v>0.10161196181662342</v>
      </c>
      <c r="FR63" s="281">
        <v>0.10779077939468863</v>
      </c>
      <c r="FS63" s="281">
        <v>0.11376120209784692</v>
      </c>
      <c r="FT63" s="281">
        <v>0.12064641315653991</v>
      </c>
      <c r="FU63" s="281">
        <v>0.12795343891150732</v>
      </c>
      <c r="FV63" s="281">
        <v>0.13570867786471089</v>
      </c>
      <c r="FW63" s="281">
        <v>0.14394023925349742</v>
      </c>
      <c r="FX63" s="281">
        <v>0.15267805990871625</v>
      </c>
      <c r="FY63" s="281">
        <v>0.16195402969072664</v>
      </c>
      <c r="FZ63" s="281">
        <v>0.17180212619040319</v>
      </c>
      <c r="GA63" s="281">
        <v>0.18131807291996724</v>
      </c>
      <c r="GB63" s="281">
        <v>0.19229205330860352</v>
      </c>
      <c r="GC63" s="282">
        <v>0.20393834223870558</v>
      </c>
      <c r="GD63" s="280">
        <v>7.890918590226445E-2</v>
      </c>
      <c r="GE63" s="281">
        <v>8.4325055254261344E-2</v>
      </c>
      <c r="GF63" s="281">
        <v>7.5657696709401354E-2</v>
      </c>
      <c r="GG63" s="281">
        <v>8.0236755302776297E-2</v>
      </c>
      <c r="GH63" s="281">
        <v>8.5096344760538997E-2</v>
      </c>
      <c r="GI63" s="281">
        <v>9.0254021594208089E-2</v>
      </c>
      <c r="GJ63" s="281">
        <v>9.572848005203953E-2</v>
      </c>
      <c r="GK63" s="281">
        <v>0.101539629836349</v>
      </c>
      <c r="GL63" s="281">
        <v>0.10770867952562084</v>
      </c>
      <c r="GM63" s="281">
        <v>0.11425822615836995</v>
      </c>
      <c r="GN63" s="281">
        <v>0.12058687422371774</v>
      </c>
      <c r="GO63" s="281">
        <v>0.12788519794593231</v>
      </c>
      <c r="GP63" s="281">
        <v>0.13563064524619775</v>
      </c>
      <c r="GQ63" s="281">
        <v>0.14385119853659356</v>
      </c>
      <c r="GR63" s="281">
        <v>0.15257665360870726</v>
      </c>
      <c r="GS63" s="281">
        <v>0.16183874350323924</v>
      </c>
      <c r="GT63" s="281">
        <v>0.17167127147217023</v>
      </c>
      <c r="GU63" s="281">
        <v>0.18211025376182735</v>
      </c>
      <c r="GV63" s="281">
        <v>0.19219715729516529</v>
      </c>
      <c r="GW63" s="282">
        <v>0.20382957650711978</v>
      </c>
      <c r="GX63" s="280">
        <v>7.890918590226445E-2</v>
      </c>
      <c r="GY63" s="281">
        <v>8.4325055254261344E-2</v>
      </c>
      <c r="GZ63" s="281">
        <v>9.0143669477334931E-2</v>
      </c>
      <c r="HA63" s="281">
        <v>8.0197158511965433E-2</v>
      </c>
      <c r="HB63" s="281">
        <v>8.5050960620942889E-2</v>
      </c>
      <c r="HC63" s="281">
        <v>9.0202125446171344E-2</v>
      </c>
      <c r="HD63" s="281">
        <v>9.5669262889860565E-2</v>
      </c>
      <c r="HE63" s="281">
        <v>0.10147218885516189</v>
      </c>
      <c r="HF63" s="281">
        <v>0.10763200762652993</v>
      </c>
      <c r="HG63" s="281">
        <v>0.11417120029715808</v>
      </c>
      <c r="HH63" s="281">
        <v>0.12111371972787213</v>
      </c>
      <c r="HI63" s="281">
        <v>0.12782208667714079</v>
      </c>
      <c r="HJ63" s="281">
        <v>0.13555830982268824</v>
      </c>
      <c r="HK63" s="281">
        <v>0.14376848396096961</v>
      </c>
      <c r="HL63" s="281">
        <v>0.15248227044878918</v>
      </c>
      <c r="HM63" s="281">
        <v>0.16173125282522971</v>
      </c>
      <c r="HN63" s="281">
        <v>0.17154906811343359</v>
      </c>
      <c r="HO63" s="281">
        <v>0.18197154776050042</v>
      </c>
      <c r="HP63" s="281">
        <v>0.193036868987537</v>
      </c>
      <c r="HQ63" s="282">
        <v>0.20372898673287521</v>
      </c>
      <c r="HR63" s="280">
        <v>7.890918590226445E-2</v>
      </c>
      <c r="HS63" s="281">
        <v>8.4325055254261344E-2</v>
      </c>
      <c r="HT63" s="281">
        <v>9.0143669477334931E-2</v>
      </c>
      <c r="HU63" s="281">
        <v>9.6398200651103716E-2</v>
      </c>
      <c r="HV63" s="281">
        <v>8.5008988022683363E-2</v>
      </c>
      <c r="HW63" s="281">
        <v>9.0154018258199478E-2</v>
      </c>
      <c r="HX63" s="281">
        <v>9.5614252972941613E-2</v>
      </c>
      <c r="HY63" s="281">
        <v>0.10140941866325222</v>
      </c>
      <c r="HZ63" s="281">
        <v>0.10756052018647162</v>
      </c>
      <c r="IA63" s="281">
        <v>0.11408992808412172</v>
      </c>
      <c r="IB63" s="281">
        <v>0.12102147231498755</v>
      </c>
      <c r="IC63" s="281">
        <v>0.12838054291154447</v>
      </c>
      <c r="ID63" s="281">
        <v>0.13549141187776925</v>
      </c>
      <c r="IE63" s="281">
        <v>0.14369180841204954</v>
      </c>
      <c r="IF63" s="281">
        <v>0.15239459299862779</v>
      </c>
      <c r="IG63" s="281">
        <v>0.16163120667571654</v>
      </c>
      <c r="IH63" s="281">
        <v>0.17143512799474347</v>
      </c>
      <c r="II63" s="281">
        <v>0.1818420122002396</v>
      </c>
      <c r="IJ63" s="281">
        <v>0.19288984062613046</v>
      </c>
      <c r="IK63" s="282">
        <v>0.20461908112678923</v>
      </c>
      <c r="IL63" s="280">
        <v>7.890918590226445E-2</v>
      </c>
      <c r="IM63" s="281">
        <v>8.4325055254261344E-2</v>
      </c>
      <c r="IN63" s="281">
        <v>9.0143669477334931E-2</v>
      </c>
      <c r="IO63" s="281">
        <v>9.6398200651103716E-2</v>
      </c>
      <c r="IP63" s="281">
        <v>0.10312487992410932</v>
      </c>
      <c r="IQ63" s="281">
        <v>9.0109527304044354E-2</v>
      </c>
      <c r="IR63" s="281">
        <v>9.5563259353691435E-2</v>
      </c>
      <c r="IS63" s="281">
        <v>0.10135110815131811</v>
      </c>
      <c r="IT63" s="281">
        <v>0.10749398378304734</v>
      </c>
      <c r="IU63" s="281">
        <v>0.1140141513976599</v>
      </c>
      <c r="IV63" s="281">
        <v>0.12093532376916903</v>
      </c>
      <c r="IW63" s="281">
        <v>0.1282827606538868</v>
      </c>
      <c r="IX63" s="281">
        <v>0.13608337548623711</v>
      </c>
      <c r="IY63" s="281">
        <v>0.14362089659043539</v>
      </c>
      <c r="IZ63" s="281">
        <v>0.15231331691677252</v>
      </c>
      <c r="JA63" s="281">
        <v>0.16153826857854545</v>
      </c>
      <c r="JB63" s="281">
        <v>0.17132907907625952</v>
      </c>
      <c r="JC63" s="281">
        <v>0.18172123567442808</v>
      </c>
      <c r="JD63" s="281">
        <v>0.19275253293225397</v>
      </c>
      <c r="JE63" s="282">
        <v>0.20446323106369829</v>
      </c>
    </row>
    <row r="64" spans="2:265" x14ac:dyDescent="0.25">
      <c r="B64" s="83"/>
      <c r="C64" s="59"/>
      <c r="D64" s="138" t="s">
        <v>131</v>
      </c>
      <c r="E64" s="138" t="s">
        <v>251</v>
      </c>
      <c r="F64" s="283">
        <v>0.6283591519296442</v>
      </c>
      <c r="G64" s="284">
        <v>0.6689926917377268</v>
      </c>
      <c r="H64" s="284">
        <v>0.71236704661671757</v>
      </c>
      <c r="I64" s="284">
        <v>0.75867774518487929</v>
      </c>
      <c r="J64" s="284">
        <v>0.80813523182814595</v>
      </c>
      <c r="K64" s="284">
        <v>0.86096608850465739</v>
      </c>
      <c r="L64" s="284">
        <v>0.9174143634735924</v>
      </c>
      <c r="M64" s="284">
        <v>0.97774301676450193</v>
      </c>
      <c r="N64" s="284">
        <v>1.0422354931005116</v>
      </c>
      <c r="O64" s="284">
        <v>0.96784603700188088</v>
      </c>
      <c r="P64" s="284">
        <v>1.0260477076744046</v>
      </c>
      <c r="Q64" s="284">
        <v>1.0877607808039129</v>
      </c>
      <c r="R64" s="284">
        <v>1.1531983780154942</v>
      </c>
      <c r="S64" s="284">
        <v>1.2225866931459917</v>
      </c>
      <c r="T64" s="284">
        <v>1.2961658083757328</v>
      </c>
      <c r="U64" s="284">
        <v>1.3741905627698519</v>
      </c>
      <c r="V64" s="284">
        <v>1.4569314767382437</v>
      </c>
      <c r="W64" s="284">
        <v>1.548541703413842</v>
      </c>
      <c r="X64" s="284">
        <v>1.642082480762874</v>
      </c>
      <c r="Y64" s="285">
        <v>1.7413123031610409</v>
      </c>
      <c r="Z64" s="283">
        <v>0.57286658223503717</v>
      </c>
      <c r="AA64" s="284">
        <v>0.60731606168098462</v>
      </c>
      <c r="AB64" s="284">
        <v>0.64384393484605673</v>
      </c>
      <c r="AC64" s="284">
        <v>0.68257634809268808</v>
      </c>
      <c r="AD64" s="284">
        <v>0.72364718520536708</v>
      </c>
      <c r="AE64" s="284">
        <v>0.76719855045774954</v>
      </c>
      <c r="AF64" s="284">
        <v>0.81338128270093613</v>
      </c>
      <c r="AG64" s="284">
        <v>0.86235550254989746</v>
      </c>
      <c r="AH64" s="284">
        <v>0.91657945496282112</v>
      </c>
      <c r="AI64" s="284">
        <v>0.97194609735311732</v>
      </c>
      <c r="AJ64" s="284">
        <v>1.0306800767669495</v>
      </c>
      <c r="AK64" s="284">
        <v>1.0929886258431545</v>
      </c>
      <c r="AL64" s="284">
        <v>1.1590919830240309</v>
      </c>
      <c r="AM64" s="284">
        <v>1.2292242342223059</v>
      </c>
      <c r="AN64" s="284">
        <v>1.3036342114381763</v>
      </c>
      <c r="AO64" s="284">
        <v>1.3825864524123903</v>
      </c>
      <c r="AP64" s="284">
        <v>1.4608883994470205</v>
      </c>
      <c r="AQ64" s="284">
        <v>1.5491344158140319</v>
      </c>
      <c r="AR64" s="284">
        <v>1.6427474558123027</v>
      </c>
      <c r="AS64" s="285">
        <v>1.7420578167842222</v>
      </c>
      <c r="AT64" s="283">
        <v>0.6283591519296442</v>
      </c>
      <c r="AU64" s="284">
        <v>0.60723857716913954</v>
      </c>
      <c r="AV64" s="284">
        <v>0.6437550253818437</v>
      </c>
      <c r="AW64" s="284">
        <v>0.68247457093682018</v>
      </c>
      <c r="AX64" s="284">
        <v>0.72353092897824967</v>
      </c>
      <c r="AY64" s="284">
        <v>0.76706601631768911</v>
      </c>
      <c r="AZ64" s="284">
        <v>0.81323046348521466</v>
      </c>
      <c r="BA64" s="284">
        <v>0.86218415966299233</v>
      </c>
      <c r="BB64" s="284">
        <v>0.9140968327028911</v>
      </c>
      <c r="BC64" s="284">
        <v>0.97157422226059054</v>
      </c>
      <c r="BD64" s="284">
        <v>1.0302628631943043</v>
      </c>
      <c r="BE64" s="284">
        <v>1.0925208813729665</v>
      </c>
      <c r="BF64" s="284">
        <v>1.1585679433937435</v>
      </c>
      <c r="BG64" s="284">
        <v>1.2286375020054727</v>
      </c>
      <c r="BH64" s="284">
        <v>1.3029776882756439</v>
      </c>
      <c r="BI64" s="284">
        <v>1.3818522641244664</v>
      </c>
      <c r="BJ64" s="284">
        <v>1.4655416395571337</v>
      </c>
      <c r="BK64" s="284">
        <v>1.548541703413842</v>
      </c>
      <c r="BL64" s="284">
        <v>1.642082480762874</v>
      </c>
      <c r="BM64" s="285">
        <v>1.7413123031610409</v>
      </c>
      <c r="BN64" s="283">
        <v>0.6283591519296442</v>
      </c>
      <c r="BO64" s="284">
        <v>0.6689926917377268</v>
      </c>
      <c r="BP64" s="284">
        <v>0.64367289179928788</v>
      </c>
      <c r="BQ64" s="284">
        <v>0.68238032690475436</v>
      </c>
      <c r="BR64" s="284">
        <v>0.72342304519302947</v>
      </c>
      <c r="BS64" s="284">
        <v>0.76694278471694455</v>
      </c>
      <c r="BT64" s="284">
        <v>0.81308997729675048</v>
      </c>
      <c r="BU64" s="284">
        <v>0.86202429129432756</v>
      </c>
      <c r="BV64" s="284">
        <v>0.91391520924277181</v>
      </c>
      <c r="BW64" s="284">
        <v>0.96894264266506447</v>
      </c>
      <c r="BX64" s="284">
        <v>1.0298686755962259</v>
      </c>
      <c r="BY64" s="284">
        <v>1.0920786349859624</v>
      </c>
      <c r="BZ64" s="284">
        <v>1.1580721342553446</v>
      </c>
      <c r="CA64" s="284">
        <v>1.2280820199973683</v>
      </c>
      <c r="CB64" s="284">
        <v>1.3023557521258011</v>
      </c>
      <c r="CC64" s="284">
        <v>1.3811563495721826</v>
      </c>
      <c r="CD64" s="284">
        <v>1.4647633999719345</v>
      </c>
      <c r="CE64" s="284">
        <v>1.5534741379305617</v>
      </c>
      <c r="CF64" s="284">
        <v>1.6414542056186727</v>
      </c>
      <c r="CG64" s="285">
        <v>1.7406074296086462</v>
      </c>
      <c r="CH64" s="283">
        <v>0.6283591519296442</v>
      </c>
      <c r="CI64" s="284">
        <v>0.6689926917377268</v>
      </c>
      <c r="CJ64" s="284">
        <v>0.71236704661671757</v>
      </c>
      <c r="CK64" s="284">
        <v>0.68229326530724499</v>
      </c>
      <c r="CL64" s="284">
        <v>0.72332314651903951</v>
      </c>
      <c r="CM64" s="284">
        <v>0.76682842790461114</v>
      </c>
      <c r="CN64" s="284">
        <v>0.81295935179996126</v>
      </c>
      <c r="CO64" s="284">
        <v>0.86187537593455543</v>
      </c>
      <c r="CP64" s="284">
        <v>0.91374574877198689</v>
      </c>
      <c r="CQ64" s="284">
        <v>0.96875012179733822</v>
      </c>
      <c r="CR64" s="284">
        <v>1.0270792012249683</v>
      </c>
      <c r="CS64" s="284">
        <v>1.0916607961319995</v>
      </c>
      <c r="CT64" s="284">
        <v>1.1576033530851204</v>
      </c>
      <c r="CU64" s="284">
        <v>1.2275564623106654</v>
      </c>
      <c r="CV64" s="284">
        <v>1.3017669411972104</v>
      </c>
      <c r="CW64" s="284">
        <v>1.3804970972533492</v>
      </c>
      <c r="CX64" s="284">
        <v>1.4640257305465136</v>
      </c>
      <c r="CY64" s="284">
        <v>1.5526492039702504</v>
      </c>
      <c r="CZ64" s="284">
        <v>1.6466825862063954</v>
      </c>
      <c r="DA64" s="285">
        <v>1.7399414579557926</v>
      </c>
      <c r="DB64" s="283">
        <v>0.6283591519296442</v>
      </c>
      <c r="DC64" s="284">
        <v>0.6689926917377268</v>
      </c>
      <c r="DD64" s="284">
        <v>0.71236704661671757</v>
      </c>
      <c r="DE64" s="284">
        <v>0.75867774518487929</v>
      </c>
      <c r="DF64" s="284">
        <v>0.72323086122567981</v>
      </c>
      <c r="DG64" s="284">
        <v>0.76672253531018197</v>
      </c>
      <c r="DH64" s="284">
        <v>0.81283813357888779</v>
      </c>
      <c r="DI64" s="284">
        <v>0.86173691290795884</v>
      </c>
      <c r="DJ64" s="284">
        <v>0.91358789849062882</v>
      </c>
      <c r="DK64" s="284">
        <v>0.96857049369830639</v>
      </c>
      <c r="DL64" s="284">
        <v>1.0268751291051785</v>
      </c>
      <c r="DM64" s="284">
        <v>1.0887039532984666</v>
      </c>
      <c r="DN64" s="284">
        <v>1.1571604438999192</v>
      </c>
      <c r="DO64" s="284">
        <v>1.2270595542702274</v>
      </c>
      <c r="DP64" s="284">
        <v>1.3012098500493052</v>
      </c>
      <c r="DQ64" s="284">
        <v>1.3798729576690429</v>
      </c>
      <c r="DR64" s="284">
        <v>1.4633269230885504</v>
      </c>
      <c r="DS64" s="284">
        <v>1.5518672743793043</v>
      </c>
      <c r="DT64" s="284">
        <v>1.6458081562084654</v>
      </c>
      <c r="DU64" s="285">
        <v>1.7454835413787793</v>
      </c>
      <c r="DV64" s="283">
        <v>0.6283591519296442</v>
      </c>
      <c r="DW64" s="284">
        <v>0.6689926917377268</v>
      </c>
      <c r="DX64" s="284">
        <v>0.71236704661671757</v>
      </c>
      <c r="DY64" s="284">
        <v>0.75867774518487929</v>
      </c>
      <c r="DZ64" s="284">
        <v>0.80813523182814595</v>
      </c>
      <c r="EA64" s="284">
        <v>0.76662471289922063</v>
      </c>
      <c r="EB64" s="284">
        <v>0.81272588742879281</v>
      </c>
      <c r="EC64" s="284">
        <v>0.86160842159362117</v>
      </c>
      <c r="ED64" s="284">
        <v>0.91344112768243624</v>
      </c>
      <c r="EE64" s="284">
        <v>0.96840317240006646</v>
      </c>
      <c r="EF64" s="284">
        <v>1.0266847233202046</v>
      </c>
      <c r="EG64" s="284">
        <v>1.0884876368514893</v>
      </c>
      <c r="EH64" s="284">
        <v>1.1540261904963744</v>
      </c>
      <c r="EI64" s="284">
        <v>1.2265900705339146</v>
      </c>
      <c r="EJ64" s="284">
        <v>1.3006831275264412</v>
      </c>
      <c r="EK64" s="284">
        <v>1.3792824410522633</v>
      </c>
      <c r="EL64" s="284">
        <v>1.4626653351291858</v>
      </c>
      <c r="EM64" s="284">
        <v>1.5511265384738633</v>
      </c>
      <c r="EN64" s="284">
        <v>1.6449793108420625</v>
      </c>
      <c r="EO64" s="285">
        <v>1.7445566455809733</v>
      </c>
      <c r="EP64" s="283">
        <v>0.57019436961051739</v>
      </c>
      <c r="EQ64" s="284">
        <v>0.60469505137573709</v>
      </c>
      <c r="ER64" s="284">
        <v>0.64129859202294515</v>
      </c>
      <c r="ES64" s="284">
        <v>0.68013475770440146</v>
      </c>
      <c r="ET64" s="284">
        <v>0.72134148455934255</v>
      </c>
      <c r="EU64" s="284">
        <v>0.76506540919598887</v>
      </c>
      <c r="EV64" s="284">
        <v>0.81146243517029093</v>
      </c>
      <c r="EW64" s="284">
        <v>0.86069833804798457</v>
      </c>
      <c r="EX64" s="284">
        <v>0.90880319811205013</v>
      </c>
      <c r="EY64" s="284">
        <v>0.96379204331354662</v>
      </c>
      <c r="EZ64" s="284">
        <v>1.0221325260951106</v>
      </c>
      <c r="FA64" s="284">
        <v>1.0840314739886607</v>
      </c>
      <c r="FB64" s="284">
        <v>1.1497087362441272</v>
      </c>
      <c r="FC64" s="284">
        <v>1.2193980293371771</v>
      </c>
      <c r="FD64" s="284">
        <v>1.293347839850276</v>
      </c>
      <c r="FE64" s="284">
        <v>1.3718223888496752</v>
      </c>
      <c r="FF64" s="284">
        <v>1.4484942274383621</v>
      </c>
      <c r="FG64" s="284">
        <v>1.5361380924834418</v>
      </c>
      <c r="FH64" s="284">
        <v>1.6291239586320372</v>
      </c>
      <c r="FI64" s="285">
        <v>1.7277814775476572</v>
      </c>
      <c r="FJ64" s="283">
        <v>0.6283591519296442</v>
      </c>
      <c r="FK64" s="284">
        <v>0.60440603178714858</v>
      </c>
      <c r="FL64" s="284">
        <v>0.64097675445828106</v>
      </c>
      <c r="FM64" s="284">
        <v>0.67977650754432173</v>
      </c>
      <c r="FN64" s="284">
        <v>0.72094284316666557</v>
      </c>
      <c r="FO64" s="284">
        <v>0.76462197363290296</v>
      </c>
      <c r="FP64" s="284">
        <v>0.81096933374774838</v>
      </c>
      <c r="FQ64" s="284">
        <v>0.86015018128050857</v>
      </c>
      <c r="FR64" s="284">
        <v>0.91234023833086353</v>
      </c>
      <c r="FS64" s="284">
        <v>0.96333138999877321</v>
      </c>
      <c r="FT64" s="284">
        <v>1.0216195659123595</v>
      </c>
      <c r="FU64" s="284">
        <v>1.0834604776608172</v>
      </c>
      <c r="FV64" s="284">
        <v>1.1490733624279805</v>
      </c>
      <c r="FW64" s="284">
        <v>1.2186912604187745</v>
      </c>
      <c r="FX64" s="284">
        <v>1.292561911097408</v>
      </c>
      <c r="FY64" s="284">
        <v>1.3709487102412927</v>
      </c>
      <c r="FZ64" s="284">
        <v>1.4541317321806559</v>
      </c>
      <c r="GA64" s="284">
        <v>1.5354038810846642</v>
      </c>
      <c r="GB64" s="284">
        <v>1.6283063780324483</v>
      </c>
      <c r="GC64" s="285">
        <v>1.7268713961499593</v>
      </c>
      <c r="GD64" s="283">
        <v>0.6283591519296442</v>
      </c>
      <c r="GE64" s="284">
        <v>0.6689926917377268</v>
      </c>
      <c r="GF64" s="284">
        <v>0.64067039369437739</v>
      </c>
      <c r="GG64" s="284">
        <v>0.67943535972577795</v>
      </c>
      <c r="GH64" s="284">
        <v>0.72056309799698093</v>
      </c>
      <c r="GI64" s="284">
        <v>0.76419941375666545</v>
      </c>
      <c r="GJ64" s="284">
        <v>0.81049929205087734</v>
      </c>
      <c r="GK64" s="284">
        <v>0.85962749377261316</v>
      </c>
      <c r="GL64" s="284">
        <v>0.9117591921573388</v>
      </c>
      <c r="GM64" s="284">
        <v>0.96708065263071541</v>
      </c>
      <c r="GN64" s="284">
        <v>1.0211312733986999</v>
      </c>
      <c r="GO64" s="284">
        <v>1.0829167398671011</v>
      </c>
      <c r="GP64" s="284">
        <v>1.1484681063204663</v>
      </c>
      <c r="GQ64" s="284">
        <v>1.2180177641736591</v>
      </c>
      <c r="GR64" s="284">
        <v>1.2918127360439009</v>
      </c>
      <c r="GS64" s="284">
        <v>1.3701156257632525</v>
      </c>
      <c r="GT64" s="284">
        <v>1.4532056328557703</v>
      </c>
      <c r="GU64" s="284">
        <v>1.5413796361114953</v>
      </c>
      <c r="GV64" s="284">
        <v>1.6275281139497437</v>
      </c>
      <c r="GW64" s="285">
        <v>1.7260047607143953</v>
      </c>
      <c r="GX64" s="283">
        <v>0.6283591519296442</v>
      </c>
      <c r="GY64" s="284">
        <v>0.6689926917377268</v>
      </c>
      <c r="GZ64" s="284">
        <v>0.71236704661671757</v>
      </c>
      <c r="HA64" s="284">
        <v>0.67911061731604005</v>
      </c>
      <c r="HB64" s="284">
        <v>0.72020148130932471</v>
      </c>
      <c r="HC64" s="284">
        <v>0.76379688387679989</v>
      </c>
      <c r="HD64" s="284">
        <v>0.81005137858206555</v>
      </c>
      <c r="HE64" s="284">
        <v>0.85912924957393</v>
      </c>
      <c r="HF64" s="284">
        <v>0.91120514339896996</v>
      </c>
      <c r="HG64" s="284">
        <v>0.96646474368677937</v>
      </c>
      <c r="HH64" s="284">
        <v>1.0251054917885583</v>
      </c>
      <c r="HI64" s="284">
        <v>1.0823991498026215</v>
      </c>
      <c r="HJ64" s="284">
        <v>1.1478917442591272</v>
      </c>
      <c r="HK64" s="284">
        <v>1.2173761926996942</v>
      </c>
      <c r="HL64" s="284">
        <v>1.2910988300240789</v>
      </c>
      <c r="HM64" s="284">
        <v>1.3693215002065351</v>
      </c>
      <c r="HN64" s="284">
        <v>1.4523225633090475</v>
      </c>
      <c r="HO64" s="284">
        <v>1.5403979708271165</v>
      </c>
      <c r="HP64" s="284">
        <v>1.633862414278185</v>
      </c>
      <c r="HQ64" s="285">
        <v>1.7251798007867283</v>
      </c>
      <c r="HR64" s="283">
        <v>0.6283591519296442</v>
      </c>
      <c r="HS64" s="284">
        <v>0.6689926917377268</v>
      </c>
      <c r="HT64" s="284">
        <v>0.71236704661671757</v>
      </c>
      <c r="HU64" s="284">
        <v>0.75867774518487929</v>
      </c>
      <c r="HV64" s="284">
        <v>0.71985725435500236</v>
      </c>
      <c r="HW64" s="284">
        <v>0.76341357018788425</v>
      </c>
      <c r="HX64" s="284">
        <v>0.80962469690940797</v>
      </c>
      <c r="HY64" s="284">
        <v>0.85865446129698952</v>
      </c>
      <c r="HZ64" s="284">
        <v>0.91067700454836586</v>
      </c>
      <c r="IA64" s="284">
        <v>0.96587745200290809</v>
      </c>
      <c r="IB64" s="284">
        <v>1.024452628307986</v>
      </c>
      <c r="IC64" s="284">
        <v>1.0866118212958717</v>
      </c>
      <c r="ID64" s="284">
        <v>1.1473430987907791</v>
      </c>
      <c r="IE64" s="284">
        <v>1.2167652489146745</v>
      </c>
      <c r="IF64" s="284">
        <v>1.290418764261676</v>
      </c>
      <c r="IG64" s="284">
        <v>1.3685647598255237</v>
      </c>
      <c r="IH64" s="284">
        <v>1.4514807902189273</v>
      </c>
      <c r="II64" s="284">
        <v>1.5394619171075903</v>
      </c>
      <c r="IJ64" s="284">
        <v>1.632821849076743</v>
      </c>
      <c r="IK64" s="285">
        <v>1.7318941591348758</v>
      </c>
      <c r="IL64" s="283">
        <v>0.6283591519296442</v>
      </c>
      <c r="IM64" s="284">
        <v>0.6689926917377268</v>
      </c>
      <c r="IN64" s="284">
        <v>0.71236704661671757</v>
      </c>
      <c r="IO64" s="284">
        <v>0.75867774518487929</v>
      </c>
      <c r="IP64" s="284">
        <v>0.80813523182814595</v>
      </c>
      <c r="IQ64" s="284">
        <v>0.76304868961630246</v>
      </c>
      <c r="IR64" s="284">
        <v>0.80921838439915739</v>
      </c>
      <c r="IS64" s="284">
        <v>0.85820217872397231</v>
      </c>
      <c r="IT64" s="284">
        <v>0.91017372897480864</v>
      </c>
      <c r="IU64" s="284">
        <v>0.96531762482126771</v>
      </c>
      <c r="IV64" s="284">
        <v>1.0238300991230824</v>
      </c>
      <c r="IW64" s="284">
        <v>1.0859197860064653</v>
      </c>
      <c r="IX64" s="284">
        <v>1.1518085305736241</v>
      </c>
      <c r="IY64" s="284">
        <v>1.2161836847182252</v>
      </c>
      <c r="IZ64" s="284">
        <v>1.2897711638495553</v>
      </c>
      <c r="JA64" s="284">
        <v>1.3678438901173764</v>
      </c>
      <c r="JB64" s="284">
        <v>1.4506786454150549</v>
      </c>
      <c r="JC64" s="284">
        <v>1.5385696376320628</v>
      </c>
      <c r="JD64" s="284">
        <v>1.6318296321340457</v>
      </c>
      <c r="JE64" s="285">
        <v>1.7307911600213481</v>
      </c>
    </row>
    <row r="65" spans="2:265" x14ac:dyDescent="0.25">
      <c r="B65" s="138"/>
      <c r="C65" s="15" t="s">
        <v>211</v>
      </c>
      <c r="D65" s="166" t="s">
        <v>131</v>
      </c>
      <c r="E65" s="166" t="s">
        <v>251</v>
      </c>
      <c r="F65" s="286">
        <v>0.66209939985349942</v>
      </c>
      <c r="G65" s="287">
        <v>0.70273293966158201</v>
      </c>
      <c r="H65" s="287">
        <v>0.74610729454057279</v>
      </c>
      <c r="I65" s="287">
        <v>0.79241799310873451</v>
      </c>
      <c r="J65" s="287">
        <v>0.84187547975200117</v>
      </c>
      <c r="K65" s="287">
        <v>0.89470633642851261</v>
      </c>
      <c r="L65" s="287">
        <v>0.95115461139744761</v>
      </c>
      <c r="M65" s="287">
        <v>1.0114832646883571</v>
      </c>
      <c r="N65" s="287">
        <v>1.0759757410243667</v>
      </c>
      <c r="O65" s="287">
        <v>7.325352252054298</v>
      </c>
      <c r="P65" s="287">
        <v>1.0597879555982597</v>
      </c>
      <c r="Q65" s="287">
        <v>1.121501028727768</v>
      </c>
      <c r="R65" s="287">
        <v>1.1869386259393493</v>
      </c>
      <c r="S65" s="287">
        <v>1.2563269410698468</v>
      </c>
      <c r="T65" s="287">
        <v>1.3299060562995879</v>
      </c>
      <c r="U65" s="287">
        <v>1.407930810693707</v>
      </c>
      <c r="V65" s="287">
        <v>1.4906717246620989</v>
      </c>
      <c r="W65" s="287">
        <v>2.4266316556321739</v>
      </c>
      <c r="X65" s="287">
        <v>1.6758227286867291</v>
      </c>
      <c r="Y65" s="288">
        <v>1.775052551084896</v>
      </c>
      <c r="Z65" s="286">
        <v>6.930372797287454</v>
      </c>
      <c r="AA65" s="287">
        <v>0.64105630960483984</v>
      </c>
      <c r="AB65" s="287">
        <v>0.67758418276991195</v>
      </c>
      <c r="AC65" s="287">
        <v>0.71631659601654329</v>
      </c>
      <c r="AD65" s="287">
        <v>0.7573874331292223</v>
      </c>
      <c r="AE65" s="287">
        <v>0.80093879838160476</v>
      </c>
      <c r="AF65" s="287">
        <v>0.84712153062479134</v>
      </c>
      <c r="AG65" s="287">
        <v>0.89609575047375267</v>
      </c>
      <c r="AH65" s="287">
        <v>1.7946694071811526</v>
      </c>
      <c r="AI65" s="287">
        <v>1.0056863452769724</v>
      </c>
      <c r="AJ65" s="287">
        <v>1.0644203246908046</v>
      </c>
      <c r="AK65" s="287">
        <v>1.1267288737670096</v>
      </c>
      <c r="AL65" s="287">
        <v>1.192832230947886</v>
      </c>
      <c r="AM65" s="287">
        <v>1.262964482146161</v>
      </c>
      <c r="AN65" s="287">
        <v>1.3373744593620314</v>
      </c>
      <c r="AO65" s="287">
        <v>1.4163267003362454</v>
      </c>
      <c r="AP65" s="287">
        <v>2.338978351665352</v>
      </c>
      <c r="AQ65" s="287">
        <v>1.582874663737887</v>
      </c>
      <c r="AR65" s="287">
        <v>1.6764877037361579</v>
      </c>
      <c r="AS65" s="288">
        <v>1.7757980647080773</v>
      </c>
      <c r="AT65" s="286">
        <v>0.66209939985349942</v>
      </c>
      <c r="AU65" s="287">
        <v>6.9647447922215564</v>
      </c>
      <c r="AV65" s="287">
        <v>0.67749527330569892</v>
      </c>
      <c r="AW65" s="287">
        <v>0.7162148188606754</v>
      </c>
      <c r="AX65" s="287">
        <v>0.75727117690210488</v>
      </c>
      <c r="AY65" s="287">
        <v>0.80080626424154433</v>
      </c>
      <c r="AZ65" s="287">
        <v>0.84697071140906988</v>
      </c>
      <c r="BA65" s="287">
        <v>0.89592440758684755</v>
      </c>
      <c r="BB65" s="287">
        <v>0.94783708062674632</v>
      </c>
      <c r="BC65" s="287">
        <v>1.8496641744789222</v>
      </c>
      <c r="BD65" s="287">
        <v>1.0640031111181594</v>
      </c>
      <c r="BE65" s="287">
        <v>1.1262611292968217</v>
      </c>
      <c r="BF65" s="287">
        <v>1.1923081913175986</v>
      </c>
      <c r="BG65" s="287">
        <v>1.2623777499293278</v>
      </c>
      <c r="BH65" s="287">
        <v>1.336717936199499</v>
      </c>
      <c r="BI65" s="287">
        <v>1.4155925120483215</v>
      </c>
      <c r="BJ65" s="287">
        <v>1.4992818874809888</v>
      </c>
      <c r="BK65" s="287">
        <v>2.4266316556321739</v>
      </c>
      <c r="BL65" s="287">
        <v>1.6758227286867291</v>
      </c>
      <c r="BM65" s="288">
        <v>1.775052551084896</v>
      </c>
      <c r="BN65" s="286">
        <v>0.66209939985349942</v>
      </c>
      <c r="BO65" s="287">
        <v>0.70273293966158201</v>
      </c>
      <c r="BP65" s="287">
        <v>7.0011791068517049</v>
      </c>
      <c r="BQ65" s="287">
        <v>0.71612057482860958</v>
      </c>
      <c r="BR65" s="287">
        <v>0.75716329311688468</v>
      </c>
      <c r="BS65" s="287">
        <v>0.80068303264079976</v>
      </c>
      <c r="BT65" s="287">
        <v>0.84683022522060569</v>
      </c>
      <c r="BU65" s="287">
        <v>0.89576453921818278</v>
      </c>
      <c r="BV65" s="287">
        <v>0.94765545716662702</v>
      </c>
      <c r="BW65" s="287">
        <v>1.0026828905889196</v>
      </c>
      <c r="BX65" s="287">
        <v>1.9079586278145575</v>
      </c>
      <c r="BY65" s="287">
        <v>1.1258188829098175</v>
      </c>
      <c r="BZ65" s="287">
        <v>1.1918123821791997</v>
      </c>
      <c r="CA65" s="287">
        <v>1.2618222679212234</v>
      </c>
      <c r="CB65" s="287">
        <v>1.3360960000496562</v>
      </c>
      <c r="CC65" s="287">
        <v>1.4148965974960377</v>
      </c>
      <c r="CD65" s="287">
        <v>1.4985036478957896</v>
      </c>
      <c r="CE65" s="287">
        <v>1.5872143858544168</v>
      </c>
      <c r="CF65" s="287">
        <v>2.5195441578370046</v>
      </c>
      <c r="CG65" s="288">
        <v>1.7743476775325013</v>
      </c>
      <c r="CH65" s="286">
        <v>0.66209939985349942</v>
      </c>
      <c r="CI65" s="287">
        <v>0.70273293966158201</v>
      </c>
      <c r="CJ65" s="287">
        <v>0.74610729454057279</v>
      </c>
      <c r="CK65" s="287">
        <v>7.0397994803596617</v>
      </c>
      <c r="CL65" s="287">
        <v>0.75706339444289472</v>
      </c>
      <c r="CM65" s="287">
        <v>0.80056867582846636</v>
      </c>
      <c r="CN65" s="287">
        <v>0.84669959972381648</v>
      </c>
      <c r="CO65" s="287">
        <v>0.89561562385841065</v>
      </c>
      <c r="CP65" s="287">
        <v>0.9474859966958421</v>
      </c>
      <c r="CQ65" s="287">
        <v>1.0024903697211933</v>
      </c>
      <c r="CR65" s="287">
        <v>1.0608194491488234</v>
      </c>
      <c r="CS65" s="287">
        <v>1.9697507483503311</v>
      </c>
      <c r="CT65" s="287">
        <v>1.1913436010089755</v>
      </c>
      <c r="CU65" s="287">
        <v>1.2612967102345205</v>
      </c>
      <c r="CV65" s="287">
        <v>1.3355071891210655</v>
      </c>
      <c r="CW65" s="287">
        <v>1.4142373451772043</v>
      </c>
      <c r="CX65" s="287">
        <v>1.4977659784703687</v>
      </c>
      <c r="CY65" s="287">
        <v>1.5863894518941055</v>
      </c>
      <c r="CZ65" s="287">
        <v>1.6804228341302505</v>
      </c>
      <c r="DA65" s="288">
        <v>2.6180314101741242</v>
      </c>
      <c r="DB65" s="286">
        <v>0.66209939985349942</v>
      </c>
      <c r="DC65" s="287">
        <v>0.70273293966158201</v>
      </c>
      <c r="DD65" s="287">
        <v>0.74610729454057279</v>
      </c>
      <c r="DE65" s="287">
        <v>0.79241799310873451</v>
      </c>
      <c r="DF65" s="287">
        <v>7.0807370762780968</v>
      </c>
      <c r="DG65" s="287">
        <v>0.80046278323403719</v>
      </c>
      <c r="DH65" s="287">
        <v>0.846578381502743</v>
      </c>
      <c r="DI65" s="287">
        <v>0.89547716083181406</v>
      </c>
      <c r="DJ65" s="287">
        <v>0.94732814641448404</v>
      </c>
      <c r="DK65" s="287">
        <v>1.0023107416221615</v>
      </c>
      <c r="DL65" s="287">
        <v>1.0606153770290336</v>
      </c>
      <c r="DM65" s="287">
        <v>1.1224442012223217</v>
      </c>
      <c r="DN65" s="287">
        <v>2.0352503961182506</v>
      </c>
      <c r="DO65" s="287">
        <v>1.2607998021940825</v>
      </c>
      <c r="DP65" s="287">
        <v>1.3349500979731603</v>
      </c>
      <c r="DQ65" s="287">
        <v>1.413613205592898</v>
      </c>
      <c r="DR65" s="287">
        <v>1.4970671710124055</v>
      </c>
      <c r="DS65" s="287">
        <v>1.5856075223031594</v>
      </c>
      <c r="DT65" s="287">
        <v>1.6795484041323205</v>
      </c>
      <c r="DU65" s="288">
        <v>1.7792237893026344</v>
      </c>
      <c r="DV65" s="286">
        <v>0.66209939985349942</v>
      </c>
      <c r="DW65" s="287">
        <v>0.70273293966158201</v>
      </c>
      <c r="DX65" s="287">
        <v>0.74610729454057279</v>
      </c>
      <c r="DY65" s="287">
        <v>0.79241799310873451</v>
      </c>
      <c r="DZ65" s="287">
        <v>0.84187547975200117</v>
      </c>
      <c r="EA65" s="287">
        <v>7.1241309279516374</v>
      </c>
      <c r="EB65" s="287">
        <v>0.84646613535264803</v>
      </c>
      <c r="EC65" s="287">
        <v>0.89534866951747638</v>
      </c>
      <c r="ED65" s="287">
        <v>0.94718137560629145</v>
      </c>
      <c r="EE65" s="287">
        <v>1.0021434203239217</v>
      </c>
      <c r="EF65" s="287">
        <v>1.0604249712440597</v>
      </c>
      <c r="EG65" s="287">
        <v>1.1222278847753444</v>
      </c>
      <c r="EH65" s="287">
        <v>1.1877664384202296</v>
      </c>
      <c r="EI65" s="287">
        <v>2.1046800227522464</v>
      </c>
      <c r="EJ65" s="287">
        <v>1.3344233754502963</v>
      </c>
      <c r="EK65" s="287">
        <v>1.4130226889761184</v>
      </c>
      <c r="EL65" s="287">
        <v>1.4964055830530409</v>
      </c>
      <c r="EM65" s="287">
        <v>1.5848667863977184</v>
      </c>
      <c r="EN65" s="287">
        <v>1.6787195587659176</v>
      </c>
      <c r="EO65" s="288">
        <v>1.7782968935048284</v>
      </c>
      <c r="EP65" s="286">
        <v>1.0261094696816109</v>
      </c>
      <c r="EQ65" s="287">
        <v>0.63843529929959231</v>
      </c>
      <c r="ER65" s="287">
        <v>0.67503883994680036</v>
      </c>
      <c r="ES65" s="287">
        <v>0.71387500562825668</v>
      </c>
      <c r="ET65" s="287">
        <v>0.75508173248319777</v>
      </c>
      <c r="EU65" s="287">
        <v>0.79880565711984408</v>
      </c>
      <c r="EV65" s="287">
        <v>0.84520268309414615</v>
      </c>
      <c r="EW65" s="287">
        <v>0.89443858597183978</v>
      </c>
      <c r="EX65" s="287">
        <v>1.3647182981831436</v>
      </c>
      <c r="EY65" s="287">
        <v>0.99753229123740184</v>
      </c>
      <c r="EZ65" s="287">
        <v>1.0558727740189657</v>
      </c>
      <c r="FA65" s="287">
        <v>1.1177717219125158</v>
      </c>
      <c r="FB65" s="287">
        <v>1.1834489841679823</v>
      </c>
      <c r="FC65" s="287">
        <v>1.2531382772610322</v>
      </c>
      <c r="FD65" s="287">
        <v>1.3270880877741311</v>
      </c>
      <c r="FE65" s="287">
        <v>1.4055626367735303</v>
      </c>
      <c r="FF65" s="287">
        <v>1.9044093275094556</v>
      </c>
      <c r="FG65" s="287">
        <v>1.5698783404072969</v>
      </c>
      <c r="FH65" s="287">
        <v>1.6628642065558923</v>
      </c>
      <c r="FI65" s="288">
        <v>1.7615217254715123</v>
      </c>
      <c r="FJ65" s="286">
        <v>0.66209939985349942</v>
      </c>
      <c r="FK65" s="287">
        <v>1.0603211318582419</v>
      </c>
      <c r="FL65" s="287">
        <v>0.67471700238213628</v>
      </c>
      <c r="FM65" s="287">
        <v>0.71351675546817694</v>
      </c>
      <c r="FN65" s="287">
        <v>0.75468309109052079</v>
      </c>
      <c r="FO65" s="287">
        <v>0.79836222155675818</v>
      </c>
      <c r="FP65" s="287">
        <v>0.84470958167160359</v>
      </c>
      <c r="FQ65" s="287">
        <v>0.89389042920436379</v>
      </c>
      <c r="FR65" s="287">
        <v>0.94608048625471874</v>
      </c>
      <c r="FS65" s="287">
        <v>1.4192464900698667</v>
      </c>
      <c r="FT65" s="287">
        <v>1.0553598138362146</v>
      </c>
      <c r="FU65" s="287">
        <v>1.1172007255846723</v>
      </c>
      <c r="FV65" s="287">
        <v>1.1828136103518356</v>
      </c>
      <c r="FW65" s="287">
        <v>1.2524315083426296</v>
      </c>
      <c r="FX65" s="287">
        <v>1.3263021590212631</v>
      </c>
      <c r="FY65" s="287">
        <v>1.4046889581651478</v>
      </c>
      <c r="FZ65" s="287">
        <v>1.487871980104511</v>
      </c>
      <c r="GA65" s="287">
        <v>1.9913189811557577</v>
      </c>
      <c r="GB65" s="287">
        <v>1.6620466259563034</v>
      </c>
      <c r="GC65" s="288">
        <v>1.7606116440738144</v>
      </c>
      <c r="GD65" s="286">
        <v>0.66209939985349942</v>
      </c>
      <c r="GE65" s="287">
        <v>0.70273293966158201</v>
      </c>
      <c r="GF65" s="287">
        <v>1.0965854937654709</v>
      </c>
      <c r="GG65" s="287">
        <v>0.71317560764963317</v>
      </c>
      <c r="GH65" s="287">
        <v>0.75430334592083614</v>
      </c>
      <c r="GI65" s="287">
        <v>0.79793966168052066</v>
      </c>
      <c r="GJ65" s="287">
        <v>0.84423953997473256</v>
      </c>
      <c r="GK65" s="287">
        <v>0.89336774169646838</v>
      </c>
      <c r="GL65" s="287">
        <v>0.94549944008119402</v>
      </c>
      <c r="GM65" s="287">
        <v>1.0008209005545705</v>
      </c>
      <c r="GN65" s="287">
        <v>1.4770463734697934</v>
      </c>
      <c r="GO65" s="287">
        <v>1.1166569877909562</v>
      </c>
      <c r="GP65" s="287">
        <v>1.1822083542443214</v>
      </c>
      <c r="GQ65" s="287">
        <v>1.2517580120975142</v>
      </c>
      <c r="GR65" s="287">
        <v>1.325552983967756</v>
      </c>
      <c r="GS65" s="287">
        <v>1.4038558736871076</v>
      </c>
      <c r="GT65" s="287">
        <v>1.4869458807796254</v>
      </c>
      <c r="GU65" s="287">
        <v>1.5751198840353504</v>
      </c>
      <c r="GV65" s="287">
        <v>2.083443214020837</v>
      </c>
      <c r="GW65" s="288">
        <v>1.7597450086382505</v>
      </c>
      <c r="GX65" s="286">
        <v>0.66209939985349942</v>
      </c>
      <c r="GY65" s="287">
        <v>0.70273293966158201</v>
      </c>
      <c r="GZ65" s="287">
        <v>0.74610729454057279</v>
      </c>
      <c r="HA65" s="287">
        <v>1.1350257173871334</v>
      </c>
      <c r="HB65" s="287">
        <v>0.75394172923317992</v>
      </c>
      <c r="HC65" s="287">
        <v>0.79753713180065511</v>
      </c>
      <c r="HD65" s="287">
        <v>0.84379162650592077</v>
      </c>
      <c r="HE65" s="287">
        <v>0.89286949749778521</v>
      </c>
      <c r="HF65" s="287">
        <v>0.94494539132282518</v>
      </c>
      <c r="HG65" s="287">
        <v>1.0002049916106346</v>
      </c>
      <c r="HH65" s="287">
        <v>1.0588457397124134</v>
      </c>
      <c r="HI65" s="287">
        <v>1.538314249873715</v>
      </c>
      <c r="HJ65" s="287">
        <v>1.1816319921829823</v>
      </c>
      <c r="HK65" s="287">
        <v>1.2511164406235493</v>
      </c>
      <c r="HL65" s="287">
        <v>1.324839077947934</v>
      </c>
      <c r="HM65" s="287">
        <v>1.4030617481303902</v>
      </c>
      <c r="HN65" s="287">
        <v>1.4860628112329026</v>
      </c>
      <c r="HO65" s="287">
        <v>1.5741382187509716</v>
      </c>
      <c r="HP65" s="287">
        <v>1.6676026622020401</v>
      </c>
      <c r="HQ65" s="288">
        <v>2.1810949008578215</v>
      </c>
      <c r="HR65" s="286">
        <v>0.66209939985349942</v>
      </c>
      <c r="HS65" s="287">
        <v>0.70273293966158201</v>
      </c>
      <c r="HT65" s="287">
        <v>0.74610729454057279</v>
      </c>
      <c r="HU65" s="287">
        <v>0.79241799310873451</v>
      </c>
      <c r="HV65" s="287">
        <v>1.1757723544260958</v>
      </c>
      <c r="HW65" s="287">
        <v>0.79715381811173947</v>
      </c>
      <c r="HX65" s="287">
        <v>0.84336494483326319</v>
      </c>
      <c r="HY65" s="287">
        <v>0.89239470922084474</v>
      </c>
      <c r="HZ65" s="287">
        <v>0.94441725247222108</v>
      </c>
      <c r="IA65" s="287">
        <v>0.9996176999267633</v>
      </c>
      <c r="IB65" s="287">
        <v>1.0581928762318411</v>
      </c>
      <c r="IC65" s="287">
        <v>1.1203520692197269</v>
      </c>
      <c r="ID65" s="287">
        <v>1.6032581988618726</v>
      </c>
      <c r="IE65" s="287">
        <v>1.2505054968385296</v>
      </c>
      <c r="IF65" s="287">
        <v>1.3241590121855311</v>
      </c>
      <c r="IG65" s="287">
        <v>1.4023050077493788</v>
      </c>
      <c r="IH65" s="287">
        <v>1.4852210381427824</v>
      </c>
      <c r="II65" s="287">
        <v>1.5732021650314454</v>
      </c>
      <c r="IJ65" s="287">
        <v>1.6665620970005981</v>
      </c>
      <c r="IK65" s="288">
        <v>1.7656344070587309</v>
      </c>
      <c r="IL65" s="286">
        <v>0.66209939985349942</v>
      </c>
      <c r="IM65" s="287">
        <v>0.70273293966158201</v>
      </c>
      <c r="IN65" s="287">
        <v>0.74610729454057279</v>
      </c>
      <c r="IO65" s="287">
        <v>0.79241799310873451</v>
      </c>
      <c r="IP65" s="287">
        <v>0.84187547975200117</v>
      </c>
      <c r="IQ65" s="287">
        <v>1.2189637896873959</v>
      </c>
      <c r="IR65" s="287">
        <v>0.8429586323230126</v>
      </c>
      <c r="IS65" s="287">
        <v>0.89194242664782752</v>
      </c>
      <c r="IT65" s="287">
        <v>0.94391397689866385</v>
      </c>
      <c r="IU65" s="287">
        <v>0.99905787274512292</v>
      </c>
      <c r="IV65" s="287">
        <v>1.0575703470469375</v>
      </c>
      <c r="IW65" s="287">
        <v>1.1196600339303204</v>
      </c>
      <c r="IX65" s="287">
        <v>1.1855487784974792</v>
      </c>
      <c r="IY65" s="287">
        <v>1.6720987847893187</v>
      </c>
      <c r="IZ65" s="287">
        <v>1.3235114117734104</v>
      </c>
      <c r="JA65" s="287">
        <v>1.4015841380412315</v>
      </c>
      <c r="JB65" s="287">
        <v>1.48441889333891</v>
      </c>
      <c r="JC65" s="287">
        <v>1.5723098855559179</v>
      </c>
      <c r="JD65" s="287">
        <v>1.6655698800579009</v>
      </c>
      <c r="JE65" s="288">
        <v>1.7645314079452032</v>
      </c>
    </row>
    <row r="66" spans="2:265" x14ac:dyDescent="0.25">
      <c r="B66" s="205" t="s">
        <v>849</v>
      </c>
      <c r="C66" s="15" t="s">
        <v>211</v>
      </c>
      <c r="D66" s="353" t="s">
        <v>212</v>
      </c>
      <c r="E66" s="166" t="s">
        <v>251</v>
      </c>
      <c r="F66" s="348"/>
      <c r="G66" s="348"/>
      <c r="H66" s="348"/>
      <c r="I66" s="348"/>
      <c r="J66" s="348"/>
      <c r="K66" s="348"/>
      <c r="L66" s="348"/>
      <c r="M66" s="348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9"/>
      <c r="Z66" s="350">
        <v>-6.2682733974339548</v>
      </c>
      <c r="AA66" s="351">
        <v>6.1676630056742177E-2</v>
      </c>
      <c r="AB66" s="351">
        <v>6.8523111770660838E-2</v>
      </c>
      <c r="AC66" s="351">
        <v>7.6101397092191214E-2</v>
      </c>
      <c r="AD66" s="351">
        <v>8.4488046622778867E-2</v>
      </c>
      <c r="AE66" s="351">
        <v>9.376753804690785E-2</v>
      </c>
      <c r="AF66" s="351">
        <v>0.10403308077265627</v>
      </c>
      <c r="AG66" s="351">
        <v>0.11538751421460447</v>
      </c>
      <c r="AH66" s="351">
        <v>-0.71869366615678598</v>
      </c>
      <c r="AI66" s="351">
        <v>6.3196659067773258</v>
      </c>
      <c r="AJ66" s="351">
        <v>-4.6323690925449412E-3</v>
      </c>
      <c r="AK66" s="351">
        <v>-5.2278450392415632E-3</v>
      </c>
      <c r="AL66" s="351">
        <v>-5.8936050085367508E-3</v>
      </c>
      <c r="AM66" s="351">
        <v>-6.6375410763142018E-3</v>
      </c>
      <c r="AN66" s="351">
        <v>-7.4684030624434516E-3</v>
      </c>
      <c r="AO66" s="351">
        <v>-8.3958896425384566E-3</v>
      </c>
      <c r="AP66" s="351">
        <v>-0.8483066270032531</v>
      </c>
      <c r="AQ66" s="351">
        <v>0.84375699189428688</v>
      </c>
      <c r="AR66" s="351">
        <v>-6.6497504942875096E-4</v>
      </c>
      <c r="AS66" s="352">
        <v>-7.4551362318131531E-4</v>
      </c>
      <c r="AT66" s="350">
        <v>0</v>
      </c>
      <c r="AU66" s="351">
        <v>-6.2620118525599739</v>
      </c>
      <c r="AV66" s="351">
        <v>6.8612021234873866E-2</v>
      </c>
      <c r="AW66" s="351">
        <v>7.6203174248059113E-2</v>
      </c>
      <c r="AX66" s="351">
        <v>8.4604302849896285E-2</v>
      </c>
      <c r="AY66" s="351">
        <v>9.3900072186968275E-2</v>
      </c>
      <c r="AZ66" s="351">
        <v>0.10418389998837774</v>
      </c>
      <c r="BA66" s="351">
        <v>0.11555885710150959</v>
      </c>
      <c r="BB66" s="351">
        <v>0.12813866039762034</v>
      </c>
      <c r="BC66" s="351">
        <v>5.4756880775753753</v>
      </c>
      <c r="BD66" s="351">
        <v>-4.2151555198997048E-3</v>
      </c>
      <c r="BE66" s="351">
        <v>-4.7601005690536269E-3</v>
      </c>
      <c r="BF66" s="351">
        <v>-5.3695653782492858E-3</v>
      </c>
      <c r="BG66" s="351">
        <v>-6.0508088594810605E-3</v>
      </c>
      <c r="BH66" s="351">
        <v>-6.8118798999110552E-3</v>
      </c>
      <c r="BI66" s="351">
        <v>-7.6617013546145252E-3</v>
      </c>
      <c r="BJ66" s="351">
        <v>-8.6101628188899326E-3</v>
      </c>
      <c r="BK66" s="351">
        <v>0</v>
      </c>
      <c r="BL66" s="351">
        <v>0</v>
      </c>
      <c r="BM66" s="352">
        <v>0</v>
      </c>
      <c r="BN66" s="350">
        <v>0</v>
      </c>
      <c r="BO66" s="351">
        <v>0</v>
      </c>
      <c r="BP66" s="351">
        <v>-6.2550718123111322</v>
      </c>
      <c r="BQ66" s="351">
        <v>7.6297418280124929E-2</v>
      </c>
      <c r="BR66" s="351">
        <v>8.4712186635116482E-2</v>
      </c>
      <c r="BS66" s="351">
        <v>9.4023303787712842E-2</v>
      </c>
      <c r="BT66" s="351">
        <v>0.10432438617684192</v>
      </c>
      <c r="BU66" s="351">
        <v>0.11571872547017437</v>
      </c>
      <c r="BV66" s="351">
        <v>0.12832028385773964</v>
      </c>
      <c r="BW66" s="351">
        <v>6.3226693614653779</v>
      </c>
      <c r="BX66" s="351">
        <v>-0.84817067221629783</v>
      </c>
      <c r="BY66" s="351">
        <v>-4.3178541820494409E-3</v>
      </c>
      <c r="BZ66" s="351">
        <v>-4.8737562398504242E-3</v>
      </c>
      <c r="CA66" s="351">
        <v>-5.4953268513766584E-3</v>
      </c>
      <c r="CB66" s="351">
        <v>-6.1899437500683163E-3</v>
      </c>
      <c r="CC66" s="351">
        <v>-6.9657868023307312E-3</v>
      </c>
      <c r="CD66" s="351">
        <v>-7.8319232336907518E-3</v>
      </c>
      <c r="CE66" s="351">
        <v>0.8394172697777571</v>
      </c>
      <c r="CF66" s="351">
        <v>-0.84372142915027548</v>
      </c>
      <c r="CG66" s="352">
        <v>7.048735523946803E-4</v>
      </c>
      <c r="CH66" s="350">
        <v>0</v>
      </c>
      <c r="CI66" s="351">
        <v>0</v>
      </c>
      <c r="CJ66" s="351">
        <v>0</v>
      </c>
      <c r="CK66" s="351">
        <v>-6.2473814872509275</v>
      </c>
      <c r="CL66" s="351">
        <v>8.4812085309106444E-2</v>
      </c>
      <c r="CM66" s="351">
        <v>9.4137660600046247E-2</v>
      </c>
      <c r="CN66" s="351">
        <v>0.10445501167363114</v>
      </c>
      <c r="CO66" s="351">
        <v>0.11586764082994649</v>
      </c>
      <c r="CP66" s="351">
        <v>0.12848974432852456</v>
      </c>
      <c r="CQ66" s="351">
        <v>6.3228618823331049</v>
      </c>
      <c r="CR66" s="351">
        <v>-1.0314935505637557E-3</v>
      </c>
      <c r="CS66" s="351">
        <v>-0.84824971962256313</v>
      </c>
      <c r="CT66" s="351">
        <v>-4.4049750696262269E-3</v>
      </c>
      <c r="CU66" s="351">
        <v>-4.9697691646737319E-3</v>
      </c>
      <c r="CV66" s="351">
        <v>-5.6011328214775613E-3</v>
      </c>
      <c r="CW66" s="351">
        <v>-6.3065344834973835E-3</v>
      </c>
      <c r="CX66" s="351">
        <v>-7.0942538082698903E-3</v>
      </c>
      <c r="CY66" s="351">
        <v>0.84024220373806835</v>
      </c>
      <c r="CZ66" s="351">
        <v>-4.6001054435214073E-3</v>
      </c>
      <c r="DA66" s="352">
        <v>-0.84297885908922821</v>
      </c>
      <c r="DB66" s="350">
        <v>0</v>
      </c>
      <c r="DC66" s="351">
        <v>0</v>
      </c>
      <c r="DD66" s="351">
        <v>0</v>
      </c>
      <c r="DE66" s="351">
        <v>0</v>
      </c>
      <c r="DF66" s="351">
        <v>-6.2388615965260961</v>
      </c>
      <c r="DG66" s="351">
        <v>9.4243553194475416E-2</v>
      </c>
      <c r="DH66" s="351">
        <v>0.10457622989470461</v>
      </c>
      <c r="DI66" s="351">
        <v>0.11600610385654309</v>
      </c>
      <c r="DJ66" s="351">
        <v>0.12864759460988262</v>
      </c>
      <c r="DK66" s="351">
        <v>6.3230415104321365</v>
      </c>
      <c r="DL66" s="351">
        <v>-8.274214307739669E-4</v>
      </c>
      <c r="DM66" s="351">
        <v>-9.4317249455366792E-4</v>
      </c>
      <c r="DN66" s="351">
        <v>-0.84831177017890136</v>
      </c>
      <c r="DO66" s="351">
        <v>-4.4728611242357275E-3</v>
      </c>
      <c r="DP66" s="351">
        <v>-5.0440416735724192E-3</v>
      </c>
      <c r="DQ66" s="351">
        <v>-5.68239489919109E-3</v>
      </c>
      <c r="DR66" s="351">
        <v>-6.3954463503066439E-3</v>
      </c>
      <c r="DS66" s="351">
        <v>0.84102413332901449</v>
      </c>
      <c r="DT66" s="351">
        <v>-3.7256754455914365E-3</v>
      </c>
      <c r="DU66" s="352">
        <v>-4.1712382177383489E-3</v>
      </c>
      <c r="DV66" s="350">
        <v>0</v>
      </c>
      <c r="DW66" s="351">
        <v>0</v>
      </c>
      <c r="DX66" s="351">
        <v>0</v>
      </c>
      <c r="DY66" s="351">
        <v>0</v>
      </c>
      <c r="DZ66" s="351">
        <v>0</v>
      </c>
      <c r="EA66" s="351">
        <v>-6.2294245915231246</v>
      </c>
      <c r="EB66" s="351">
        <v>0.10468847604479958</v>
      </c>
      <c r="EC66" s="351">
        <v>0.11613459517088076</v>
      </c>
      <c r="ED66" s="351">
        <v>0.12879436541807521</v>
      </c>
      <c r="EE66" s="351">
        <v>6.3232088317303763</v>
      </c>
      <c r="EF66" s="351">
        <v>-6.370156457999876E-4</v>
      </c>
      <c r="EG66" s="351">
        <v>-7.2685604757638522E-4</v>
      </c>
      <c r="EH66" s="351">
        <v>-8.2781248088026338E-4</v>
      </c>
      <c r="EI66" s="351">
        <v>-0.84835308168239965</v>
      </c>
      <c r="EJ66" s="351">
        <v>-4.5173191507084098E-3</v>
      </c>
      <c r="EK66" s="351">
        <v>-5.0918782824114217E-3</v>
      </c>
      <c r="EL66" s="351">
        <v>-5.7338583909420926E-3</v>
      </c>
      <c r="EM66" s="351">
        <v>0.84176486923445548</v>
      </c>
      <c r="EN66" s="351">
        <v>-2.896830079188506E-3</v>
      </c>
      <c r="EO66" s="352">
        <v>-3.2443424199324333E-3</v>
      </c>
      <c r="EP66" s="350">
        <v>-0.36401006982811146</v>
      </c>
      <c r="EQ66" s="351">
        <v>6.4297640361989705E-2</v>
      </c>
      <c r="ER66" s="351">
        <v>7.1068454593772423E-2</v>
      </c>
      <c r="ES66" s="351">
        <v>7.8542987480477833E-2</v>
      </c>
      <c r="ET66" s="351">
        <v>8.6793747268803401E-2</v>
      </c>
      <c r="EU66" s="351">
        <v>9.5900679308668524E-2</v>
      </c>
      <c r="EV66" s="351">
        <v>0.10595192830330147</v>
      </c>
      <c r="EW66" s="351">
        <v>0.11704467871651736</v>
      </c>
      <c r="EX66" s="351">
        <v>-0.28874255715877695</v>
      </c>
      <c r="EY66" s="351">
        <v>6.3278199608168961</v>
      </c>
      <c r="EZ66" s="351">
        <v>3.915181579293936E-3</v>
      </c>
      <c r="FA66" s="351">
        <v>3.7293068152521869E-3</v>
      </c>
      <c r="FB66" s="351">
        <v>3.4896417713670136E-3</v>
      </c>
      <c r="FC66" s="351">
        <v>3.1886638088145514E-3</v>
      </c>
      <c r="FD66" s="351">
        <v>2.8179685254567932E-3</v>
      </c>
      <c r="FE66" s="351">
        <v>2.3681739201766305E-3</v>
      </c>
      <c r="FF66" s="351">
        <v>-0.41373760284735672</v>
      </c>
      <c r="FG66" s="351">
        <v>0.85675331522487697</v>
      </c>
      <c r="FH66" s="351">
        <v>1.2958522130836814E-2</v>
      </c>
      <c r="FI66" s="352">
        <v>1.3530825613383701E-2</v>
      </c>
      <c r="FJ66" s="350">
        <v>0</v>
      </c>
      <c r="FK66" s="351">
        <v>-0.35758819219665994</v>
      </c>
      <c r="FL66" s="351">
        <v>7.1390292158436508E-2</v>
      </c>
      <c r="FM66" s="351">
        <v>7.8901237640557564E-2</v>
      </c>
      <c r="FN66" s="351">
        <v>8.719238866148038E-2</v>
      </c>
      <c r="FO66" s="351">
        <v>9.6344114871754427E-2</v>
      </c>
      <c r="FP66" s="351">
        <v>0.10644502972584402</v>
      </c>
      <c r="FQ66" s="351">
        <v>0.11759283548399335</v>
      </c>
      <c r="FR66" s="351">
        <v>0.12989525476964792</v>
      </c>
      <c r="FS66" s="351">
        <v>5.9061057619844313</v>
      </c>
      <c r="FT66" s="351">
        <v>4.4281417620450902E-3</v>
      </c>
      <c r="FU66" s="351">
        <v>4.3003031430957073E-3</v>
      </c>
      <c r="FV66" s="351">
        <v>4.1250155875136585E-3</v>
      </c>
      <c r="FW66" s="351">
        <v>3.8954327272171518E-3</v>
      </c>
      <c r="FX66" s="351">
        <v>3.6038972783247747E-3</v>
      </c>
      <c r="FY66" s="351">
        <v>3.2418525285591304E-3</v>
      </c>
      <c r="FZ66" s="351">
        <v>2.7997445575878022E-3</v>
      </c>
      <c r="GA66" s="351">
        <v>0.43531267447641619</v>
      </c>
      <c r="GB66" s="351">
        <v>1.3776102730425732E-2</v>
      </c>
      <c r="GC66" s="352">
        <v>1.4440907011081583E-2</v>
      </c>
      <c r="GD66" s="350">
        <v>0</v>
      </c>
      <c r="GE66" s="351">
        <v>0</v>
      </c>
      <c r="GF66" s="351">
        <v>-0.35047819922489809</v>
      </c>
      <c r="GG66" s="351">
        <v>7.9242385459101339E-2</v>
      </c>
      <c r="GH66" s="351">
        <v>8.7572133831165022E-2</v>
      </c>
      <c r="GI66" s="351">
        <v>9.6766674747991943E-2</v>
      </c>
      <c r="GJ66" s="351">
        <v>0.10691507142271506</v>
      </c>
      <c r="GK66" s="351">
        <v>0.11811552299188877</v>
      </c>
      <c r="GL66" s="351">
        <v>0.13047630094317264</v>
      </c>
      <c r="GM66" s="351">
        <v>6.3245313514997274</v>
      </c>
      <c r="GN66" s="351">
        <v>-0.41725841787153373</v>
      </c>
      <c r="GO66" s="351">
        <v>4.8440409368117887E-3</v>
      </c>
      <c r="GP66" s="351">
        <v>4.7302716950279322E-3</v>
      </c>
      <c r="GQ66" s="351">
        <v>4.5689289723325199E-3</v>
      </c>
      <c r="GR66" s="351">
        <v>4.3530723318319087E-3</v>
      </c>
      <c r="GS66" s="351">
        <v>4.0749370065993329E-3</v>
      </c>
      <c r="GT66" s="351">
        <v>3.7258438824734341E-3</v>
      </c>
      <c r="GU66" s="351">
        <v>0.85151177159682345</v>
      </c>
      <c r="GV66" s="351">
        <v>-0.40762048533410788</v>
      </c>
      <c r="GW66" s="352">
        <v>1.5307542446645561E-2</v>
      </c>
      <c r="GX66" s="350">
        <v>0</v>
      </c>
      <c r="GY66" s="351">
        <v>0</v>
      </c>
      <c r="GZ66" s="351">
        <v>0</v>
      </c>
      <c r="HA66" s="351">
        <v>-0.34260772427839892</v>
      </c>
      <c r="HB66" s="351">
        <v>8.7933750518821241E-2</v>
      </c>
      <c r="HC66" s="351">
        <v>9.7169204627857497E-2</v>
      </c>
      <c r="HD66" s="351">
        <v>0.10736298489152685</v>
      </c>
      <c r="HE66" s="351">
        <v>0.11861376719057193</v>
      </c>
      <c r="HF66" s="351">
        <v>0.13103034970154148</v>
      </c>
      <c r="HG66" s="351">
        <v>6.3251472604436634</v>
      </c>
      <c r="HH66" s="351">
        <v>9.4221588584630922E-4</v>
      </c>
      <c r="HI66" s="351">
        <v>-0.41681322114594699</v>
      </c>
      <c r="HJ66" s="351">
        <v>5.3066337563669741E-3</v>
      </c>
      <c r="HK66" s="351">
        <v>5.2105004462974502E-3</v>
      </c>
      <c r="HL66" s="351">
        <v>5.066978351653928E-3</v>
      </c>
      <c r="HM66" s="351">
        <v>4.8690625633167617E-3</v>
      </c>
      <c r="HN66" s="351">
        <v>4.6089134291962264E-3</v>
      </c>
      <c r="HO66" s="351">
        <v>0.85249343688120227</v>
      </c>
      <c r="HP66" s="351">
        <v>8.2200664846889815E-3</v>
      </c>
      <c r="HQ66" s="352">
        <v>-0.40604234977292553</v>
      </c>
      <c r="HR66" s="350">
        <v>0</v>
      </c>
      <c r="HS66" s="351">
        <v>0</v>
      </c>
      <c r="HT66" s="351">
        <v>0</v>
      </c>
      <c r="HU66" s="351">
        <v>0</v>
      </c>
      <c r="HV66" s="351">
        <v>-0.33389687467409468</v>
      </c>
      <c r="HW66" s="351">
        <v>9.755251831677314E-2</v>
      </c>
      <c r="HX66" s="351">
        <v>0.10778966656418443</v>
      </c>
      <c r="HY66" s="351">
        <v>0.1190885554675124</v>
      </c>
      <c r="HZ66" s="351">
        <v>0.13155848855214558</v>
      </c>
      <c r="IA66" s="351">
        <v>6.3257345521275345</v>
      </c>
      <c r="IB66" s="351">
        <v>1.5950793664185614E-3</v>
      </c>
      <c r="IC66" s="351">
        <v>1.1489595080411696E-3</v>
      </c>
      <c r="ID66" s="351">
        <v>-0.41631957292252331</v>
      </c>
      <c r="IE66" s="351">
        <v>5.8214442313171411E-3</v>
      </c>
      <c r="IF66" s="351">
        <v>5.7470441140567985E-3</v>
      </c>
      <c r="IG66" s="351">
        <v>5.6258029443281288E-3</v>
      </c>
      <c r="IH66" s="351">
        <v>5.4506865193164611E-3</v>
      </c>
      <c r="II66" s="351">
        <v>0.85342949060072848</v>
      </c>
      <c r="IJ66" s="351">
        <v>9.2606316861310045E-3</v>
      </c>
      <c r="IK66" s="352">
        <v>9.4181440261651428E-3</v>
      </c>
      <c r="IL66" s="350">
        <v>0</v>
      </c>
      <c r="IM66" s="351">
        <v>0</v>
      </c>
      <c r="IN66" s="351">
        <v>0</v>
      </c>
      <c r="IO66" s="351">
        <v>0</v>
      </c>
      <c r="IP66" s="351">
        <v>0</v>
      </c>
      <c r="IQ66" s="351">
        <v>-0.32425745325888333</v>
      </c>
      <c r="IR66" s="351">
        <v>0.10819597907443501</v>
      </c>
      <c r="IS66" s="351">
        <v>0.11954083804052962</v>
      </c>
      <c r="IT66" s="351">
        <v>0.13206176412570281</v>
      </c>
      <c r="IU66" s="351">
        <v>6.326294379309175</v>
      </c>
      <c r="IV66" s="351">
        <v>2.2176085513221366E-3</v>
      </c>
      <c r="IW66" s="351">
        <v>1.8409947974475926E-3</v>
      </c>
      <c r="IX66" s="351">
        <v>1.3898474418700957E-3</v>
      </c>
      <c r="IY66" s="351">
        <v>-0.41577184371947196</v>
      </c>
      <c r="IZ66" s="351">
        <v>6.3946445261775509E-3</v>
      </c>
      <c r="JA66" s="351">
        <v>6.3466726524754602E-3</v>
      </c>
      <c r="JB66" s="351">
        <v>6.2528313231888788E-3</v>
      </c>
      <c r="JC66" s="351">
        <v>0.85432177007625598</v>
      </c>
      <c r="JD66" s="351">
        <v>1.0252848628828248E-2</v>
      </c>
      <c r="JE66" s="352">
        <v>1.0521143139692768E-2</v>
      </c>
    </row>
    <row r="67" spans="2:265" x14ac:dyDescent="0.25">
      <c r="Z67" s="344"/>
      <c r="AT67" s="344"/>
      <c r="BN67" s="344"/>
      <c r="CH67" s="344"/>
      <c r="DB67" s="344"/>
      <c r="DV67" s="344"/>
      <c r="EP67" s="344"/>
      <c r="FJ67" s="344"/>
      <c r="GD67" s="344"/>
      <c r="GX67" s="344"/>
      <c r="HR67" s="344"/>
      <c r="IL67" s="344"/>
    </row>
    <row r="68" spans="2:265" x14ac:dyDescent="0.25">
      <c r="Z68" s="295"/>
    </row>
    <row r="69" spans="2:265" x14ac:dyDescent="0.25">
      <c r="B69" s="3" t="s">
        <v>493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65" x14ac:dyDescent="0.25">
      <c r="B70" s="232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</row>
    <row r="71" spans="2:265" x14ac:dyDescent="0.25">
      <c r="E71" s="1" t="s">
        <v>492</v>
      </c>
    </row>
    <row r="72" spans="2:265" x14ac:dyDescent="0.25">
      <c r="E72" s="84" t="s">
        <v>210</v>
      </c>
      <c r="F72" s="15">
        <v>1</v>
      </c>
      <c r="G72" s="29">
        <v>2</v>
      </c>
      <c r="H72" s="29">
        <v>3</v>
      </c>
      <c r="I72" s="29">
        <v>4</v>
      </c>
      <c r="J72" s="29">
        <v>5</v>
      </c>
      <c r="K72" s="29">
        <v>6</v>
      </c>
      <c r="L72" s="29">
        <v>7</v>
      </c>
      <c r="M72" s="29">
        <v>8</v>
      </c>
      <c r="N72" s="29">
        <v>9</v>
      </c>
      <c r="O72" s="29">
        <v>10</v>
      </c>
      <c r="P72" s="29">
        <v>11</v>
      </c>
      <c r="Q72" s="29">
        <v>12</v>
      </c>
      <c r="R72" s="29">
        <v>13</v>
      </c>
      <c r="S72" s="29">
        <v>14</v>
      </c>
      <c r="T72" s="29">
        <v>15</v>
      </c>
      <c r="U72" s="29">
        <v>16</v>
      </c>
      <c r="V72" s="29">
        <v>17</v>
      </c>
      <c r="W72" s="29">
        <v>18</v>
      </c>
      <c r="X72" s="29">
        <v>19</v>
      </c>
      <c r="Y72" s="30">
        <v>20</v>
      </c>
    </row>
    <row r="73" spans="2:265" x14ac:dyDescent="0.25">
      <c r="E73" s="70">
        <v>1</v>
      </c>
      <c r="F73" s="289">
        <f>+F46</f>
        <v>7.1849999999999996</v>
      </c>
      <c r="G73" s="289">
        <f t="shared" ref="G73:Y73" si="0">+G46</f>
        <v>7.3286999999999995</v>
      </c>
      <c r="H73" s="289">
        <f t="shared" si="0"/>
        <v>7.4752739999999998</v>
      </c>
      <c r="I73" s="289">
        <f t="shared" si="0"/>
        <v>7.6247794799999999</v>
      </c>
      <c r="J73" s="289">
        <f t="shared" si="0"/>
        <v>7.7772750695999999</v>
      </c>
      <c r="K73" s="289">
        <f t="shared" si="0"/>
        <v>7.9328205709919999</v>
      </c>
      <c r="L73" s="289">
        <f t="shared" si="0"/>
        <v>8.0914769824118391</v>
      </c>
      <c r="M73" s="289">
        <f t="shared" si="0"/>
        <v>8.2533065220600754</v>
      </c>
      <c r="N73" s="289">
        <f t="shared" si="0"/>
        <v>8.4183726525012776</v>
      </c>
      <c r="O73" s="289">
        <f t="shared" si="0"/>
        <v>1.8</v>
      </c>
      <c r="P73" s="289">
        <f t="shared" si="0"/>
        <v>1.8360000000000001</v>
      </c>
      <c r="Q73" s="289">
        <f t="shared" si="0"/>
        <v>1.8727200000000002</v>
      </c>
      <c r="R73" s="289">
        <f t="shared" si="0"/>
        <v>1.9101744000000003</v>
      </c>
      <c r="S73" s="289">
        <f t="shared" si="0"/>
        <v>1.9483778880000002</v>
      </c>
      <c r="T73" s="289">
        <f t="shared" si="0"/>
        <v>1.9873454457600002</v>
      </c>
      <c r="U73" s="289">
        <f t="shared" si="0"/>
        <v>2.0270923546752</v>
      </c>
      <c r="V73" s="289">
        <f t="shared" si="0"/>
        <v>2.0676342017687039</v>
      </c>
      <c r="W73" s="289">
        <f t="shared" si="0"/>
        <v>2.5</v>
      </c>
      <c r="X73" s="289">
        <f t="shared" si="0"/>
        <v>2.5499999999999998</v>
      </c>
      <c r="Y73" s="290">
        <f t="shared" si="0"/>
        <v>2.601</v>
      </c>
      <c r="Z73" s="291"/>
    </row>
    <row r="74" spans="2:265" x14ac:dyDescent="0.25">
      <c r="E74" s="70">
        <v>2</v>
      </c>
      <c r="F74" s="289">
        <f>+Z46</f>
        <v>1.8</v>
      </c>
      <c r="G74" s="289">
        <f t="shared" ref="G74:Y74" si="1">+AA46</f>
        <v>1.8360000000000001</v>
      </c>
      <c r="H74" s="289">
        <f t="shared" si="1"/>
        <v>1.8727200000000002</v>
      </c>
      <c r="I74" s="289">
        <f t="shared" si="1"/>
        <v>1.9101744000000003</v>
      </c>
      <c r="J74" s="289">
        <f t="shared" si="1"/>
        <v>1.9483778880000002</v>
      </c>
      <c r="K74" s="289">
        <f t="shared" si="1"/>
        <v>1.9873454457600002</v>
      </c>
      <c r="L74" s="289">
        <f t="shared" si="1"/>
        <v>2.0270923546752</v>
      </c>
      <c r="M74" s="289">
        <f t="shared" si="1"/>
        <v>2.0676342017687039</v>
      </c>
      <c r="N74" s="289">
        <f t="shared" si="1"/>
        <v>2.5</v>
      </c>
      <c r="O74" s="289">
        <f t="shared" si="1"/>
        <v>2.5499999999999998</v>
      </c>
      <c r="P74" s="289">
        <f t="shared" si="1"/>
        <v>2.601</v>
      </c>
      <c r="Q74" s="289">
        <f t="shared" si="1"/>
        <v>2.6530200000000002</v>
      </c>
      <c r="R74" s="289">
        <f t="shared" si="1"/>
        <v>2.7060804000000003</v>
      </c>
      <c r="S74" s="289">
        <f t="shared" si="1"/>
        <v>2.7602020080000003</v>
      </c>
      <c r="T74" s="289">
        <f t="shared" si="1"/>
        <v>2.8154060481600003</v>
      </c>
      <c r="U74" s="289">
        <f t="shared" si="1"/>
        <v>2.8717141691232002</v>
      </c>
      <c r="V74" s="289">
        <f t="shared" si="1"/>
        <v>2.5</v>
      </c>
      <c r="W74" s="289">
        <f t="shared" si="1"/>
        <v>2.5499999999999998</v>
      </c>
      <c r="X74" s="289">
        <f t="shared" si="1"/>
        <v>2.601</v>
      </c>
      <c r="Y74" s="290">
        <f t="shared" si="1"/>
        <v>2.6530200000000002</v>
      </c>
    </row>
    <row r="75" spans="2:265" x14ac:dyDescent="0.25">
      <c r="E75" s="70">
        <v>3</v>
      </c>
      <c r="F75" s="289">
        <f>+AT46</f>
        <v>7.1849999999999996</v>
      </c>
      <c r="G75" s="289">
        <f t="shared" ref="G75:Y75" si="2">+AU46</f>
        <v>1.8</v>
      </c>
      <c r="H75" s="289">
        <f t="shared" si="2"/>
        <v>1.8360000000000001</v>
      </c>
      <c r="I75" s="289">
        <f t="shared" si="2"/>
        <v>1.8727200000000002</v>
      </c>
      <c r="J75" s="289">
        <f t="shared" si="2"/>
        <v>1.9101744000000003</v>
      </c>
      <c r="K75" s="289">
        <f t="shared" si="2"/>
        <v>1.9483778880000002</v>
      </c>
      <c r="L75" s="289">
        <f t="shared" si="2"/>
        <v>1.9873454457600002</v>
      </c>
      <c r="M75" s="289">
        <f t="shared" si="2"/>
        <v>2.0270923546752</v>
      </c>
      <c r="N75" s="289">
        <f t="shared" si="2"/>
        <v>2.0676342017687039</v>
      </c>
      <c r="O75" s="289">
        <f t="shared" si="2"/>
        <v>2.5</v>
      </c>
      <c r="P75" s="289">
        <f t="shared" si="2"/>
        <v>2.5499999999999998</v>
      </c>
      <c r="Q75" s="289">
        <f t="shared" si="2"/>
        <v>2.601</v>
      </c>
      <c r="R75" s="289">
        <f t="shared" si="2"/>
        <v>2.6530200000000002</v>
      </c>
      <c r="S75" s="289">
        <f t="shared" si="2"/>
        <v>2.7060804000000003</v>
      </c>
      <c r="T75" s="289">
        <f t="shared" si="2"/>
        <v>2.7602020080000003</v>
      </c>
      <c r="U75" s="289">
        <f t="shared" si="2"/>
        <v>2.8154060481600003</v>
      </c>
      <c r="V75" s="289">
        <f t="shared" si="2"/>
        <v>2.8717141691232002</v>
      </c>
      <c r="W75" s="289">
        <f t="shared" si="2"/>
        <v>2.5</v>
      </c>
      <c r="X75" s="289">
        <f t="shared" si="2"/>
        <v>2.5499999999999998</v>
      </c>
      <c r="Y75" s="290">
        <f t="shared" si="2"/>
        <v>2.601</v>
      </c>
    </row>
    <row r="76" spans="2:265" x14ac:dyDescent="0.25">
      <c r="E76" s="70">
        <v>4</v>
      </c>
      <c r="F76" s="289">
        <f>+BN46</f>
        <v>7.1849999999999996</v>
      </c>
      <c r="G76" s="289">
        <f t="shared" ref="G76:Y76" si="3">+BO46</f>
        <v>7.3286999999999995</v>
      </c>
      <c r="H76" s="289">
        <f t="shared" si="3"/>
        <v>1.8</v>
      </c>
      <c r="I76" s="289">
        <f t="shared" si="3"/>
        <v>1.8360000000000001</v>
      </c>
      <c r="J76" s="289">
        <f t="shared" si="3"/>
        <v>1.8727200000000002</v>
      </c>
      <c r="K76" s="289">
        <f t="shared" si="3"/>
        <v>1.9101744000000003</v>
      </c>
      <c r="L76" s="289">
        <f t="shared" si="3"/>
        <v>1.9483778880000002</v>
      </c>
      <c r="M76" s="289">
        <f t="shared" si="3"/>
        <v>1.9873454457600002</v>
      </c>
      <c r="N76" s="289">
        <f t="shared" si="3"/>
        <v>2.0270923546752</v>
      </c>
      <c r="O76" s="289">
        <f t="shared" si="3"/>
        <v>2.0676342017687039</v>
      </c>
      <c r="P76" s="289">
        <f t="shared" si="3"/>
        <v>2.5</v>
      </c>
      <c r="Q76" s="289">
        <f t="shared" si="3"/>
        <v>2.5499999999999998</v>
      </c>
      <c r="R76" s="289">
        <f t="shared" si="3"/>
        <v>2.601</v>
      </c>
      <c r="S76" s="289">
        <f t="shared" si="3"/>
        <v>2.6530200000000002</v>
      </c>
      <c r="T76" s="289">
        <f t="shared" si="3"/>
        <v>2.7060804000000003</v>
      </c>
      <c r="U76" s="289">
        <f t="shared" si="3"/>
        <v>2.7602020080000003</v>
      </c>
      <c r="V76" s="289">
        <f t="shared" si="3"/>
        <v>2.8154060481600003</v>
      </c>
      <c r="W76" s="289">
        <f t="shared" si="3"/>
        <v>2.8717141691232002</v>
      </c>
      <c r="X76" s="289">
        <f t="shared" si="3"/>
        <v>2.5</v>
      </c>
      <c r="Y76" s="290">
        <f t="shared" si="3"/>
        <v>2.5499999999999998</v>
      </c>
    </row>
    <row r="77" spans="2:265" x14ac:dyDescent="0.25">
      <c r="E77" s="70">
        <v>5</v>
      </c>
      <c r="F77" s="289">
        <f>+CH46</f>
        <v>7.1849999999999996</v>
      </c>
      <c r="G77" s="289">
        <f t="shared" ref="G77:Y77" si="4">+CI46</f>
        <v>7.3286999999999995</v>
      </c>
      <c r="H77" s="289">
        <f t="shared" si="4"/>
        <v>7.4752739999999998</v>
      </c>
      <c r="I77" s="289">
        <f t="shared" si="4"/>
        <v>1.8</v>
      </c>
      <c r="J77" s="289">
        <f t="shared" si="4"/>
        <v>1.8360000000000001</v>
      </c>
      <c r="K77" s="289">
        <f t="shared" si="4"/>
        <v>1.8727200000000002</v>
      </c>
      <c r="L77" s="289">
        <f t="shared" si="4"/>
        <v>1.9101744000000003</v>
      </c>
      <c r="M77" s="289">
        <f t="shared" si="4"/>
        <v>1.9483778880000002</v>
      </c>
      <c r="N77" s="289">
        <f t="shared" si="4"/>
        <v>1.9873454457600002</v>
      </c>
      <c r="O77" s="289">
        <f t="shared" si="4"/>
        <v>2.0270923546752</v>
      </c>
      <c r="P77" s="289">
        <f t="shared" si="4"/>
        <v>2.0676342017687039</v>
      </c>
      <c r="Q77" s="289">
        <f t="shared" si="4"/>
        <v>2.5</v>
      </c>
      <c r="R77" s="289">
        <f t="shared" si="4"/>
        <v>2.5499999999999998</v>
      </c>
      <c r="S77" s="289">
        <f t="shared" si="4"/>
        <v>2.601</v>
      </c>
      <c r="T77" s="289">
        <f t="shared" si="4"/>
        <v>2.6530200000000002</v>
      </c>
      <c r="U77" s="289">
        <f t="shared" si="4"/>
        <v>2.7060804000000003</v>
      </c>
      <c r="V77" s="289">
        <f t="shared" si="4"/>
        <v>2.7602020080000003</v>
      </c>
      <c r="W77" s="289">
        <f t="shared" si="4"/>
        <v>2.8154060481600003</v>
      </c>
      <c r="X77" s="289">
        <f t="shared" si="4"/>
        <v>2.8717141691232002</v>
      </c>
      <c r="Y77" s="290">
        <f t="shared" si="4"/>
        <v>2.5</v>
      </c>
    </row>
    <row r="78" spans="2:265" x14ac:dyDescent="0.25">
      <c r="E78" s="70">
        <v>6</v>
      </c>
      <c r="F78" s="289">
        <f>+DB46</f>
        <v>7.1849999999999996</v>
      </c>
      <c r="G78" s="289">
        <f t="shared" ref="G78:Y78" si="5">+DC46</f>
        <v>7.3286999999999995</v>
      </c>
      <c r="H78" s="289">
        <f t="shared" si="5"/>
        <v>7.4752739999999998</v>
      </c>
      <c r="I78" s="289">
        <f t="shared" si="5"/>
        <v>7.6247794799999999</v>
      </c>
      <c r="J78" s="289">
        <f t="shared" si="5"/>
        <v>1.8</v>
      </c>
      <c r="K78" s="289">
        <f t="shared" si="5"/>
        <v>1.8360000000000001</v>
      </c>
      <c r="L78" s="289">
        <f t="shared" si="5"/>
        <v>1.8727200000000002</v>
      </c>
      <c r="M78" s="289">
        <f t="shared" si="5"/>
        <v>1.9101744000000003</v>
      </c>
      <c r="N78" s="289">
        <f t="shared" si="5"/>
        <v>1.9483778880000002</v>
      </c>
      <c r="O78" s="289">
        <f t="shared" si="5"/>
        <v>1.9873454457600002</v>
      </c>
      <c r="P78" s="289">
        <f t="shared" si="5"/>
        <v>2.0270923546752</v>
      </c>
      <c r="Q78" s="289">
        <f t="shared" si="5"/>
        <v>2.0676342017687039</v>
      </c>
      <c r="R78" s="289">
        <f t="shared" si="5"/>
        <v>2.5</v>
      </c>
      <c r="S78" s="289">
        <f t="shared" si="5"/>
        <v>2.5499999999999998</v>
      </c>
      <c r="T78" s="289">
        <f t="shared" si="5"/>
        <v>2.601</v>
      </c>
      <c r="U78" s="289">
        <f t="shared" si="5"/>
        <v>2.6530200000000002</v>
      </c>
      <c r="V78" s="289">
        <f t="shared" si="5"/>
        <v>2.7060804000000003</v>
      </c>
      <c r="W78" s="289">
        <f t="shared" si="5"/>
        <v>2.7602020080000003</v>
      </c>
      <c r="X78" s="289">
        <f t="shared" si="5"/>
        <v>2.8154060481600003</v>
      </c>
      <c r="Y78" s="290">
        <f t="shared" si="5"/>
        <v>2.8717141691232002</v>
      </c>
    </row>
    <row r="79" spans="2:265" x14ac:dyDescent="0.25">
      <c r="E79" s="70">
        <v>7</v>
      </c>
      <c r="F79" s="289">
        <f>+DV46</f>
        <v>7.1849999999999996</v>
      </c>
      <c r="G79" s="289">
        <f t="shared" ref="G79:Y79" si="6">+DW46</f>
        <v>7.3286999999999995</v>
      </c>
      <c r="H79" s="289">
        <f t="shared" si="6"/>
        <v>7.4752739999999998</v>
      </c>
      <c r="I79" s="289">
        <f t="shared" si="6"/>
        <v>7.6247794799999999</v>
      </c>
      <c r="J79" s="289">
        <f t="shared" si="6"/>
        <v>7.7772750695999999</v>
      </c>
      <c r="K79" s="289">
        <f t="shared" si="6"/>
        <v>1.8</v>
      </c>
      <c r="L79" s="289">
        <f t="shared" si="6"/>
        <v>1.8360000000000001</v>
      </c>
      <c r="M79" s="289">
        <f t="shared" si="6"/>
        <v>1.8727200000000002</v>
      </c>
      <c r="N79" s="289">
        <f t="shared" si="6"/>
        <v>1.9101744000000003</v>
      </c>
      <c r="O79" s="289">
        <f t="shared" si="6"/>
        <v>1.9483778880000002</v>
      </c>
      <c r="P79" s="289">
        <f t="shared" si="6"/>
        <v>1.9873454457600002</v>
      </c>
      <c r="Q79" s="289">
        <f t="shared" si="6"/>
        <v>2.0270923546752</v>
      </c>
      <c r="R79" s="289">
        <f t="shared" si="6"/>
        <v>2.0676342017687039</v>
      </c>
      <c r="S79" s="289">
        <f t="shared" si="6"/>
        <v>2.5</v>
      </c>
      <c r="T79" s="289">
        <f t="shared" si="6"/>
        <v>2.5499999999999998</v>
      </c>
      <c r="U79" s="289">
        <f t="shared" si="6"/>
        <v>2.601</v>
      </c>
      <c r="V79" s="289">
        <f t="shared" si="6"/>
        <v>2.6530200000000002</v>
      </c>
      <c r="W79" s="289">
        <f t="shared" si="6"/>
        <v>2.7060804000000003</v>
      </c>
      <c r="X79" s="289">
        <f t="shared" si="6"/>
        <v>2.7602020080000003</v>
      </c>
      <c r="Y79" s="290">
        <f t="shared" si="6"/>
        <v>2.8154060481600003</v>
      </c>
    </row>
    <row r="80" spans="2:265" x14ac:dyDescent="0.25">
      <c r="E80" s="70">
        <v>8</v>
      </c>
      <c r="F80" s="289">
        <f>+EP46</f>
        <v>2.5</v>
      </c>
      <c r="G80" s="289">
        <f t="shared" ref="G80:Y80" si="7">+EQ46</f>
        <v>2.5499999999999998</v>
      </c>
      <c r="H80" s="289">
        <f t="shared" si="7"/>
        <v>2.601</v>
      </c>
      <c r="I80" s="289">
        <f t="shared" si="7"/>
        <v>2.6530200000000002</v>
      </c>
      <c r="J80" s="289">
        <f t="shared" si="7"/>
        <v>2.7060804000000003</v>
      </c>
      <c r="K80" s="289">
        <f t="shared" si="7"/>
        <v>2.7602020080000003</v>
      </c>
      <c r="L80" s="289">
        <f t="shared" si="7"/>
        <v>2.8154060481600003</v>
      </c>
      <c r="M80" s="289">
        <f t="shared" si="7"/>
        <v>2.8717141691232002</v>
      </c>
      <c r="N80" s="289">
        <f t="shared" si="7"/>
        <v>2.5</v>
      </c>
      <c r="O80" s="289">
        <f t="shared" si="7"/>
        <v>2.5499999999999998</v>
      </c>
      <c r="P80" s="289">
        <f t="shared" si="7"/>
        <v>2.601</v>
      </c>
      <c r="Q80" s="289">
        <f t="shared" si="7"/>
        <v>2.6530200000000002</v>
      </c>
      <c r="R80" s="289">
        <f t="shared" si="7"/>
        <v>2.7060804000000003</v>
      </c>
      <c r="S80" s="289">
        <f t="shared" si="7"/>
        <v>2.7602020080000003</v>
      </c>
      <c r="T80" s="289">
        <f t="shared" si="7"/>
        <v>2.8154060481600003</v>
      </c>
      <c r="U80" s="289">
        <f t="shared" si="7"/>
        <v>2.8717141691232002</v>
      </c>
      <c r="V80" s="289">
        <f t="shared" si="7"/>
        <v>2.5</v>
      </c>
      <c r="W80" s="289">
        <f t="shared" si="7"/>
        <v>2.5499999999999998</v>
      </c>
      <c r="X80" s="289">
        <f t="shared" si="7"/>
        <v>2.601</v>
      </c>
      <c r="Y80" s="290">
        <f t="shared" si="7"/>
        <v>2.6530200000000002</v>
      </c>
    </row>
    <row r="81" spans="5:25" x14ac:dyDescent="0.25">
      <c r="E81" s="70">
        <v>9</v>
      </c>
      <c r="F81" s="289">
        <f>+FJ46</f>
        <v>7.1849999999999996</v>
      </c>
      <c r="G81" s="289">
        <f t="shared" ref="G81:Y81" si="8">+FK46</f>
        <v>2.5</v>
      </c>
      <c r="H81" s="289">
        <f t="shared" si="8"/>
        <v>2.5499999999999998</v>
      </c>
      <c r="I81" s="289">
        <f t="shared" si="8"/>
        <v>2.601</v>
      </c>
      <c r="J81" s="289">
        <f t="shared" si="8"/>
        <v>2.6530200000000002</v>
      </c>
      <c r="K81" s="289">
        <f t="shared" si="8"/>
        <v>2.7060804000000003</v>
      </c>
      <c r="L81" s="289">
        <f t="shared" si="8"/>
        <v>2.7602020080000003</v>
      </c>
      <c r="M81" s="289">
        <f t="shared" si="8"/>
        <v>2.8154060481600003</v>
      </c>
      <c r="N81" s="289">
        <f t="shared" si="8"/>
        <v>2.8717141691232002</v>
      </c>
      <c r="O81" s="289">
        <f t="shared" si="8"/>
        <v>2.5</v>
      </c>
      <c r="P81" s="289">
        <f t="shared" si="8"/>
        <v>2.5499999999999998</v>
      </c>
      <c r="Q81" s="289">
        <f t="shared" si="8"/>
        <v>2.601</v>
      </c>
      <c r="R81" s="289">
        <f t="shared" si="8"/>
        <v>2.6530200000000002</v>
      </c>
      <c r="S81" s="289">
        <f t="shared" si="8"/>
        <v>2.7060804000000003</v>
      </c>
      <c r="T81" s="289">
        <f t="shared" si="8"/>
        <v>2.7602020080000003</v>
      </c>
      <c r="U81" s="289">
        <f t="shared" si="8"/>
        <v>2.8154060481600003</v>
      </c>
      <c r="V81" s="289">
        <f t="shared" si="8"/>
        <v>2.8717141691232002</v>
      </c>
      <c r="W81" s="289">
        <f t="shared" si="8"/>
        <v>2.5</v>
      </c>
      <c r="X81" s="289">
        <f t="shared" si="8"/>
        <v>2.5499999999999998</v>
      </c>
      <c r="Y81" s="290">
        <f t="shared" si="8"/>
        <v>2.601</v>
      </c>
    </row>
    <row r="82" spans="5:25" x14ac:dyDescent="0.25">
      <c r="E82" s="70">
        <v>10</v>
      </c>
      <c r="F82" s="289">
        <f>+GD46</f>
        <v>7.1849999999999996</v>
      </c>
      <c r="G82" s="289">
        <f t="shared" ref="G82:Y82" si="9">+GE46</f>
        <v>7.3286999999999995</v>
      </c>
      <c r="H82" s="289">
        <f t="shared" si="9"/>
        <v>2.5</v>
      </c>
      <c r="I82" s="289">
        <f t="shared" si="9"/>
        <v>2.5499999999999998</v>
      </c>
      <c r="J82" s="289">
        <f t="shared" si="9"/>
        <v>2.601</v>
      </c>
      <c r="K82" s="289">
        <f t="shared" si="9"/>
        <v>2.6530200000000002</v>
      </c>
      <c r="L82" s="289">
        <f t="shared" si="9"/>
        <v>2.7060804000000003</v>
      </c>
      <c r="M82" s="289">
        <f t="shared" si="9"/>
        <v>2.7602020080000003</v>
      </c>
      <c r="N82" s="289">
        <f t="shared" si="9"/>
        <v>2.8154060481600003</v>
      </c>
      <c r="O82" s="289">
        <f t="shared" si="9"/>
        <v>2.8717141691232002</v>
      </c>
      <c r="P82" s="289">
        <f t="shared" si="9"/>
        <v>2.5</v>
      </c>
      <c r="Q82" s="289">
        <f t="shared" si="9"/>
        <v>2.5499999999999998</v>
      </c>
      <c r="R82" s="289">
        <f t="shared" si="9"/>
        <v>2.601</v>
      </c>
      <c r="S82" s="289">
        <f t="shared" si="9"/>
        <v>2.6530200000000002</v>
      </c>
      <c r="T82" s="289">
        <f t="shared" si="9"/>
        <v>2.7060804000000003</v>
      </c>
      <c r="U82" s="289">
        <f t="shared" si="9"/>
        <v>2.7602020080000003</v>
      </c>
      <c r="V82" s="289">
        <f t="shared" si="9"/>
        <v>2.8154060481600003</v>
      </c>
      <c r="W82" s="289">
        <f t="shared" si="9"/>
        <v>2.8717141691232002</v>
      </c>
      <c r="X82" s="289">
        <f t="shared" si="9"/>
        <v>2.5</v>
      </c>
      <c r="Y82" s="290">
        <f t="shared" si="9"/>
        <v>2.5499999999999998</v>
      </c>
    </row>
    <row r="83" spans="5:25" x14ac:dyDescent="0.25">
      <c r="E83" s="70">
        <v>11</v>
      </c>
      <c r="F83" s="289">
        <f>+GX46</f>
        <v>7.1849999999999996</v>
      </c>
      <c r="G83" s="289">
        <f t="shared" ref="G83:Y83" si="10">+GY46</f>
        <v>7.3286999999999995</v>
      </c>
      <c r="H83" s="289">
        <f t="shared" si="10"/>
        <v>7.4752739999999998</v>
      </c>
      <c r="I83" s="289">
        <f t="shared" si="10"/>
        <v>2.5</v>
      </c>
      <c r="J83" s="289">
        <f t="shared" si="10"/>
        <v>2.5499999999999998</v>
      </c>
      <c r="K83" s="289">
        <f t="shared" si="10"/>
        <v>2.601</v>
      </c>
      <c r="L83" s="289">
        <f t="shared" si="10"/>
        <v>2.6530200000000002</v>
      </c>
      <c r="M83" s="289">
        <f t="shared" si="10"/>
        <v>2.7060804000000003</v>
      </c>
      <c r="N83" s="289">
        <f t="shared" si="10"/>
        <v>2.7602020080000003</v>
      </c>
      <c r="O83" s="289">
        <f t="shared" si="10"/>
        <v>2.8154060481600003</v>
      </c>
      <c r="P83" s="289">
        <f t="shared" si="10"/>
        <v>2.8717141691232002</v>
      </c>
      <c r="Q83" s="289">
        <f t="shared" si="10"/>
        <v>2.5</v>
      </c>
      <c r="R83" s="289">
        <f t="shared" si="10"/>
        <v>2.5499999999999998</v>
      </c>
      <c r="S83" s="289">
        <f t="shared" si="10"/>
        <v>2.601</v>
      </c>
      <c r="T83" s="289">
        <f t="shared" si="10"/>
        <v>2.6530200000000002</v>
      </c>
      <c r="U83" s="289">
        <f t="shared" si="10"/>
        <v>2.7060804000000003</v>
      </c>
      <c r="V83" s="289">
        <f t="shared" si="10"/>
        <v>2.7602020080000003</v>
      </c>
      <c r="W83" s="289">
        <f t="shared" si="10"/>
        <v>2.8154060481600003</v>
      </c>
      <c r="X83" s="289">
        <f t="shared" si="10"/>
        <v>2.8717141691232002</v>
      </c>
      <c r="Y83" s="290">
        <f t="shared" si="10"/>
        <v>2.5</v>
      </c>
    </row>
    <row r="84" spans="5:25" x14ac:dyDescent="0.25">
      <c r="E84" s="70">
        <v>12</v>
      </c>
      <c r="F84" s="289">
        <f>+HR46</f>
        <v>7.1849999999999996</v>
      </c>
      <c r="G84" s="289">
        <f t="shared" ref="G84:Y84" si="11">+HS46</f>
        <v>7.3286999999999995</v>
      </c>
      <c r="H84" s="289">
        <f t="shared" si="11"/>
        <v>7.4752739999999998</v>
      </c>
      <c r="I84" s="289">
        <f t="shared" si="11"/>
        <v>7.6247794799999999</v>
      </c>
      <c r="J84" s="289">
        <f t="shared" si="11"/>
        <v>2.5</v>
      </c>
      <c r="K84" s="289">
        <f t="shared" si="11"/>
        <v>2.5499999999999998</v>
      </c>
      <c r="L84" s="289">
        <f t="shared" si="11"/>
        <v>2.601</v>
      </c>
      <c r="M84" s="289">
        <f t="shared" si="11"/>
        <v>2.6530200000000002</v>
      </c>
      <c r="N84" s="289">
        <f t="shared" si="11"/>
        <v>2.7060804000000003</v>
      </c>
      <c r="O84" s="289">
        <f t="shared" si="11"/>
        <v>2.7602020080000003</v>
      </c>
      <c r="P84" s="289">
        <f t="shared" si="11"/>
        <v>2.8154060481600003</v>
      </c>
      <c r="Q84" s="289">
        <f t="shared" si="11"/>
        <v>2.8717141691232002</v>
      </c>
      <c r="R84" s="289">
        <f t="shared" si="11"/>
        <v>2.5</v>
      </c>
      <c r="S84" s="289">
        <f t="shared" si="11"/>
        <v>2.5499999999999998</v>
      </c>
      <c r="T84" s="289">
        <f t="shared" si="11"/>
        <v>2.601</v>
      </c>
      <c r="U84" s="289">
        <f t="shared" si="11"/>
        <v>2.6530200000000002</v>
      </c>
      <c r="V84" s="289">
        <f t="shared" si="11"/>
        <v>2.7060804000000003</v>
      </c>
      <c r="W84" s="289">
        <f t="shared" si="11"/>
        <v>2.7602020080000003</v>
      </c>
      <c r="X84" s="289">
        <f t="shared" si="11"/>
        <v>2.8154060481600003</v>
      </c>
      <c r="Y84" s="290">
        <f t="shared" si="11"/>
        <v>2.8717141691232002</v>
      </c>
    </row>
    <row r="85" spans="5:25" x14ac:dyDescent="0.25">
      <c r="E85" s="71">
        <v>13</v>
      </c>
      <c r="F85" s="292">
        <f>+IL46</f>
        <v>7.1849999999999996</v>
      </c>
      <c r="G85" s="292">
        <f t="shared" ref="G85:Y85" si="12">+IM46</f>
        <v>7.3286999999999995</v>
      </c>
      <c r="H85" s="292">
        <f t="shared" si="12"/>
        <v>7.4752739999999998</v>
      </c>
      <c r="I85" s="292">
        <f t="shared" si="12"/>
        <v>7.6247794799999999</v>
      </c>
      <c r="J85" s="292">
        <f t="shared" si="12"/>
        <v>7.7772750695999999</v>
      </c>
      <c r="K85" s="292">
        <f t="shared" si="12"/>
        <v>2.5</v>
      </c>
      <c r="L85" s="292">
        <f t="shared" si="12"/>
        <v>2.5499999999999998</v>
      </c>
      <c r="M85" s="292">
        <f t="shared" si="12"/>
        <v>2.601</v>
      </c>
      <c r="N85" s="292">
        <f t="shared" si="12"/>
        <v>2.6530200000000002</v>
      </c>
      <c r="O85" s="292">
        <f t="shared" si="12"/>
        <v>2.7060804000000003</v>
      </c>
      <c r="P85" s="292">
        <f t="shared" si="12"/>
        <v>2.7602020080000003</v>
      </c>
      <c r="Q85" s="292">
        <f t="shared" si="12"/>
        <v>2.8154060481600003</v>
      </c>
      <c r="R85" s="292">
        <f t="shared" si="12"/>
        <v>2.8717141691232002</v>
      </c>
      <c r="S85" s="292">
        <f t="shared" si="12"/>
        <v>2.5</v>
      </c>
      <c r="T85" s="292">
        <f t="shared" si="12"/>
        <v>2.5499999999999998</v>
      </c>
      <c r="U85" s="292">
        <f t="shared" si="12"/>
        <v>2.601</v>
      </c>
      <c r="V85" s="292">
        <f t="shared" si="12"/>
        <v>2.6530200000000002</v>
      </c>
      <c r="W85" s="292">
        <f t="shared" si="12"/>
        <v>2.7060804000000003</v>
      </c>
      <c r="X85" s="292">
        <f t="shared" si="12"/>
        <v>2.7602020080000003</v>
      </c>
      <c r="Y85" s="293">
        <f t="shared" si="12"/>
        <v>2.8154060481600003</v>
      </c>
    </row>
    <row r="86" spans="5:25" x14ac:dyDescent="0.25">
      <c r="E86" s="22"/>
      <c r="F86" s="29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3"/>
    </row>
    <row r="87" spans="5:25" x14ac:dyDescent="0.25">
      <c r="E87" s="35"/>
      <c r="F87" s="289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6"/>
    </row>
    <row r="88" spans="5:25" x14ac:dyDescent="0.25">
      <c r="E88" s="35"/>
      <c r="F88" s="289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6"/>
    </row>
    <row r="89" spans="5:25" x14ac:dyDescent="0.25">
      <c r="E89" s="35"/>
      <c r="F89" s="289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6"/>
    </row>
    <row r="90" spans="5:25" x14ac:dyDescent="0.25">
      <c r="E90" s="35"/>
      <c r="F90" s="289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6"/>
    </row>
    <row r="91" spans="5:25" x14ac:dyDescent="0.25">
      <c r="E91" s="35"/>
      <c r="F91" s="289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6"/>
    </row>
    <row r="92" spans="5:25" x14ac:dyDescent="0.25">
      <c r="E92" s="35"/>
      <c r="F92" s="289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6"/>
    </row>
    <row r="93" spans="5:25" x14ac:dyDescent="0.25">
      <c r="E93" s="35"/>
      <c r="F93" s="289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6"/>
    </row>
    <row r="94" spans="5:25" x14ac:dyDescent="0.25">
      <c r="E94" s="35"/>
      <c r="F94" s="289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6"/>
    </row>
    <row r="95" spans="5:25" x14ac:dyDescent="0.25">
      <c r="E95" s="35"/>
      <c r="F95" s="289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6"/>
    </row>
    <row r="96" spans="5:25" x14ac:dyDescent="0.25">
      <c r="E96" s="35"/>
      <c r="F96" s="289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6"/>
    </row>
    <row r="97" spans="5:25" x14ac:dyDescent="0.25">
      <c r="E97" s="35"/>
      <c r="F97" s="289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6"/>
    </row>
    <row r="98" spans="5:25" x14ac:dyDescent="0.25">
      <c r="E98" s="35"/>
      <c r="F98" s="289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6"/>
    </row>
    <row r="99" spans="5:25" x14ac:dyDescent="0.25">
      <c r="E99" s="35"/>
      <c r="F99" s="289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6"/>
    </row>
    <row r="100" spans="5:25" x14ac:dyDescent="0.25">
      <c r="E100" s="35"/>
      <c r="F100" s="289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6"/>
    </row>
    <row r="101" spans="5:25" x14ac:dyDescent="0.25">
      <c r="E101" s="59"/>
      <c r="F101" s="292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6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opLeftCell="A362" workbookViewId="0">
      <selection activeCell="E377" sqref="E377:I726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09" t="s">
        <v>480</v>
      </c>
    </row>
    <row r="4" spans="2:16" x14ac:dyDescent="0.25">
      <c r="B4" s="166" t="s">
        <v>307</v>
      </c>
      <c r="C4" s="216">
        <v>0.06</v>
      </c>
    </row>
    <row r="6" spans="2:16" x14ac:dyDescent="0.25">
      <c r="B6" s="15" t="s">
        <v>722</v>
      </c>
      <c r="C6" s="217">
        <v>0.91</v>
      </c>
    </row>
    <row r="8" spans="2:16" x14ac:dyDescent="0.25"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2:16" x14ac:dyDescent="0.25">
      <c r="B9" s="209" t="s">
        <v>476</v>
      </c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5"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x14ac:dyDescent="0.25">
      <c r="B11" s="81" t="s">
        <v>501</v>
      </c>
      <c r="I11" s="37"/>
    </row>
    <row r="12" spans="2:16" x14ac:dyDescent="0.25">
      <c r="B12" s="69" t="s">
        <v>60</v>
      </c>
      <c r="C12" s="13" t="s">
        <v>279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4"/>
    </row>
    <row r="13" spans="2:16" x14ac:dyDescent="0.25">
      <c r="B13" s="70" t="s">
        <v>497</v>
      </c>
      <c r="C13" s="25" t="s">
        <v>162</v>
      </c>
      <c r="D13" s="25" t="s">
        <v>93</v>
      </c>
      <c r="E13" s="112" t="s">
        <v>95</v>
      </c>
      <c r="F13" s="112" t="s">
        <v>163</v>
      </c>
      <c r="G13" s="112" t="s">
        <v>164</v>
      </c>
      <c r="H13" s="112" t="s">
        <v>165</v>
      </c>
      <c r="I13" s="112" t="s">
        <v>95</v>
      </c>
      <c r="J13" s="112" t="s">
        <v>166</v>
      </c>
      <c r="K13" s="112" t="s">
        <v>98</v>
      </c>
      <c r="L13" s="112" t="s">
        <v>93</v>
      </c>
      <c r="M13" s="112" t="s">
        <v>95</v>
      </c>
      <c r="N13" s="111" t="s">
        <v>96</v>
      </c>
    </row>
    <row r="14" spans="2:16" x14ac:dyDescent="0.25">
      <c r="B14" s="70" t="s">
        <v>498</v>
      </c>
      <c r="C14" s="39" t="s">
        <v>167</v>
      </c>
      <c r="D14" s="39" t="s">
        <v>90</v>
      </c>
      <c r="E14" s="39" t="s">
        <v>90</v>
      </c>
      <c r="F14" s="39" t="s">
        <v>92</v>
      </c>
      <c r="G14" s="39" t="s">
        <v>168</v>
      </c>
      <c r="H14" s="39" t="s">
        <v>97</v>
      </c>
      <c r="I14" s="39" t="s">
        <v>97</v>
      </c>
      <c r="J14" s="39" t="s">
        <v>97</v>
      </c>
      <c r="K14" s="39" t="s">
        <v>97</v>
      </c>
      <c r="L14" s="39" t="s">
        <v>94</v>
      </c>
      <c r="M14" s="39" t="s">
        <v>94</v>
      </c>
      <c r="N14" s="110" t="s">
        <v>94</v>
      </c>
    </row>
    <row r="15" spans="2:16" x14ac:dyDescent="0.25">
      <c r="B15" s="70" t="s">
        <v>499</v>
      </c>
      <c r="C15" s="40" t="s">
        <v>101</v>
      </c>
      <c r="D15" s="40" t="s">
        <v>101</v>
      </c>
      <c r="E15" s="40" t="s">
        <v>101</v>
      </c>
      <c r="F15" s="40" t="s">
        <v>101</v>
      </c>
      <c r="G15" s="40" t="s">
        <v>101</v>
      </c>
      <c r="H15" s="40" t="s">
        <v>101</v>
      </c>
      <c r="I15" s="40" t="s">
        <v>101</v>
      </c>
      <c r="J15" s="40" t="s">
        <v>101</v>
      </c>
      <c r="K15" s="40" t="s">
        <v>101</v>
      </c>
      <c r="L15" s="40" t="s">
        <v>101</v>
      </c>
      <c r="M15" s="40" t="s">
        <v>101</v>
      </c>
      <c r="N15" s="44" t="s">
        <v>101</v>
      </c>
    </row>
    <row r="16" spans="2:16" x14ac:dyDescent="0.25">
      <c r="B16" s="66" t="s">
        <v>782</v>
      </c>
      <c r="C16" s="300">
        <v>0.04</v>
      </c>
      <c r="D16" s="301">
        <v>0.04</v>
      </c>
      <c r="E16" s="301">
        <v>0.04</v>
      </c>
      <c r="F16" s="301">
        <v>0.04</v>
      </c>
      <c r="G16" s="301">
        <v>0.04</v>
      </c>
      <c r="H16" s="301">
        <v>0.04</v>
      </c>
      <c r="I16" s="301">
        <v>0.04</v>
      </c>
      <c r="J16" s="301">
        <v>0.04</v>
      </c>
      <c r="K16" s="301">
        <v>0.04</v>
      </c>
      <c r="L16" s="301">
        <v>0.04</v>
      </c>
      <c r="M16" s="301">
        <v>0.04</v>
      </c>
      <c r="N16" s="302">
        <v>0.04</v>
      </c>
    </row>
    <row r="17" spans="2:14" x14ac:dyDescent="0.25">
      <c r="B17" s="67" t="s">
        <v>781</v>
      </c>
      <c r="C17" s="303">
        <v>0.05</v>
      </c>
      <c r="D17" s="299">
        <v>0.05</v>
      </c>
      <c r="E17" s="299">
        <v>0.05</v>
      </c>
      <c r="F17" s="299">
        <v>0.05</v>
      </c>
      <c r="G17" s="299">
        <v>0.05</v>
      </c>
      <c r="H17" s="299">
        <v>0.05</v>
      </c>
      <c r="I17" s="299">
        <v>0.05</v>
      </c>
      <c r="J17" s="299">
        <v>0.05</v>
      </c>
      <c r="K17" s="299">
        <v>0.05</v>
      </c>
      <c r="L17" s="299">
        <v>0.05</v>
      </c>
      <c r="M17" s="299">
        <v>0.05</v>
      </c>
      <c r="N17" s="304">
        <v>0.05</v>
      </c>
    </row>
    <row r="18" spans="2:14" x14ac:dyDescent="0.25">
      <c r="B18" s="67" t="s">
        <v>778</v>
      </c>
      <c r="C18" s="303">
        <v>0.06</v>
      </c>
      <c r="D18" s="299">
        <v>0.06</v>
      </c>
      <c r="E18" s="299">
        <v>0.06</v>
      </c>
      <c r="F18" s="299">
        <v>0.06</v>
      </c>
      <c r="G18" s="299">
        <v>0.06</v>
      </c>
      <c r="H18" s="299">
        <v>0.06</v>
      </c>
      <c r="I18" s="299">
        <v>0.06</v>
      </c>
      <c r="J18" s="299">
        <v>0.06</v>
      </c>
      <c r="K18" s="299">
        <v>0.06</v>
      </c>
      <c r="L18" s="299">
        <v>0.06</v>
      </c>
      <c r="M18" s="299">
        <v>0.06</v>
      </c>
      <c r="N18" s="304">
        <v>0.06</v>
      </c>
    </row>
    <row r="19" spans="2:14" x14ac:dyDescent="0.25">
      <c r="B19" s="67" t="s">
        <v>779</v>
      </c>
      <c r="C19" s="303">
        <v>7.0000000000000007E-2</v>
      </c>
      <c r="D19" s="299">
        <v>7.0000000000000007E-2</v>
      </c>
      <c r="E19" s="299">
        <v>7.0000000000000007E-2</v>
      </c>
      <c r="F19" s="299">
        <v>7.0000000000000007E-2</v>
      </c>
      <c r="G19" s="299">
        <v>7.0000000000000007E-2</v>
      </c>
      <c r="H19" s="299">
        <v>7.0000000000000007E-2</v>
      </c>
      <c r="I19" s="299">
        <v>7.0000000000000007E-2</v>
      </c>
      <c r="J19" s="299">
        <v>7.0000000000000007E-2</v>
      </c>
      <c r="K19" s="299">
        <v>7.0000000000000007E-2</v>
      </c>
      <c r="L19" s="299">
        <v>7.0000000000000007E-2</v>
      </c>
      <c r="M19" s="299">
        <v>7.0000000000000007E-2</v>
      </c>
      <c r="N19" s="304">
        <v>7.0000000000000007E-2</v>
      </c>
    </row>
    <row r="20" spans="2:14" x14ac:dyDescent="0.25">
      <c r="B20" s="68" t="s">
        <v>780</v>
      </c>
      <c r="C20" s="305">
        <v>0.08</v>
      </c>
      <c r="D20" s="306">
        <v>0.08</v>
      </c>
      <c r="E20" s="306">
        <v>0.08</v>
      </c>
      <c r="F20" s="306">
        <v>0.08</v>
      </c>
      <c r="G20" s="306">
        <v>0.08</v>
      </c>
      <c r="H20" s="306">
        <v>0.08</v>
      </c>
      <c r="I20" s="306">
        <v>0.08</v>
      </c>
      <c r="J20" s="306">
        <v>0.08</v>
      </c>
      <c r="K20" s="306">
        <v>0.08</v>
      </c>
      <c r="L20" s="306">
        <v>0.08</v>
      </c>
      <c r="M20" s="306">
        <v>0.08</v>
      </c>
      <c r="N20" s="307">
        <v>0.08</v>
      </c>
    </row>
    <row r="22" spans="2:14" x14ac:dyDescent="0.25">
      <c r="B22" s="81" t="s">
        <v>469</v>
      </c>
      <c r="E22" s="37"/>
      <c r="F22" s="37"/>
      <c r="G22" s="37"/>
      <c r="H22" s="37"/>
      <c r="I22" s="37"/>
    </row>
    <row r="23" spans="2:14" x14ac:dyDescent="0.25">
      <c r="B23" s="123" t="s">
        <v>92</v>
      </c>
      <c r="C23" s="123" t="s">
        <v>169</v>
      </c>
      <c r="D23" s="66" t="s">
        <v>315</v>
      </c>
      <c r="E23" s="69" t="s">
        <v>316</v>
      </c>
    </row>
    <row r="24" spans="2:14" x14ac:dyDescent="0.25">
      <c r="B24" s="124" t="s">
        <v>0</v>
      </c>
      <c r="C24" s="124" t="s">
        <v>170</v>
      </c>
      <c r="D24" s="68" t="s">
        <v>38</v>
      </c>
      <c r="E24" s="71" t="s">
        <v>317</v>
      </c>
    </row>
    <row r="25" spans="2:14" x14ac:dyDescent="0.25">
      <c r="B25" s="76" t="s">
        <v>91</v>
      </c>
      <c r="C25" s="125">
        <v>0</v>
      </c>
      <c r="D25" s="221">
        <v>1.3</v>
      </c>
      <c r="E25" s="222">
        <v>0.5</v>
      </c>
    </row>
    <row r="26" spans="2:14" x14ac:dyDescent="0.25">
      <c r="B26" s="78" t="s">
        <v>171</v>
      </c>
      <c r="C26" s="126">
        <v>0</v>
      </c>
      <c r="D26" s="221">
        <v>1.9</v>
      </c>
      <c r="E26" s="222">
        <v>1.5</v>
      </c>
    </row>
    <row r="27" spans="2:14" x14ac:dyDescent="0.25">
      <c r="B27" s="78" t="s">
        <v>172</v>
      </c>
      <c r="C27" s="126">
        <v>0</v>
      </c>
      <c r="D27" s="221">
        <v>1.9</v>
      </c>
      <c r="E27" s="222">
        <v>1.5</v>
      </c>
    </row>
    <row r="28" spans="2:14" x14ac:dyDescent="0.25">
      <c r="B28" s="78" t="s">
        <v>173</v>
      </c>
      <c r="C28" s="126">
        <v>0.01</v>
      </c>
      <c r="D28" s="221">
        <v>0</v>
      </c>
      <c r="E28" s="222">
        <v>0</v>
      </c>
    </row>
    <row r="29" spans="2:14" x14ac:dyDescent="0.25">
      <c r="B29" s="78" t="s">
        <v>174</v>
      </c>
      <c r="C29" s="126">
        <v>0.02</v>
      </c>
      <c r="D29" s="221">
        <v>0</v>
      </c>
      <c r="E29" s="222">
        <v>0</v>
      </c>
    </row>
    <row r="30" spans="2:14" x14ac:dyDescent="0.25">
      <c r="B30" s="78" t="s">
        <v>175</v>
      </c>
      <c r="C30" s="126">
        <v>0.1</v>
      </c>
      <c r="D30" s="221">
        <v>0</v>
      </c>
      <c r="E30" s="222">
        <v>0</v>
      </c>
    </row>
    <row r="31" spans="2:14" x14ac:dyDescent="0.25">
      <c r="B31" s="78" t="s">
        <v>176</v>
      </c>
      <c r="C31" s="126">
        <v>1.25</v>
      </c>
      <c r="D31" s="221">
        <v>0</v>
      </c>
      <c r="E31" s="222">
        <v>0</v>
      </c>
    </row>
    <row r="32" spans="2:14" x14ac:dyDescent="0.25">
      <c r="B32" s="78" t="s">
        <v>177</v>
      </c>
      <c r="C32" s="126">
        <v>2.5</v>
      </c>
      <c r="D32" s="221">
        <v>0</v>
      </c>
      <c r="E32" s="222">
        <v>0</v>
      </c>
    </row>
    <row r="33" spans="2:19" x14ac:dyDescent="0.25">
      <c r="B33" s="78" t="s">
        <v>178</v>
      </c>
      <c r="C33" s="126">
        <v>5</v>
      </c>
      <c r="D33" s="221">
        <v>0</v>
      </c>
      <c r="E33" s="222">
        <v>0</v>
      </c>
    </row>
    <row r="34" spans="2:19" x14ac:dyDescent="0.25">
      <c r="B34" s="78" t="s">
        <v>179</v>
      </c>
      <c r="C34" s="126">
        <v>0.04</v>
      </c>
      <c r="D34" s="221">
        <v>15</v>
      </c>
      <c r="E34" s="222">
        <v>1</v>
      </c>
    </row>
    <row r="35" spans="2:19" x14ac:dyDescent="0.25">
      <c r="B35" s="78" t="s">
        <v>180</v>
      </c>
      <c r="C35" s="126">
        <v>0.7</v>
      </c>
      <c r="D35" s="221">
        <v>22</v>
      </c>
      <c r="E35" s="222">
        <v>1</v>
      </c>
    </row>
    <row r="36" spans="2:19" x14ac:dyDescent="0.25">
      <c r="B36" s="79" t="s">
        <v>181</v>
      </c>
      <c r="C36" s="127">
        <v>1</v>
      </c>
      <c r="D36" s="223">
        <v>30</v>
      </c>
      <c r="E36" s="224">
        <v>1</v>
      </c>
    </row>
    <row r="39" spans="2:19" x14ac:dyDescent="0.25">
      <c r="B39" s="209" t="s">
        <v>474</v>
      </c>
    </row>
    <row r="40" spans="2:19" x14ac:dyDescent="0.25">
      <c r="C40" s="198"/>
      <c r="D40" s="198"/>
      <c r="E40" s="198"/>
      <c r="F40" s="198"/>
      <c r="G40" s="198"/>
      <c r="H40" s="198"/>
      <c r="I40" s="198"/>
      <c r="J40" s="198"/>
      <c r="K40" s="199"/>
      <c r="L40" s="199"/>
      <c r="M40" s="199"/>
      <c r="N40" s="198"/>
      <c r="O40" s="198"/>
      <c r="P40" s="199"/>
      <c r="Q40" s="198"/>
      <c r="R40" s="199"/>
      <c r="S40" s="199"/>
    </row>
    <row r="41" spans="2:19" x14ac:dyDescent="0.25">
      <c r="B41" s="81" t="s">
        <v>294</v>
      </c>
    </row>
    <row r="42" spans="2:19" x14ac:dyDescent="0.25">
      <c r="B42" s="15"/>
      <c r="C42" s="29"/>
      <c r="D42" s="29"/>
      <c r="E42" s="29"/>
      <c r="F42" s="9" t="s">
        <v>289</v>
      </c>
      <c r="G42" s="10"/>
      <c r="H42" s="10"/>
      <c r="I42" s="12" t="s">
        <v>458</v>
      </c>
      <c r="J42" s="13"/>
      <c r="K42" s="13"/>
      <c r="L42" s="14"/>
      <c r="M42" s="12" t="s">
        <v>762</v>
      </c>
      <c r="N42" s="13"/>
      <c r="O42" s="13"/>
      <c r="P42" s="15" t="s">
        <v>831</v>
      </c>
      <c r="Q42" s="30"/>
    </row>
    <row r="43" spans="2:19" x14ac:dyDescent="0.25">
      <c r="B43" s="22"/>
      <c r="C43" s="82"/>
      <c r="D43" s="82"/>
      <c r="E43" s="69" t="s">
        <v>255</v>
      </c>
      <c r="F43" s="66" t="s">
        <v>256</v>
      </c>
      <c r="G43" s="25" t="s">
        <v>257</v>
      </c>
      <c r="H43" s="25" t="s">
        <v>258</v>
      </c>
      <c r="I43" s="67"/>
      <c r="J43" s="40" t="s">
        <v>37</v>
      </c>
      <c r="K43" s="40"/>
      <c r="L43" s="44"/>
      <c r="M43" s="67" t="s">
        <v>763</v>
      </c>
      <c r="N43" s="40" t="s">
        <v>763</v>
      </c>
      <c r="O43" s="40" t="s">
        <v>830</v>
      </c>
      <c r="P43" s="66" t="s">
        <v>30</v>
      </c>
      <c r="Q43" s="194"/>
    </row>
    <row r="44" spans="2:19" x14ac:dyDescent="0.25">
      <c r="B44" s="67"/>
      <c r="C44" s="83"/>
      <c r="D44" s="83"/>
      <c r="E44" s="70" t="s">
        <v>323</v>
      </c>
      <c r="F44" s="40" t="s">
        <v>137</v>
      </c>
      <c r="G44" s="40" t="s">
        <v>138</v>
      </c>
      <c r="H44" s="40" t="s">
        <v>139</v>
      </c>
      <c r="I44" s="67" t="s">
        <v>12</v>
      </c>
      <c r="J44" s="40" t="s">
        <v>34</v>
      </c>
      <c r="K44" s="40" t="s">
        <v>13</v>
      </c>
      <c r="L44" s="44" t="s">
        <v>33</v>
      </c>
      <c r="M44" s="67" t="s">
        <v>73</v>
      </c>
      <c r="N44" s="40" t="s">
        <v>259</v>
      </c>
      <c r="O44" s="40" t="s">
        <v>764</v>
      </c>
      <c r="P44" s="67" t="s">
        <v>250</v>
      </c>
      <c r="Q44" s="195" t="s">
        <v>293</v>
      </c>
    </row>
    <row r="45" spans="2:19" x14ac:dyDescent="0.25">
      <c r="B45" s="67" t="s">
        <v>292</v>
      </c>
      <c r="C45" s="83" t="s">
        <v>287</v>
      </c>
      <c r="D45" s="138" t="s">
        <v>288</v>
      </c>
      <c r="E45" s="44" t="s">
        <v>765</v>
      </c>
      <c r="F45" s="40" t="s">
        <v>254</v>
      </c>
      <c r="G45" s="40" t="s">
        <v>254</v>
      </c>
      <c r="H45" s="40" t="s">
        <v>254</v>
      </c>
      <c r="I45" s="67" t="s">
        <v>66</v>
      </c>
      <c r="J45" s="40" t="s">
        <v>38</v>
      </c>
      <c r="K45" s="40" t="s">
        <v>35</v>
      </c>
      <c r="L45" s="44" t="s">
        <v>339</v>
      </c>
      <c r="M45" s="68" t="s">
        <v>69</v>
      </c>
      <c r="N45" s="58" t="s">
        <v>38</v>
      </c>
      <c r="O45" s="58" t="s">
        <v>38</v>
      </c>
      <c r="P45" s="68" t="s">
        <v>36</v>
      </c>
      <c r="Q45" s="196" t="s">
        <v>153</v>
      </c>
    </row>
    <row r="46" spans="2:19" x14ac:dyDescent="0.25">
      <c r="B46" s="66">
        <v>1</v>
      </c>
      <c r="C46" s="163" t="s">
        <v>443</v>
      </c>
      <c r="D46" s="226" t="s">
        <v>502</v>
      </c>
      <c r="E46" s="188" t="s">
        <v>321</v>
      </c>
      <c r="F46" s="210">
        <v>14.3</v>
      </c>
      <c r="G46" s="211">
        <v>14.3</v>
      </c>
      <c r="H46" s="211">
        <v>14.3</v>
      </c>
      <c r="I46" s="156">
        <v>2.5</v>
      </c>
      <c r="J46" s="132"/>
      <c r="K46" s="308"/>
      <c r="L46" s="133"/>
      <c r="M46" s="132"/>
      <c r="N46" s="132"/>
      <c r="O46" s="225"/>
      <c r="P46" s="188">
        <v>1</v>
      </c>
      <c r="Q46" s="227">
        <v>8</v>
      </c>
    </row>
    <row r="47" spans="2:19" x14ac:dyDescent="0.25">
      <c r="B47" s="67">
        <v>2</v>
      </c>
      <c r="C47" s="164" t="s">
        <v>444</v>
      </c>
      <c r="D47" s="189" t="s">
        <v>503</v>
      </c>
      <c r="E47" s="155" t="s">
        <v>322</v>
      </c>
      <c r="F47" s="212">
        <v>107.1</v>
      </c>
      <c r="G47" s="213">
        <v>107.1</v>
      </c>
      <c r="H47" s="213">
        <v>107.1</v>
      </c>
      <c r="I47" s="139">
        <v>1.8</v>
      </c>
      <c r="J47" s="134">
        <v>3</v>
      </c>
      <c r="K47" s="140">
        <v>7</v>
      </c>
      <c r="L47" s="135">
        <v>1</v>
      </c>
      <c r="M47" s="134"/>
      <c r="N47" s="134"/>
      <c r="O47" s="187"/>
      <c r="P47" s="155">
        <v>1</v>
      </c>
      <c r="Q47" s="192">
        <v>8</v>
      </c>
    </row>
    <row r="48" spans="2:19" x14ac:dyDescent="0.25">
      <c r="B48" s="67">
        <v>3</v>
      </c>
      <c r="C48" s="164" t="s">
        <v>445</v>
      </c>
      <c r="D48" s="189" t="s">
        <v>504</v>
      </c>
      <c r="E48" s="155" t="s">
        <v>321</v>
      </c>
      <c r="F48" s="212">
        <v>4.3</v>
      </c>
      <c r="G48" s="213">
        <v>4.3</v>
      </c>
      <c r="H48" s="213">
        <v>4.3</v>
      </c>
      <c r="I48" s="197">
        <v>3</v>
      </c>
      <c r="J48" s="187"/>
      <c r="K48" s="187"/>
      <c r="L48" s="135"/>
      <c r="M48" s="134">
        <v>25</v>
      </c>
      <c r="N48" s="157">
        <v>0.2</v>
      </c>
      <c r="O48" s="187"/>
      <c r="P48" s="155">
        <v>4</v>
      </c>
      <c r="Q48" s="192">
        <v>8</v>
      </c>
    </row>
    <row r="49" spans="2:17" x14ac:dyDescent="0.25">
      <c r="B49" s="67">
        <v>4</v>
      </c>
      <c r="C49" s="164" t="s">
        <v>446</v>
      </c>
      <c r="D49" s="189" t="s">
        <v>505</v>
      </c>
      <c r="E49" s="155" t="s">
        <v>321</v>
      </c>
      <c r="F49" s="212">
        <v>9.5</v>
      </c>
      <c r="G49" s="213">
        <v>9.5</v>
      </c>
      <c r="H49" s="213">
        <v>9.5</v>
      </c>
      <c r="I49" s="197">
        <v>2.5</v>
      </c>
      <c r="J49" s="187"/>
      <c r="K49" s="187"/>
      <c r="L49" s="135"/>
      <c r="M49" s="134">
        <v>50</v>
      </c>
      <c r="N49" s="157">
        <v>0.4</v>
      </c>
      <c r="O49" s="187"/>
      <c r="P49" s="155">
        <v>4</v>
      </c>
      <c r="Q49" s="192">
        <v>8</v>
      </c>
    </row>
    <row r="50" spans="2:17" x14ac:dyDescent="0.25">
      <c r="B50" s="67">
        <v>5</v>
      </c>
      <c r="C50" s="164" t="s">
        <v>447</v>
      </c>
      <c r="D50" s="189" t="s">
        <v>506</v>
      </c>
      <c r="E50" s="155" t="s">
        <v>321</v>
      </c>
      <c r="F50" s="212">
        <v>14.3</v>
      </c>
      <c r="G50" s="213">
        <v>14.3</v>
      </c>
      <c r="H50" s="213">
        <v>14.3</v>
      </c>
      <c r="I50" s="197">
        <v>2</v>
      </c>
      <c r="J50" s="187"/>
      <c r="K50" s="187"/>
      <c r="L50" s="135"/>
      <c r="M50" s="134">
        <v>75</v>
      </c>
      <c r="N50" s="157">
        <v>0.4</v>
      </c>
      <c r="O50" s="187"/>
      <c r="P50" s="155">
        <v>4</v>
      </c>
      <c r="Q50" s="192">
        <v>8</v>
      </c>
    </row>
    <row r="51" spans="2:17" x14ac:dyDescent="0.25">
      <c r="B51" s="67">
        <v>6</v>
      </c>
      <c r="C51" s="164" t="s">
        <v>448</v>
      </c>
      <c r="D51" s="189" t="s">
        <v>507</v>
      </c>
      <c r="E51" s="155" t="s">
        <v>322</v>
      </c>
      <c r="F51" s="212">
        <v>22.9</v>
      </c>
      <c r="G51" s="213">
        <v>22.9</v>
      </c>
      <c r="H51" s="213">
        <v>22.9</v>
      </c>
      <c r="I51" s="197">
        <v>1.8</v>
      </c>
      <c r="J51" s="187"/>
      <c r="K51" s="187"/>
      <c r="L51" s="135"/>
      <c r="M51" s="134">
        <v>120</v>
      </c>
      <c r="N51" s="157">
        <v>0.4</v>
      </c>
      <c r="O51" s="187"/>
      <c r="P51" s="155">
        <v>4</v>
      </c>
      <c r="Q51" s="192">
        <v>8</v>
      </c>
    </row>
    <row r="52" spans="2:17" x14ac:dyDescent="0.25">
      <c r="B52" s="67">
        <v>7</v>
      </c>
      <c r="C52" s="164" t="s">
        <v>449</v>
      </c>
      <c r="D52" s="189" t="s">
        <v>508</v>
      </c>
      <c r="E52" s="155" t="s">
        <v>322</v>
      </c>
      <c r="F52" s="212">
        <v>28.6</v>
      </c>
      <c r="G52" s="213">
        <v>28.6</v>
      </c>
      <c r="H52" s="213">
        <v>28.6</v>
      </c>
      <c r="I52" s="139">
        <v>2.6</v>
      </c>
      <c r="J52" s="134">
        <v>3</v>
      </c>
      <c r="K52" s="140">
        <v>7</v>
      </c>
      <c r="L52" s="169">
        <v>3</v>
      </c>
      <c r="M52" s="134"/>
      <c r="N52" s="134"/>
      <c r="O52" s="140">
        <v>2</v>
      </c>
      <c r="P52" s="155">
        <v>4</v>
      </c>
      <c r="Q52" s="192">
        <v>8</v>
      </c>
    </row>
    <row r="53" spans="2:17" x14ac:dyDescent="0.25">
      <c r="B53" s="67">
        <v>8</v>
      </c>
      <c r="C53" s="164" t="s">
        <v>450</v>
      </c>
      <c r="D53" s="189" t="s">
        <v>509</v>
      </c>
      <c r="E53" s="155" t="s">
        <v>322</v>
      </c>
      <c r="F53" s="212">
        <v>35.700000000000003</v>
      </c>
      <c r="G53" s="213">
        <v>35.700000000000003</v>
      </c>
      <c r="H53" s="213">
        <v>35.700000000000003</v>
      </c>
      <c r="I53" s="139">
        <v>2.4</v>
      </c>
      <c r="J53" s="134">
        <v>3</v>
      </c>
      <c r="K53" s="140">
        <v>7</v>
      </c>
      <c r="L53" s="169">
        <v>2</v>
      </c>
      <c r="M53" s="134"/>
      <c r="N53" s="134"/>
      <c r="O53" s="140">
        <v>3</v>
      </c>
      <c r="P53" s="155">
        <v>4</v>
      </c>
      <c r="Q53" s="192">
        <v>8</v>
      </c>
    </row>
    <row r="54" spans="2:17" x14ac:dyDescent="0.25">
      <c r="B54" s="67">
        <v>9</v>
      </c>
      <c r="C54" s="164" t="s">
        <v>452</v>
      </c>
      <c r="D54" s="189" t="s">
        <v>510</v>
      </c>
      <c r="E54" s="155" t="s">
        <v>322</v>
      </c>
      <c r="F54" s="212">
        <v>50</v>
      </c>
      <c r="G54" s="213">
        <v>50</v>
      </c>
      <c r="H54" s="213">
        <v>50</v>
      </c>
      <c r="I54" s="139">
        <v>2.2000000000000002</v>
      </c>
      <c r="J54" s="134">
        <v>3</v>
      </c>
      <c r="K54" s="140">
        <v>7</v>
      </c>
      <c r="L54" s="169">
        <v>2</v>
      </c>
      <c r="M54" s="134"/>
      <c r="N54" s="134"/>
      <c r="O54" s="140">
        <v>4</v>
      </c>
      <c r="P54" s="155">
        <v>4</v>
      </c>
      <c r="Q54" s="192">
        <v>8</v>
      </c>
    </row>
    <row r="55" spans="2:17" x14ac:dyDescent="0.25">
      <c r="B55" s="67">
        <v>10</v>
      </c>
      <c r="C55" s="164" t="s">
        <v>451</v>
      </c>
      <c r="D55" s="189" t="s">
        <v>511</v>
      </c>
      <c r="E55" s="155" t="s">
        <v>322</v>
      </c>
      <c r="F55" s="212">
        <v>71.400000000000006</v>
      </c>
      <c r="G55" s="213">
        <v>71.400000000000006</v>
      </c>
      <c r="H55" s="213">
        <v>71.400000000000006</v>
      </c>
      <c r="I55" s="139">
        <v>2</v>
      </c>
      <c r="J55" s="134">
        <v>3</v>
      </c>
      <c r="K55" s="140">
        <v>7</v>
      </c>
      <c r="L55" s="169">
        <v>2</v>
      </c>
      <c r="M55" s="134"/>
      <c r="N55" s="134"/>
      <c r="O55" s="140">
        <v>5</v>
      </c>
      <c r="P55" s="155">
        <v>4</v>
      </c>
      <c r="Q55" s="192">
        <v>8</v>
      </c>
    </row>
    <row r="56" spans="2:17" x14ac:dyDescent="0.25">
      <c r="B56" s="67">
        <v>11</v>
      </c>
      <c r="C56" s="164" t="s">
        <v>453</v>
      </c>
      <c r="D56" s="189" t="s">
        <v>512</v>
      </c>
      <c r="E56" s="155" t="s">
        <v>322</v>
      </c>
      <c r="F56" s="212">
        <v>107.1</v>
      </c>
      <c r="G56" s="213">
        <v>107.1</v>
      </c>
      <c r="H56" s="213">
        <v>107.1</v>
      </c>
      <c r="I56" s="139">
        <v>1.8</v>
      </c>
      <c r="J56" s="134">
        <v>3</v>
      </c>
      <c r="K56" s="140">
        <v>7</v>
      </c>
      <c r="L56" s="169">
        <v>2</v>
      </c>
      <c r="M56" s="134"/>
      <c r="N56" s="134"/>
      <c r="O56" s="140">
        <v>6</v>
      </c>
      <c r="P56" s="155">
        <v>4</v>
      </c>
      <c r="Q56" s="192">
        <v>8</v>
      </c>
    </row>
    <row r="57" spans="2:17" x14ac:dyDescent="0.25">
      <c r="B57" s="67">
        <v>12</v>
      </c>
      <c r="C57" s="164" t="s">
        <v>457</v>
      </c>
      <c r="D57" s="189" t="s">
        <v>513</v>
      </c>
      <c r="E57" s="155" t="s">
        <v>321</v>
      </c>
      <c r="F57" s="212">
        <v>2.9</v>
      </c>
      <c r="G57" s="213">
        <v>2.9</v>
      </c>
      <c r="H57" s="213">
        <v>2.9</v>
      </c>
      <c r="I57" s="139">
        <v>12</v>
      </c>
      <c r="J57" s="134"/>
      <c r="K57" s="140"/>
      <c r="L57" s="169"/>
      <c r="M57" s="187"/>
      <c r="N57" s="134"/>
      <c r="O57" s="187"/>
      <c r="P57" s="155">
        <v>12</v>
      </c>
      <c r="Q57" s="192">
        <v>4</v>
      </c>
    </row>
    <row r="58" spans="2:17" x14ac:dyDescent="0.25">
      <c r="B58" s="67">
        <v>13</v>
      </c>
      <c r="C58" s="164" t="s">
        <v>454</v>
      </c>
      <c r="D58" s="189" t="s">
        <v>514</v>
      </c>
      <c r="E58" s="155" t="s">
        <v>322</v>
      </c>
      <c r="F58" s="212">
        <v>14.3</v>
      </c>
      <c r="G58" s="213">
        <v>14.3</v>
      </c>
      <c r="H58" s="213">
        <v>14.3</v>
      </c>
      <c r="I58" s="139">
        <v>8</v>
      </c>
      <c r="J58" s="134">
        <v>3</v>
      </c>
      <c r="K58" s="140">
        <v>7</v>
      </c>
      <c r="L58" s="169">
        <v>4</v>
      </c>
      <c r="M58" s="134"/>
      <c r="N58" s="134"/>
      <c r="O58" s="187"/>
      <c r="P58" s="155">
        <v>12</v>
      </c>
      <c r="Q58" s="192">
        <v>4</v>
      </c>
    </row>
    <row r="59" spans="2:17" x14ac:dyDescent="0.25">
      <c r="B59" s="67">
        <v>14</v>
      </c>
      <c r="C59" s="164" t="s">
        <v>455</v>
      </c>
      <c r="D59" s="189" t="s">
        <v>515</v>
      </c>
      <c r="E59" s="155" t="s">
        <v>321</v>
      </c>
      <c r="F59" s="212">
        <v>0.7</v>
      </c>
      <c r="G59" s="213">
        <v>0.7</v>
      </c>
      <c r="H59" s="213">
        <v>0.7</v>
      </c>
      <c r="I59" s="139">
        <v>16</v>
      </c>
      <c r="J59" s="134"/>
      <c r="K59" s="140"/>
      <c r="L59" s="169"/>
      <c r="M59" s="134"/>
      <c r="N59" s="134"/>
      <c r="O59" s="187"/>
      <c r="P59" s="155">
        <v>14</v>
      </c>
      <c r="Q59" s="192">
        <v>4</v>
      </c>
    </row>
    <row r="60" spans="2:17" x14ac:dyDescent="0.25">
      <c r="B60" s="67">
        <v>15</v>
      </c>
      <c r="C60" s="164" t="s">
        <v>456</v>
      </c>
      <c r="D60" s="189" t="s">
        <v>516</v>
      </c>
      <c r="E60" s="155" t="s">
        <v>322</v>
      </c>
      <c r="F60" s="212">
        <v>7.1</v>
      </c>
      <c r="G60" s="213">
        <v>7.1</v>
      </c>
      <c r="H60" s="213">
        <v>7.1</v>
      </c>
      <c r="I60" s="139">
        <v>12</v>
      </c>
      <c r="J60" s="134">
        <v>3</v>
      </c>
      <c r="K60" s="140">
        <v>7</v>
      </c>
      <c r="L60" s="169">
        <v>5</v>
      </c>
      <c r="M60" s="134"/>
      <c r="N60" s="134"/>
      <c r="O60" s="187"/>
      <c r="P60" s="155">
        <v>14</v>
      </c>
      <c r="Q60" s="192">
        <v>4</v>
      </c>
    </row>
    <row r="61" spans="2:17" x14ac:dyDescent="0.25">
      <c r="B61" s="67">
        <v>16</v>
      </c>
      <c r="C61" s="164" t="s">
        <v>482</v>
      </c>
      <c r="D61" s="189" t="s">
        <v>517</v>
      </c>
      <c r="E61" s="155" t="s">
        <v>321</v>
      </c>
      <c r="F61" s="212">
        <v>2.9</v>
      </c>
      <c r="G61" s="213">
        <v>2.9</v>
      </c>
      <c r="H61" s="213">
        <v>2.9</v>
      </c>
      <c r="I61" s="139">
        <v>8</v>
      </c>
      <c r="J61" s="134"/>
      <c r="K61" s="140"/>
      <c r="L61" s="169"/>
      <c r="M61" s="187"/>
      <c r="N61" s="134"/>
      <c r="O61" s="187"/>
      <c r="P61" s="155">
        <v>16</v>
      </c>
      <c r="Q61" s="192">
        <v>8</v>
      </c>
    </row>
    <row r="62" spans="2:17" x14ac:dyDescent="0.25">
      <c r="B62" s="67">
        <v>17</v>
      </c>
      <c r="C62" s="164" t="s">
        <v>483</v>
      </c>
      <c r="D62" s="189" t="s">
        <v>518</v>
      </c>
      <c r="E62" s="155" t="s">
        <v>322</v>
      </c>
      <c r="F62" s="212">
        <v>14.3</v>
      </c>
      <c r="G62" s="213">
        <v>14.3</v>
      </c>
      <c r="H62" s="213">
        <v>14.3</v>
      </c>
      <c r="I62" s="139">
        <v>4</v>
      </c>
      <c r="J62" s="134">
        <v>3</v>
      </c>
      <c r="K62" s="140">
        <v>7</v>
      </c>
      <c r="L62" s="169">
        <v>6</v>
      </c>
      <c r="M62" s="134"/>
      <c r="N62" s="134"/>
      <c r="O62" s="187"/>
      <c r="P62" s="155">
        <v>16</v>
      </c>
      <c r="Q62" s="192">
        <v>8</v>
      </c>
    </row>
    <row r="63" spans="2:17" x14ac:dyDescent="0.25">
      <c r="B63" s="67">
        <v>18</v>
      </c>
      <c r="C63" s="164" t="s">
        <v>484</v>
      </c>
      <c r="D63" s="189" t="s">
        <v>519</v>
      </c>
      <c r="E63" s="155" t="s">
        <v>321</v>
      </c>
      <c r="F63" s="212">
        <v>2.9</v>
      </c>
      <c r="G63" s="213">
        <v>2.9</v>
      </c>
      <c r="H63" s="213">
        <v>2.9</v>
      </c>
      <c r="I63" s="139">
        <v>8</v>
      </c>
      <c r="J63" s="134"/>
      <c r="K63" s="140"/>
      <c r="L63" s="169"/>
      <c r="M63" s="187"/>
      <c r="N63" s="134"/>
      <c r="O63" s="187"/>
      <c r="P63" s="155">
        <v>18</v>
      </c>
      <c r="Q63" s="192">
        <v>8</v>
      </c>
    </row>
    <row r="64" spans="2:17" x14ac:dyDescent="0.25">
      <c r="B64" s="67">
        <v>19</v>
      </c>
      <c r="C64" s="164" t="s">
        <v>485</v>
      </c>
      <c r="D64" s="189" t="s">
        <v>520</v>
      </c>
      <c r="E64" s="155" t="s">
        <v>322</v>
      </c>
      <c r="F64" s="212">
        <v>14.3</v>
      </c>
      <c r="G64" s="213">
        <v>14.3</v>
      </c>
      <c r="H64" s="213">
        <v>14.3</v>
      </c>
      <c r="I64" s="139">
        <v>4</v>
      </c>
      <c r="J64" s="134">
        <v>3</v>
      </c>
      <c r="K64" s="140">
        <v>7</v>
      </c>
      <c r="L64" s="169">
        <v>7</v>
      </c>
      <c r="M64" s="134"/>
      <c r="N64" s="134"/>
      <c r="O64" s="187"/>
      <c r="P64" s="155">
        <v>18</v>
      </c>
      <c r="Q64" s="192">
        <v>8</v>
      </c>
    </row>
    <row r="65" spans="2:17" x14ac:dyDescent="0.25">
      <c r="B65" s="67">
        <v>20</v>
      </c>
      <c r="C65" s="164" t="s">
        <v>521</v>
      </c>
      <c r="D65" s="189" t="s">
        <v>528</v>
      </c>
      <c r="E65" s="155" t="s">
        <v>527</v>
      </c>
      <c r="F65" s="212">
        <f>+F64*1.5</f>
        <v>21.450000000000003</v>
      </c>
      <c r="G65" s="213">
        <f t="shared" ref="G65:H65" si="0">+G64*1.5</f>
        <v>21.450000000000003</v>
      </c>
      <c r="H65" s="213">
        <f t="shared" si="0"/>
        <v>21.450000000000003</v>
      </c>
      <c r="I65" s="139">
        <v>4</v>
      </c>
      <c r="J65" s="134">
        <v>3</v>
      </c>
      <c r="K65" s="140">
        <v>7</v>
      </c>
      <c r="L65" s="169">
        <v>7</v>
      </c>
      <c r="M65" s="187"/>
      <c r="N65" s="134"/>
      <c r="O65" s="187"/>
      <c r="P65" s="155">
        <v>18</v>
      </c>
      <c r="Q65" s="192">
        <v>8</v>
      </c>
    </row>
    <row r="66" spans="2:17" x14ac:dyDescent="0.25">
      <c r="B66" s="67">
        <v>21</v>
      </c>
      <c r="C66" s="164" t="s">
        <v>522</v>
      </c>
      <c r="D66" s="189" t="s">
        <v>529</v>
      </c>
      <c r="E66" s="155" t="s">
        <v>527</v>
      </c>
      <c r="F66" s="212">
        <f>+F62*1.5</f>
        <v>21.450000000000003</v>
      </c>
      <c r="G66" s="213">
        <f t="shared" ref="G66:H66" si="1">+G62*1.5</f>
        <v>21.450000000000003</v>
      </c>
      <c r="H66" s="213">
        <f t="shared" si="1"/>
        <v>21.450000000000003</v>
      </c>
      <c r="I66" s="139">
        <v>4</v>
      </c>
      <c r="J66" s="134">
        <v>3</v>
      </c>
      <c r="K66" s="140">
        <v>7</v>
      </c>
      <c r="L66" s="169">
        <v>6</v>
      </c>
      <c r="M66" s="187"/>
      <c r="N66" s="134"/>
      <c r="O66" s="187"/>
      <c r="P66" s="155">
        <v>16</v>
      </c>
      <c r="Q66" s="192">
        <v>8</v>
      </c>
    </row>
    <row r="67" spans="2:17" x14ac:dyDescent="0.25">
      <c r="B67" s="67">
        <v>22</v>
      </c>
      <c r="C67" s="164" t="s">
        <v>525</v>
      </c>
      <c r="D67" s="189" t="s">
        <v>530</v>
      </c>
      <c r="E67" s="155" t="s">
        <v>527</v>
      </c>
      <c r="F67" s="212">
        <f>+F58*1.5</f>
        <v>21.450000000000003</v>
      </c>
      <c r="G67" s="213">
        <f t="shared" ref="G67:H67" si="2">+G58*1.5</f>
        <v>21.450000000000003</v>
      </c>
      <c r="H67" s="213">
        <f t="shared" si="2"/>
        <v>21.450000000000003</v>
      </c>
      <c r="I67" s="139">
        <v>8</v>
      </c>
      <c r="J67" s="134">
        <v>3</v>
      </c>
      <c r="K67" s="140">
        <v>7</v>
      </c>
      <c r="L67" s="169">
        <v>4</v>
      </c>
      <c r="M67" s="187"/>
      <c r="N67" s="134"/>
      <c r="O67" s="187"/>
      <c r="P67" s="155">
        <v>12</v>
      </c>
      <c r="Q67" s="192">
        <v>4</v>
      </c>
    </row>
    <row r="68" spans="2:17" x14ac:dyDescent="0.25">
      <c r="B68" s="67">
        <v>23</v>
      </c>
      <c r="C68" s="164" t="s">
        <v>526</v>
      </c>
      <c r="D68" s="189" t="s">
        <v>531</v>
      </c>
      <c r="E68" s="155" t="s">
        <v>527</v>
      </c>
      <c r="F68" s="212">
        <f>+F51*1.5</f>
        <v>34.349999999999994</v>
      </c>
      <c r="G68" s="213">
        <f t="shared" ref="G68:H68" si="3">+G51*1.5</f>
        <v>34.349999999999994</v>
      </c>
      <c r="H68" s="213">
        <f t="shared" si="3"/>
        <v>34.349999999999994</v>
      </c>
      <c r="I68" s="139">
        <v>2.6</v>
      </c>
      <c r="J68" s="134">
        <v>3</v>
      </c>
      <c r="K68" s="140">
        <v>7</v>
      </c>
      <c r="L68" s="169">
        <v>3</v>
      </c>
      <c r="M68" s="187"/>
      <c r="N68" s="134"/>
      <c r="O68" s="140">
        <v>2</v>
      </c>
      <c r="P68" s="155">
        <v>4</v>
      </c>
      <c r="Q68" s="192">
        <v>8</v>
      </c>
    </row>
    <row r="69" spans="2:17" x14ac:dyDescent="0.25">
      <c r="B69" s="67">
        <v>24</v>
      </c>
      <c r="C69" s="164" t="s">
        <v>523</v>
      </c>
      <c r="D69" s="189" t="s">
        <v>532</v>
      </c>
      <c r="E69" s="155" t="s">
        <v>527</v>
      </c>
      <c r="F69" s="212">
        <f>+F54*1.5</f>
        <v>75</v>
      </c>
      <c r="G69" s="213">
        <f t="shared" ref="G69:H69" si="4">+G54*1.5</f>
        <v>75</v>
      </c>
      <c r="H69" s="213">
        <f t="shared" si="4"/>
        <v>75</v>
      </c>
      <c r="I69" s="139">
        <v>2.2000000000000002</v>
      </c>
      <c r="J69" s="134">
        <v>3</v>
      </c>
      <c r="K69" s="140">
        <v>7</v>
      </c>
      <c r="L69" s="169">
        <v>2</v>
      </c>
      <c r="M69" s="187"/>
      <c r="N69" s="134"/>
      <c r="O69" s="140">
        <v>4</v>
      </c>
      <c r="P69" s="155">
        <v>4</v>
      </c>
      <c r="Q69" s="192">
        <v>8</v>
      </c>
    </row>
    <row r="70" spans="2:17" x14ac:dyDescent="0.25">
      <c r="B70" s="68">
        <v>25</v>
      </c>
      <c r="C70" s="165" t="s">
        <v>524</v>
      </c>
      <c r="D70" s="191" t="s">
        <v>528</v>
      </c>
      <c r="E70" s="159" t="s">
        <v>527</v>
      </c>
      <c r="F70" s="214">
        <f>+F47*1.5</f>
        <v>160.64999999999998</v>
      </c>
      <c r="G70" s="215">
        <f t="shared" ref="G70:H70" si="5">+G47*1.5</f>
        <v>160.64999999999998</v>
      </c>
      <c r="H70" s="215">
        <f t="shared" si="5"/>
        <v>160.64999999999998</v>
      </c>
      <c r="I70" s="141">
        <v>1.8</v>
      </c>
      <c r="J70" s="136">
        <v>3</v>
      </c>
      <c r="K70" s="142">
        <v>7</v>
      </c>
      <c r="L70" s="170">
        <v>1</v>
      </c>
      <c r="M70" s="136"/>
      <c r="N70" s="136"/>
      <c r="O70" s="190"/>
      <c r="P70" s="159">
        <v>1</v>
      </c>
      <c r="Q70" s="193">
        <v>8</v>
      </c>
    </row>
    <row r="72" spans="2:17" x14ac:dyDescent="0.25">
      <c r="B72" s="87" t="s">
        <v>309</v>
      </c>
      <c r="C72" s="75"/>
      <c r="D72" s="87"/>
      <c r="E72" s="37"/>
      <c r="F72" s="37"/>
      <c r="G72" s="87"/>
      <c r="H72" s="37"/>
      <c r="I72" s="37"/>
    </row>
    <row r="73" spans="2:17" x14ac:dyDescent="0.25">
      <c r="B73" s="76" t="s">
        <v>33</v>
      </c>
      <c r="C73" s="167" t="s">
        <v>311</v>
      </c>
      <c r="D73" s="167"/>
      <c r="E73" s="167"/>
      <c r="F73" s="167"/>
      <c r="G73" s="167"/>
      <c r="H73" s="167"/>
      <c r="I73" s="168"/>
    </row>
    <row r="74" spans="2:17" x14ac:dyDescent="0.25">
      <c r="B74" s="79" t="s">
        <v>0</v>
      </c>
      <c r="C74" s="80" t="s">
        <v>334</v>
      </c>
      <c r="D74" s="79" t="s">
        <v>332</v>
      </c>
      <c r="E74" s="79" t="s">
        <v>335</v>
      </c>
      <c r="F74" s="79" t="s">
        <v>333</v>
      </c>
      <c r="G74" s="79" t="s">
        <v>336</v>
      </c>
      <c r="H74" s="79" t="s">
        <v>337</v>
      </c>
      <c r="I74" s="79" t="s">
        <v>338</v>
      </c>
    </row>
    <row r="75" spans="2:17" x14ac:dyDescent="0.25">
      <c r="B75" s="78" t="s">
        <v>29</v>
      </c>
      <c r="C75" s="218">
        <v>2000</v>
      </c>
      <c r="D75" s="218">
        <v>4000</v>
      </c>
      <c r="E75" s="218">
        <v>4000</v>
      </c>
      <c r="F75" s="218">
        <v>4000</v>
      </c>
      <c r="G75" s="218">
        <v>6000</v>
      </c>
      <c r="H75" s="218">
        <v>6000</v>
      </c>
      <c r="I75" s="218">
        <v>6000</v>
      </c>
    </row>
    <row r="76" spans="2:17" x14ac:dyDescent="0.25">
      <c r="B76" s="78" t="s">
        <v>2</v>
      </c>
      <c r="C76" s="219">
        <v>2000</v>
      </c>
      <c r="D76" s="219">
        <v>4000</v>
      </c>
      <c r="E76" s="219">
        <v>4000</v>
      </c>
      <c r="F76" s="219">
        <v>4000</v>
      </c>
      <c r="G76" s="219">
        <v>6000</v>
      </c>
      <c r="H76" s="219">
        <v>6000</v>
      </c>
      <c r="I76" s="219">
        <v>6000</v>
      </c>
    </row>
    <row r="77" spans="2:17" x14ac:dyDescent="0.25">
      <c r="B77" s="78" t="s">
        <v>3</v>
      </c>
      <c r="C77" s="219">
        <v>2000</v>
      </c>
      <c r="D77" s="219">
        <v>4000</v>
      </c>
      <c r="E77" s="219">
        <v>4000</v>
      </c>
      <c r="F77" s="219">
        <v>4000</v>
      </c>
      <c r="G77" s="219">
        <v>6000</v>
      </c>
      <c r="H77" s="219">
        <v>6000</v>
      </c>
      <c r="I77" s="219">
        <v>6000</v>
      </c>
    </row>
    <row r="78" spans="2:17" x14ac:dyDescent="0.25">
      <c r="B78" s="78" t="s">
        <v>4</v>
      </c>
      <c r="C78" s="219">
        <v>1000</v>
      </c>
      <c r="D78" s="219">
        <v>2000</v>
      </c>
      <c r="E78" s="219">
        <v>2000</v>
      </c>
      <c r="F78" s="219">
        <v>2000</v>
      </c>
      <c r="G78" s="219">
        <v>3000</v>
      </c>
      <c r="H78" s="219">
        <v>3000</v>
      </c>
      <c r="I78" s="219">
        <v>3000</v>
      </c>
    </row>
    <row r="79" spans="2:17" x14ac:dyDescent="0.25">
      <c r="B79" s="78" t="s">
        <v>5</v>
      </c>
      <c r="C79" s="219">
        <v>500</v>
      </c>
      <c r="D79" s="219">
        <v>1000</v>
      </c>
      <c r="E79" s="219">
        <v>1000</v>
      </c>
      <c r="F79" s="219">
        <v>1000</v>
      </c>
      <c r="G79" s="219">
        <v>1500</v>
      </c>
      <c r="H79" s="219">
        <v>1500</v>
      </c>
      <c r="I79" s="219">
        <v>1500</v>
      </c>
    </row>
    <row r="80" spans="2:17" x14ac:dyDescent="0.25">
      <c r="B80" s="78" t="s">
        <v>461</v>
      </c>
      <c r="C80" s="219">
        <v>500</v>
      </c>
      <c r="D80" s="219">
        <v>1000</v>
      </c>
      <c r="E80" s="219">
        <v>1000</v>
      </c>
      <c r="F80" s="219">
        <v>1000</v>
      </c>
      <c r="G80" s="219">
        <v>1500</v>
      </c>
      <c r="H80" s="219">
        <v>1500</v>
      </c>
      <c r="I80" s="219">
        <v>1500</v>
      </c>
    </row>
    <row r="81" spans="2:9" x14ac:dyDescent="0.25">
      <c r="B81" s="79" t="s">
        <v>462</v>
      </c>
      <c r="C81" s="220">
        <v>500</v>
      </c>
      <c r="D81" s="220">
        <v>1000</v>
      </c>
      <c r="E81" s="220">
        <v>1000</v>
      </c>
      <c r="F81" s="220">
        <v>1000</v>
      </c>
      <c r="G81" s="220">
        <v>1500</v>
      </c>
      <c r="H81" s="220">
        <v>1500</v>
      </c>
      <c r="I81" s="220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09" t="s">
        <v>475</v>
      </c>
      <c r="C84" s="2"/>
    </row>
    <row r="86" spans="2:9" x14ac:dyDescent="0.25">
      <c r="B86" s="81" t="s">
        <v>282</v>
      </c>
    </row>
    <row r="87" spans="2:9" x14ac:dyDescent="0.25">
      <c r="B87" s="66" t="s">
        <v>36</v>
      </c>
      <c r="C87" s="69" t="s">
        <v>832</v>
      </c>
      <c r="D87" s="69" t="s">
        <v>832</v>
      </c>
    </row>
    <row r="88" spans="2:9" x14ac:dyDescent="0.25">
      <c r="B88" s="67" t="s">
        <v>310</v>
      </c>
      <c r="C88" s="70" t="s">
        <v>59</v>
      </c>
      <c r="D88" s="70" t="s">
        <v>36</v>
      </c>
    </row>
    <row r="89" spans="2:9" x14ac:dyDescent="0.25">
      <c r="B89" s="67" t="s">
        <v>34</v>
      </c>
      <c r="C89" s="70" t="s">
        <v>13</v>
      </c>
      <c r="D89" s="70" t="s">
        <v>310</v>
      </c>
    </row>
    <row r="90" spans="2:9" x14ac:dyDescent="0.25">
      <c r="B90" s="68" t="s">
        <v>38</v>
      </c>
      <c r="C90" s="71" t="s">
        <v>35</v>
      </c>
      <c r="D90" s="71" t="s">
        <v>38</v>
      </c>
    </row>
    <row r="91" spans="2:9" x14ac:dyDescent="0.25">
      <c r="B91" s="67" t="s">
        <v>334</v>
      </c>
      <c r="C91" s="72">
        <v>3.5</v>
      </c>
      <c r="D91" s="313">
        <v>1</v>
      </c>
      <c r="E91" s="2"/>
    </row>
    <row r="92" spans="2:9" x14ac:dyDescent="0.25">
      <c r="B92" s="67" t="s">
        <v>332</v>
      </c>
      <c r="C92" s="73">
        <v>5</v>
      </c>
      <c r="D92" s="314">
        <v>2</v>
      </c>
      <c r="E92" s="2"/>
    </row>
    <row r="93" spans="2:9" x14ac:dyDescent="0.25">
      <c r="B93" s="67" t="s">
        <v>335</v>
      </c>
      <c r="C93" s="73">
        <v>7</v>
      </c>
      <c r="D93" s="314">
        <v>2</v>
      </c>
      <c r="E93" s="2"/>
    </row>
    <row r="94" spans="2:9" x14ac:dyDescent="0.25">
      <c r="B94" s="67" t="s">
        <v>333</v>
      </c>
      <c r="C94" s="73">
        <v>9</v>
      </c>
      <c r="D94" s="314">
        <v>2</v>
      </c>
      <c r="E94" s="2"/>
    </row>
    <row r="95" spans="2:9" x14ac:dyDescent="0.25">
      <c r="B95" s="67" t="s">
        <v>336</v>
      </c>
      <c r="C95" s="73">
        <f>3.5*4</f>
        <v>14</v>
      </c>
      <c r="D95" s="314">
        <v>4</v>
      </c>
      <c r="E95" s="2"/>
    </row>
    <row r="96" spans="2:9" x14ac:dyDescent="0.25">
      <c r="B96" s="67" t="s">
        <v>337</v>
      </c>
      <c r="C96" s="73">
        <f>3.5*6</f>
        <v>21</v>
      </c>
      <c r="D96" s="314">
        <v>6</v>
      </c>
      <c r="E96" s="2"/>
    </row>
    <row r="97" spans="2:8" x14ac:dyDescent="0.25">
      <c r="B97" s="68" t="s">
        <v>338</v>
      </c>
      <c r="C97" s="74">
        <f>3.5*8</f>
        <v>28</v>
      </c>
      <c r="D97" s="315">
        <v>8</v>
      </c>
      <c r="E97" s="2"/>
    </row>
    <row r="99" spans="2:8" x14ac:dyDescent="0.25">
      <c r="B99" s="81" t="s">
        <v>297</v>
      </c>
    </row>
    <row r="100" spans="2:8" x14ac:dyDescent="0.25">
      <c r="B100" s="22"/>
      <c r="C100" s="23"/>
      <c r="D100" s="12" t="s">
        <v>140</v>
      </c>
      <c r="E100" s="13"/>
      <c r="F100" s="13"/>
      <c r="G100" s="13"/>
      <c r="H100" s="14"/>
    </row>
    <row r="101" spans="2:8" x14ac:dyDescent="0.25">
      <c r="B101" s="35"/>
      <c r="C101" s="36"/>
      <c r="D101" s="67">
        <v>1</v>
      </c>
      <c r="E101" s="40">
        <v>2</v>
      </c>
      <c r="F101" s="40">
        <v>3</v>
      </c>
      <c r="G101" s="40">
        <v>4</v>
      </c>
      <c r="H101" s="44">
        <v>5</v>
      </c>
    </row>
    <row r="102" spans="2:8" x14ac:dyDescent="0.25">
      <c r="B102" s="59" t="s">
        <v>151</v>
      </c>
      <c r="C102" s="60"/>
      <c r="D102" s="68" t="s">
        <v>146</v>
      </c>
      <c r="E102" s="58" t="s">
        <v>147</v>
      </c>
      <c r="F102" s="58" t="s">
        <v>148</v>
      </c>
      <c r="G102" s="58" t="s">
        <v>149</v>
      </c>
      <c r="H102" s="64" t="s">
        <v>150</v>
      </c>
    </row>
    <row r="103" spans="2:8" x14ac:dyDescent="0.25">
      <c r="B103" s="69">
        <v>1</v>
      </c>
      <c r="C103" s="36" t="s">
        <v>141</v>
      </c>
      <c r="D103" s="121">
        <v>5.0000000000000001E-3</v>
      </c>
      <c r="E103" s="121">
        <v>0.01</v>
      </c>
      <c r="F103" s="121">
        <v>0.02</v>
      </c>
      <c r="G103" s="121">
        <v>2.5000000000000001E-2</v>
      </c>
      <c r="H103" s="85">
        <v>0.03</v>
      </c>
    </row>
    <row r="104" spans="2:8" x14ac:dyDescent="0.25">
      <c r="B104" s="70">
        <v>2</v>
      </c>
      <c r="C104" s="36" t="s">
        <v>142</v>
      </c>
      <c r="D104" s="121">
        <v>0.1</v>
      </c>
      <c r="E104" s="121">
        <v>1.4999999999999999E-2</v>
      </c>
      <c r="F104" s="121">
        <v>2.5000000000000001E-2</v>
      </c>
      <c r="G104" s="121">
        <v>0.03</v>
      </c>
      <c r="H104" s="85">
        <v>0.04</v>
      </c>
    </row>
    <row r="105" spans="2:8" x14ac:dyDescent="0.25">
      <c r="B105" s="70">
        <v>3</v>
      </c>
      <c r="C105" s="36" t="s">
        <v>143</v>
      </c>
      <c r="D105" s="121">
        <v>1.4999999999999999E-2</v>
      </c>
      <c r="E105" s="121">
        <v>2.5000000000000001E-2</v>
      </c>
      <c r="F105" s="121">
        <v>0.04</v>
      </c>
      <c r="G105" s="121">
        <v>0.06</v>
      </c>
      <c r="H105" s="85">
        <v>7.0000000000000007E-2</v>
      </c>
    </row>
    <row r="106" spans="2:8" x14ac:dyDescent="0.25">
      <c r="B106" s="70">
        <v>4</v>
      </c>
      <c r="C106" s="36" t="s">
        <v>144</v>
      </c>
      <c r="D106" s="121">
        <v>2.5000000000000001E-2</v>
      </c>
      <c r="E106" s="121">
        <v>3.5000000000000003E-2</v>
      </c>
      <c r="F106" s="121">
        <v>0.06</v>
      </c>
      <c r="G106" s="121">
        <v>0.1</v>
      </c>
      <c r="H106" s="85">
        <v>0.12</v>
      </c>
    </row>
    <row r="107" spans="2:8" x14ac:dyDescent="0.25">
      <c r="B107" s="71">
        <v>5</v>
      </c>
      <c r="C107" s="60" t="s">
        <v>145</v>
      </c>
      <c r="D107" s="122">
        <v>0.04</v>
      </c>
      <c r="E107" s="122">
        <v>0.06</v>
      </c>
      <c r="F107" s="122">
        <v>0.1</v>
      </c>
      <c r="G107" s="122">
        <v>0.2</v>
      </c>
      <c r="H107" s="86">
        <v>0.22</v>
      </c>
    </row>
    <row r="109" spans="2:8" x14ac:dyDescent="0.25">
      <c r="B109" s="81" t="s">
        <v>459</v>
      </c>
    </row>
    <row r="110" spans="2:8" x14ac:dyDescent="0.25">
      <c r="B110" s="200" t="s">
        <v>30</v>
      </c>
      <c r="C110" s="202" t="s">
        <v>467</v>
      </c>
    </row>
    <row r="111" spans="2:8" x14ac:dyDescent="0.25">
      <c r="B111" s="51" t="s">
        <v>0</v>
      </c>
      <c r="C111" s="203" t="s">
        <v>0</v>
      </c>
    </row>
    <row r="112" spans="2:8" x14ac:dyDescent="0.25">
      <c r="B112" s="201" t="s">
        <v>349</v>
      </c>
      <c r="C112" s="204" t="s">
        <v>339</v>
      </c>
    </row>
    <row r="113" spans="2:9" x14ac:dyDescent="0.25">
      <c r="B113" s="200" t="s">
        <v>347</v>
      </c>
      <c r="C113" s="160">
        <v>2</v>
      </c>
    </row>
    <row r="114" spans="2:9" x14ac:dyDescent="0.25">
      <c r="B114" s="201" t="s">
        <v>348</v>
      </c>
      <c r="C114" s="158">
        <v>4</v>
      </c>
    </row>
    <row r="115" spans="2:9" x14ac:dyDescent="0.25">
      <c r="C115" s="2"/>
    </row>
    <row r="116" spans="2:9" x14ac:dyDescent="0.25">
      <c r="B116" s="87" t="s">
        <v>636</v>
      </c>
      <c r="C116" s="75"/>
      <c r="D116" s="87"/>
      <c r="E116" s="37"/>
      <c r="G116" s="87"/>
      <c r="H116" s="37"/>
      <c r="I116" s="37"/>
    </row>
    <row r="117" spans="2:9" x14ac:dyDescent="0.25">
      <c r="B117" s="88" t="s">
        <v>33</v>
      </c>
      <c r="C117" s="89" t="s">
        <v>6</v>
      </c>
      <c r="D117" s="77" t="s">
        <v>12</v>
      </c>
      <c r="E117" s="76" t="s">
        <v>158</v>
      </c>
      <c r="H117" s="37"/>
      <c r="I117" s="37"/>
    </row>
    <row r="118" spans="2:9" x14ac:dyDescent="0.25">
      <c r="B118" s="90" t="s">
        <v>0</v>
      </c>
      <c r="C118" s="91" t="s">
        <v>152</v>
      </c>
      <c r="D118" s="80" t="s">
        <v>66</v>
      </c>
      <c r="E118" s="79" t="s">
        <v>153</v>
      </c>
    </row>
    <row r="119" spans="2:9" x14ac:dyDescent="0.25">
      <c r="B119" s="88" t="s">
        <v>487</v>
      </c>
      <c r="C119" s="92" t="s">
        <v>7</v>
      </c>
      <c r="D119" s="93">
        <v>2</v>
      </c>
      <c r="E119" s="94">
        <v>1</v>
      </c>
    </row>
    <row r="120" spans="2:9" x14ac:dyDescent="0.25">
      <c r="B120" s="95" t="s">
        <v>154</v>
      </c>
      <c r="C120" s="96" t="s">
        <v>8</v>
      </c>
      <c r="D120" s="93">
        <v>3</v>
      </c>
      <c r="E120" s="97">
        <v>5</v>
      </c>
    </row>
    <row r="121" spans="2:9" x14ac:dyDescent="0.25">
      <c r="B121" s="95"/>
      <c r="C121" s="96" t="s">
        <v>9</v>
      </c>
      <c r="D121" s="93">
        <v>4.5</v>
      </c>
      <c r="E121" s="97">
        <v>10</v>
      </c>
    </row>
    <row r="122" spans="2:9" x14ac:dyDescent="0.25">
      <c r="B122" s="95"/>
      <c r="C122" s="96" t="s">
        <v>10</v>
      </c>
      <c r="D122" s="93">
        <v>8</v>
      </c>
      <c r="E122" s="97">
        <v>15</v>
      </c>
    </row>
    <row r="123" spans="2:9" x14ac:dyDescent="0.25">
      <c r="B123" s="90"/>
      <c r="C123" s="98" t="s">
        <v>11</v>
      </c>
      <c r="D123" s="93">
        <v>12</v>
      </c>
      <c r="E123" s="99">
        <v>20</v>
      </c>
    </row>
    <row r="124" spans="2:9" x14ac:dyDescent="0.25">
      <c r="B124" s="95" t="s">
        <v>488</v>
      </c>
      <c r="C124" s="92" t="s">
        <v>7</v>
      </c>
      <c r="D124" s="100">
        <v>2</v>
      </c>
      <c r="E124" s="97">
        <v>1</v>
      </c>
      <c r="G124" s="343"/>
    </row>
    <row r="125" spans="2:9" x14ac:dyDescent="0.25">
      <c r="B125" s="95" t="s">
        <v>155</v>
      </c>
      <c r="C125" s="96" t="s">
        <v>8</v>
      </c>
      <c r="D125" s="101">
        <v>3</v>
      </c>
      <c r="E125" s="97">
        <v>5</v>
      </c>
      <c r="G125" s="343"/>
    </row>
    <row r="126" spans="2:9" x14ac:dyDescent="0.25">
      <c r="B126" s="95"/>
      <c r="C126" s="96" t="s">
        <v>9</v>
      </c>
      <c r="D126" s="101">
        <v>4.5</v>
      </c>
      <c r="E126" s="97">
        <v>10</v>
      </c>
    </row>
    <row r="127" spans="2:9" x14ac:dyDescent="0.25">
      <c r="B127" s="95"/>
      <c r="C127" s="96" t="s">
        <v>10</v>
      </c>
      <c r="D127" s="101">
        <v>8</v>
      </c>
      <c r="E127" s="97">
        <v>15</v>
      </c>
    </row>
    <row r="128" spans="2:9" x14ac:dyDescent="0.25">
      <c r="B128" s="95"/>
      <c r="C128" s="98" t="s">
        <v>11</v>
      </c>
      <c r="D128" s="102">
        <v>12</v>
      </c>
      <c r="E128" s="97">
        <v>20</v>
      </c>
    </row>
    <row r="129" spans="2:7" x14ac:dyDescent="0.25">
      <c r="B129" s="88" t="s">
        <v>489</v>
      </c>
      <c r="C129" s="92" t="s">
        <v>7</v>
      </c>
      <c r="D129" s="103">
        <v>3</v>
      </c>
      <c r="E129" s="94">
        <v>1</v>
      </c>
      <c r="G129" s="343"/>
    </row>
    <row r="130" spans="2:7" x14ac:dyDescent="0.25">
      <c r="B130" s="95" t="s">
        <v>156</v>
      </c>
      <c r="C130" s="96" t="s">
        <v>8</v>
      </c>
      <c r="D130" s="104">
        <v>4</v>
      </c>
      <c r="E130" s="97">
        <v>5</v>
      </c>
      <c r="G130" s="343"/>
    </row>
    <row r="131" spans="2:7" x14ac:dyDescent="0.25">
      <c r="B131" s="95"/>
      <c r="C131" s="96" t="s">
        <v>9</v>
      </c>
      <c r="D131" s="104">
        <v>5.5</v>
      </c>
      <c r="E131" s="97">
        <v>10</v>
      </c>
      <c r="G131" s="343"/>
    </row>
    <row r="132" spans="2:7" x14ac:dyDescent="0.25">
      <c r="B132" s="95"/>
      <c r="C132" s="96" t="s">
        <v>10</v>
      </c>
      <c r="D132" s="104">
        <v>9</v>
      </c>
      <c r="E132" s="97">
        <v>15</v>
      </c>
    </row>
    <row r="133" spans="2:7" x14ac:dyDescent="0.25">
      <c r="B133" s="90"/>
      <c r="C133" s="98" t="s">
        <v>11</v>
      </c>
      <c r="D133" s="105">
        <v>13</v>
      </c>
      <c r="E133" s="99">
        <v>20</v>
      </c>
    </row>
    <row r="134" spans="2:7" x14ac:dyDescent="0.25">
      <c r="B134" s="95" t="s">
        <v>490</v>
      </c>
      <c r="C134" s="92" t="s">
        <v>7</v>
      </c>
      <c r="D134" s="93">
        <v>5</v>
      </c>
      <c r="E134" s="97">
        <v>1</v>
      </c>
    </row>
    <row r="135" spans="2:7" x14ac:dyDescent="0.25">
      <c r="B135" s="95"/>
      <c r="C135" s="96" t="s">
        <v>8</v>
      </c>
      <c r="D135" s="93">
        <v>7</v>
      </c>
      <c r="E135" s="97">
        <v>4</v>
      </c>
      <c r="G135" s="343"/>
    </row>
    <row r="136" spans="2:7" x14ac:dyDescent="0.25">
      <c r="B136" s="95"/>
      <c r="C136" s="96" t="s">
        <v>9</v>
      </c>
      <c r="D136" s="93">
        <v>11</v>
      </c>
      <c r="E136" s="97">
        <v>6</v>
      </c>
      <c r="G136" s="343"/>
    </row>
    <row r="137" spans="2:7" x14ac:dyDescent="0.25">
      <c r="B137" s="95"/>
      <c r="C137" s="96" t="s">
        <v>10</v>
      </c>
      <c r="D137" s="93">
        <v>16</v>
      </c>
      <c r="E137" s="97">
        <v>8</v>
      </c>
    </row>
    <row r="138" spans="2:7" x14ac:dyDescent="0.25">
      <c r="B138" s="90"/>
      <c r="C138" s="98" t="s">
        <v>11</v>
      </c>
      <c r="D138" s="106">
        <v>20</v>
      </c>
      <c r="E138" s="99">
        <v>10</v>
      </c>
    </row>
    <row r="139" spans="2:7" x14ac:dyDescent="0.25">
      <c r="B139" s="95" t="s">
        <v>491</v>
      </c>
      <c r="C139" s="92" t="s">
        <v>7</v>
      </c>
      <c r="D139" s="93">
        <v>7</v>
      </c>
      <c r="E139" s="97">
        <v>1</v>
      </c>
      <c r="G139" s="343"/>
    </row>
    <row r="140" spans="2:7" x14ac:dyDescent="0.25">
      <c r="B140" s="95"/>
      <c r="C140" s="96" t="s">
        <v>8</v>
      </c>
      <c r="D140" s="93">
        <v>9</v>
      </c>
      <c r="E140" s="97">
        <v>4</v>
      </c>
      <c r="G140" s="343"/>
    </row>
    <row r="141" spans="2:7" x14ac:dyDescent="0.25">
      <c r="B141" s="95"/>
      <c r="C141" s="96" t="s">
        <v>9</v>
      </c>
      <c r="D141" s="93">
        <v>13</v>
      </c>
      <c r="E141" s="97">
        <v>6</v>
      </c>
      <c r="G141" s="343"/>
    </row>
    <row r="142" spans="2:7" x14ac:dyDescent="0.25">
      <c r="B142" s="95"/>
      <c r="C142" s="96" t="s">
        <v>10</v>
      </c>
      <c r="D142" s="93">
        <v>18</v>
      </c>
      <c r="E142" s="97">
        <v>8</v>
      </c>
    </row>
    <row r="143" spans="2:7" x14ac:dyDescent="0.25">
      <c r="B143" s="90"/>
      <c r="C143" s="98" t="s">
        <v>11</v>
      </c>
      <c r="D143" s="106">
        <v>22</v>
      </c>
      <c r="E143" s="99">
        <v>10</v>
      </c>
    </row>
    <row r="144" spans="2:7" x14ac:dyDescent="0.25">
      <c r="B144" s="95" t="s">
        <v>461</v>
      </c>
      <c r="C144" s="92" t="s">
        <v>7</v>
      </c>
      <c r="D144" s="103">
        <v>3</v>
      </c>
      <c r="E144" s="94">
        <v>1</v>
      </c>
    </row>
    <row r="145" spans="2:20" x14ac:dyDescent="0.25">
      <c r="B145" s="95"/>
      <c r="C145" s="96" t="s">
        <v>8</v>
      </c>
      <c r="D145" s="104">
        <v>4</v>
      </c>
      <c r="E145" s="97">
        <v>5</v>
      </c>
    </row>
    <row r="146" spans="2:20" x14ac:dyDescent="0.25">
      <c r="B146" s="95"/>
      <c r="C146" s="96" t="s">
        <v>9</v>
      </c>
      <c r="D146" s="104">
        <v>5.5</v>
      </c>
      <c r="E146" s="97">
        <v>10</v>
      </c>
    </row>
    <row r="147" spans="2:20" x14ac:dyDescent="0.25">
      <c r="B147" s="95"/>
      <c r="C147" s="96" t="s">
        <v>10</v>
      </c>
      <c r="D147" s="104">
        <v>9</v>
      </c>
      <c r="E147" s="97">
        <v>15</v>
      </c>
    </row>
    <row r="148" spans="2:20" x14ac:dyDescent="0.25">
      <c r="B148" s="90"/>
      <c r="C148" s="98" t="s">
        <v>11</v>
      </c>
      <c r="D148" s="105">
        <v>13</v>
      </c>
      <c r="E148" s="99">
        <v>20</v>
      </c>
    </row>
    <row r="149" spans="2:20" x14ac:dyDescent="0.25">
      <c r="B149" s="95" t="s">
        <v>462</v>
      </c>
      <c r="C149" s="92" t="s">
        <v>7</v>
      </c>
      <c r="D149" s="103">
        <v>3</v>
      </c>
      <c r="E149" s="94">
        <v>1</v>
      </c>
    </row>
    <row r="150" spans="2:20" x14ac:dyDescent="0.25">
      <c r="B150" s="95"/>
      <c r="C150" s="96" t="s">
        <v>8</v>
      </c>
      <c r="D150" s="104">
        <v>4</v>
      </c>
      <c r="E150" s="97">
        <v>5</v>
      </c>
    </row>
    <row r="151" spans="2:20" x14ac:dyDescent="0.25">
      <c r="B151" s="95"/>
      <c r="C151" s="96" t="s">
        <v>9</v>
      </c>
      <c r="D151" s="104">
        <v>5.5</v>
      </c>
      <c r="E151" s="97">
        <v>10</v>
      </c>
    </row>
    <row r="152" spans="2:20" x14ac:dyDescent="0.25">
      <c r="B152" s="95"/>
      <c r="C152" s="96" t="s">
        <v>10</v>
      </c>
      <c r="D152" s="104">
        <v>9</v>
      </c>
      <c r="E152" s="97">
        <v>15</v>
      </c>
    </row>
    <row r="153" spans="2:20" x14ac:dyDescent="0.25">
      <c r="B153" s="90"/>
      <c r="C153" s="98" t="s">
        <v>11</v>
      </c>
      <c r="D153" s="105">
        <v>13</v>
      </c>
      <c r="E153" s="99">
        <v>20</v>
      </c>
    </row>
    <row r="155" spans="2:20" x14ac:dyDescent="0.25">
      <c r="B155" s="118" t="s">
        <v>280</v>
      </c>
    </row>
    <row r="156" spans="2:20" x14ac:dyDescent="0.25">
      <c r="B156" s="82"/>
      <c r="C156" s="69" t="s">
        <v>832</v>
      </c>
      <c r="D156" s="13" t="s">
        <v>833</v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316" t="s">
        <v>834</v>
      </c>
      <c r="Q156" s="317"/>
      <c r="R156" s="317"/>
      <c r="S156" s="317"/>
      <c r="T156" s="318"/>
    </row>
    <row r="157" spans="2:20" x14ac:dyDescent="0.25">
      <c r="B157" s="83"/>
      <c r="C157" s="70" t="s">
        <v>131</v>
      </c>
      <c r="D157" s="25" t="s">
        <v>162</v>
      </c>
      <c r="E157" s="25" t="s">
        <v>93</v>
      </c>
      <c r="F157" s="112" t="s">
        <v>95</v>
      </c>
      <c r="G157" s="112" t="s">
        <v>163</v>
      </c>
      <c r="H157" s="112" t="s">
        <v>164</v>
      </c>
      <c r="I157" s="112" t="s">
        <v>165</v>
      </c>
      <c r="J157" s="112" t="s">
        <v>95</v>
      </c>
      <c r="K157" s="112" t="s">
        <v>166</v>
      </c>
      <c r="L157" s="112" t="s">
        <v>98</v>
      </c>
      <c r="M157" s="112" t="s">
        <v>93</v>
      </c>
      <c r="N157" s="112" t="s">
        <v>95</v>
      </c>
      <c r="O157" s="112" t="s">
        <v>96</v>
      </c>
      <c r="P157" s="12" t="s">
        <v>671</v>
      </c>
      <c r="Q157" s="13"/>
      <c r="R157" s="13"/>
      <c r="S157" s="13"/>
      <c r="T157" s="14"/>
    </row>
    <row r="158" spans="2:20" x14ac:dyDescent="0.25">
      <c r="B158" s="119" t="s">
        <v>60</v>
      </c>
      <c r="C158" s="70" t="s">
        <v>60</v>
      </c>
      <c r="D158" s="39" t="s">
        <v>167</v>
      </c>
      <c r="E158" s="39" t="s">
        <v>90</v>
      </c>
      <c r="F158" s="39" t="s">
        <v>90</v>
      </c>
      <c r="G158" s="39" t="s">
        <v>92</v>
      </c>
      <c r="H158" s="39" t="s">
        <v>168</v>
      </c>
      <c r="I158" s="39" t="s">
        <v>97</v>
      </c>
      <c r="J158" s="39" t="s">
        <v>97</v>
      </c>
      <c r="K158" s="39" t="s">
        <v>97</v>
      </c>
      <c r="L158" s="39" t="s">
        <v>97</v>
      </c>
      <c r="M158" s="39" t="s">
        <v>94</v>
      </c>
      <c r="N158" s="39" t="s">
        <v>94</v>
      </c>
      <c r="O158" s="39" t="s">
        <v>94</v>
      </c>
      <c r="P158" s="67" t="s">
        <v>672</v>
      </c>
      <c r="Q158" s="40" t="s">
        <v>673</v>
      </c>
      <c r="R158" s="40" t="s">
        <v>674</v>
      </c>
      <c r="S158" s="40" t="s">
        <v>675</v>
      </c>
      <c r="T158" s="44" t="s">
        <v>676</v>
      </c>
    </row>
    <row r="159" spans="2:20" x14ac:dyDescent="0.25">
      <c r="B159" s="120" t="s">
        <v>159</v>
      </c>
      <c r="C159" s="70" t="s">
        <v>101</v>
      </c>
      <c r="D159" s="40" t="s">
        <v>101</v>
      </c>
      <c r="E159" s="40" t="s">
        <v>101</v>
      </c>
      <c r="F159" s="40" t="s">
        <v>101</v>
      </c>
      <c r="G159" s="40" t="s">
        <v>101</v>
      </c>
      <c r="H159" s="40" t="s">
        <v>101</v>
      </c>
      <c r="I159" s="40" t="s">
        <v>101</v>
      </c>
      <c r="J159" s="40" t="s">
        <v>101</v>
      </c>
      <c r="K159" s="40" t="s">
        <v>101</v>
      </c>
      <c r="L159" s="40" t="s">
        <v>101</v>
      </c>
      <c r="M159" s="40" t="s">
        <v>101</v>
      </c>
      <c r="N159" s="40" t="s">
        <v>101</v>
      </c>
      <c r="O159" s="40" t="s">
        <v>101</v>
      </c>
      <c r="P159" s="68">
        <v>1</v>
      </c>
      <c r="Q159" s="58">
        <v>2</v>
      </c>
      <c r="R159" s="58">
        <v>3</v>
      </c>
      <c r="S159" s="58">
        <v>4</v>
      </c>
      <c r="T159" s="64">
        <v>5</v>
      </c>
    </row>
    <row r="160" spans="2:20" x14ac:dyDescent="0.25">
      <c r="B160" s="67" t="s">
        <v>114</v>
      </c>
      <c r="C160" s="115">
        <v>25</v>
      </c>
      <c r="D160" s="330">
        <v>0</v>
      </c>
      <c r="E160" s="330">
        <v>0</v>
      </c>
      <c r="F160" s="330">
        <v>0.29766666666666669</v>
      </c>
      <c r="G160" s="330">
        <v>0.27250000000000002</v>
      </c>
      <c r="H160" s="330">
        <v>0</v>
      </c>
      <c r="I160" s="330">
        <v>6.6833333333333328E-2</v>
      </c>
      <c r="J160" s="330">
        <v>7.8166666666666662E-2</v>
      </c>
      <c r="K160" s="330">
        <v>3.4166666666666665E-2</v>
      </c>
      <c r="L160" s="330">
        <v>4.4499999999999998E-2</v>
      </c>
      <c r="M160" s="330">
        <v>0.15049999999999999</v>
      </c>
      <c r="N160" s="330">
        <v>2.7833333333333335E-2</v>
      </c>
      <c r="O160" s="331">
        <v>2.7833333333333335E-2</v>
      </c>
      <c r="P160" s="139">
        <v>1.5</v>
      </c>
      <c r="Q160" s="140">
        <v>1.5</v>
      </c>
      <c r="R160" s="140">
        <v>1.5</v>
      </c>
      <c r="S160" s="140">
        <v>1.5</v>
      </c>
      <c r="T160" s="319">
        <v>1.5</v>
      </c>
    </row>
    <row r="161" spans="2:20" x14ac:dyDescent="0.25">
      <c r="B161" s="67" t="s">
        <v>265</v>
      </c>
      <c r="C161" s="116">
        <v>75</v>
      </c>
      <c r="D161" s="332">
        <v>0</v>
      </c>
      <c r="E161" s="332">
        <v>0</v>
      </c>
      <c r="F161" s="332">
        <v>0.29766666666666669</v>
      </c>
      <c r="G161" s="332">
        <v>0.27250000000000002</v>
      </c>
      <c r="H161" s="332">
        <v>0</v>
      </c>
      <c r="I161" s="332">
        <v>6.6833333333333328E-2</v>
      </c>
      <c r="J161" s="332">
        <v>7.8166666666666662E-2</v>
      </c>
      <c r="K161" s="332">
        <v>3.4166666666666665E-2</v>
      </c>
      <c r="L161" s="332">
        <v>4.4499999999999998E-2</v>
      </c>
      <c r="M161" s="332">
        <v>0.15049999999999999</v>
      </c>
      <c r="N161" s="332">
        <v>2.7833333333333335E-2</v>
      </c>
      <c r="O161" s="333">
        <v>2.7833333333333335E-2</v>
      </c>
      <c r="P161" s="139">
        <v>1.5</v>
      </c>
      <c r="Q161" s="140">
        <v>1.5</v>
      </c>
      <c r="R161" s="140">
        <v>1.5</v>
      </c>
      <c r="S161" s="140">
        <v>1.5</v>
      </c>
      <c r="T161" s="319">
        <v>1.5</v>
      </c>
    </row>
    <row r="162" spans="2:20" x14ac:dyDescent="0.25">
      <c r="B162" s="67" t="s">
        <v>266</v>
      </c>
      <c r="C162" s="116">
        <v>175</v>
      </c>
      <c r="D162" s="332">
        <v>0</v>
      </c>
      <c r="E162" s="332">
        <v>0</v>
      </c>
      <c r="F162" s="332">
        <v>0.29766666666666669</v>
      </c>
      <c r="G162" s="332">
        <v>0.27250000000000002</v>
      </c>
      <c r="H162" s="332">
        <v>0</v>
      </c>
      <c r="I162" s="332">
        <v>6.6833333333333328E-2</v>
      </c>
      <c r="J162" s="332">
        <v>7.8166666666666662E-2</v>
      </c>
      <c r="K162" s="332">
        <v>3.4166666666666665E-2</v>
      </c>
      <c r="L162" s="332">
        <v>4.4499999999999998E-2</v>
      </c>
      <c r="M162" s="332">
        <v>0.15049999999999999</v>
      </c>
      <c r="N162" s="332">
        <v>2.7833333333333335E-2</v>
      </c>
      <c r="O162" s="333">
        <v>2.7833333333333335E-2</v>
      </c>
      <c r="P162" s="139">
        <v>1.5</v>
      </c>
      <c r="Q162" s="140">
        <v>1.5</v>
      </c>
      <c r="R162" s="140">
        <v>1.5</v>
      </c>
      <c r="S162" s="140">
        <v>1.5</v>
      </c>
      <c r="T162" s="319">
        <v>1.5</v>
      </c>
    </row>
    <row r="163" spans="2:20" x14ac:dyDescent="0.25">
      <c r="B163" s="67" t="s">
        <v>267</v>
      </c>
      <c r="C163" s="116">
        <f>+(250+500)/2</f>
        <v>375</v>
      </c>
      <c r="D163" s="332">
        <v>0</v>
      </c>
      <c r="E163" s="332">
        <v>0</v>
      </c>
      <c r="F163" s="332">
        <v>0.29766666666666669</v>
      </c>
      <c r="G163" s="332">
        <v>0.27250000000000002</v>
      </c>
      <c r="H163" s="332">
        <v>0</v>
      </c>
      <c r="I163" s="332">
        <v>6.6833333333333328E-2</v>
      </c>
      <c r="J163" s="332">
        <v>7.8166666666666662E-2</v>
      </c>
      <c r="K163" s="332">
        <v>3.4166666666666665E-2</v>
      </c>
      <c r="L163" s="332">
        <v>4.4499999999999998E-2</v>
      </c>
      <c r="M163" s="332">
        <v>0.15049999999999999</v>
      </c>
      <c r="N163" s="332">
        <v>2.7833333333333335E-2</v>
      </c>
      <c r="O163" s="333">
        <v>2.7833333333333335E-2</v>
      </c>
      <c r="P163" s="139">
        <v>2</v>
      </c>
      <c r="Q163" s="140">
        <v>2</v>
      </c>
      <c r="R163" s="140">
        <v>2</v>
      </c>
      <c r="S163" s="140">
        <v>2</v>
      </c>
      <c r="T163" s="319">
        <v>2</v>
      </c>
    </row>
    <row r="164" spans="2:20" x14ac:dyDescent="0.25">
      <c r="B164" s="67" t="s">
        <v>268</v>
      </c>
      <c r="C164" s="116">
        <v>750</v>
      </c>
      <c r="D164" s="332">
        <v>0</v>
      </c>
      <c r="E164" s="332">
        <v>0</v>
      </c>
      <c r="F164" s="332">
        <v>0.29766666666666669</v>
      </c>
      <c r="G164" s="332">
        <v>0.27250000000000002</v>
      </c>
      <c r="H164" s="332">
        <v>0</v>
      </c>
      <c r="I164" s="332">
        <v>6.6833333333333328E-2</v>
      </c>
      <c r="J164" s="332">
        <v>7.8166666666666662E-2</v>
      </c>
      <c r="K164" s="332">
        <v>3.4166666666666665E-2</v>
      </c>
      <c r="L164" s="332">
        <v>4.4499999999999998E-2</v>
      </c>
      <c r="M164" s="332">
        <v>0.15049999999999999</v>
      </c>
      <c r="N164" s="332">
        <v>2.7833333333333335E-2</v>
      </c>
      <c r="O164" s="333">
        <v>2.7833333333333335E-2</v>
      </c>
      <c r="P164" s="139">
        <v>3</v>
      </c>
      <c r="Q164" s="140">
        <v>3</v>
      </c>
      <c r="R164" s="140">
        <v>3</v>
      </c>
      <c r="S164" s="140">
        <v>3</v>
      </c>
      <c r="T164" s="319">
        <v>3</v>
      </c>
    </row>
    <row r="165" spans="2:20" x14ac:dyDescent="0.25">
      <c r="B165" s="67" t="s">
        <v>269</v>
      </c>
      <c r="C165" s="116">
        <v>2000</v>
      </c>
      <c r="D165" s="332">
        <v>0</v>
      </c>
      <c r="E165" s="332">
        <v>0</v>
      </c>
      <c r="F165" s="332">
        <v>0.29766666666666669</v>
      </c>
      <c r="G165" s="332">
        <v>0.27250000000000002</v>
      </c>
      <c r="H165" s="332">
        <v>0</v>
      </c>
      <c r="I165" s="332">
        <v>6.6833333333333328E-2</v>
      </c>
      <c r="J165" s="332">
        <v>7.8166666666666662E-2</v>
      </c>
      <c r="K165" s="332">
        <v>3.4166666666666665E-2</v>
      </c>
      <c r="L165" s="332">
        <v>4.4499999999999998E-2</v>
      </c>
      <c r="M165" s="332">
        <v>0.15049999999999999</v>
      </c>
      <c r="N165" s="332">
        <v>2.7833333333333335E-2</v>
      </c>
      <c r="O165" s="333">
        <v>2.7833333333333335E-2</v>
      </c>
      <c r="P165" s="139">
        <v>4</v>
      </c>
      <c r="Q165" s="140">
        <v>4</v>
      </c>
      <c r="R165" s="140">
        <v>4</v>
      </c>
      <c r="S165" s="140">
        <v>4</v>
      </c>
      <c r="T165" s="319">
        <v>4</v>
      </c>
    </row>
    <row r="166" spans="2:20" x14ac:dyDescent="0.25">
      <c r="B166" s="67" t="s">
        <v>270</v>
      </c>
      <c r="C166" s="116">
        <v>4000</v>
      </c>
      <c r="D166" s="332">
        <v>0</v>
      </c>
      <c r="E166" s="332">
        <v>0</v>
      </c>
      <c r="F166" s="332">
        <v>0.29766666666666669</v>
      </c>
      <c r="G166" s="332">
        <v>0.27250000000000002</v>
      </c>
      <c r="H166" s="332">
        <v>0</v>
      </c>
      <c r="I166" s="332">
        <v>6.6833333333333328E-2</v>
      </c>
      <c r="J166" s="332">
        <v>7.8166666666666662E-2</v>
      </c>
      <c r="K166" s="332">
        <v>3.4166666666666665E-2</v>
      </c>
      <c r="L166" s="332">
        <v>4.4499999999999998E-2</v>
      </c>
      <c r="M166" s="332">
        <v>0.15049999999999999</v>
      </c>
      <c r="N166" s="332">
        <v>2.7833333333333335E-2</v>
      </c>
      <c r="O166" s="333">
        <v>2.7833333333333335E-2</v>
      </c>
      <c r="P166" s="139">
        <v>5</v>
      </c>
      <c r="Q166" s="140">
        <v>5</v>
      </c>
      <c r="R166" s="140">
        <v>5</v>
      </c>
      <c r="S166" s="140">
        <v>5</v>
      </c>
      <c r="T166" s="319">
        <v>5</v>
      </c>
    </row>
    <row r="167" spans="2:20" x14ac:dyDescent="0.25">
      <c r="B167" s="67" t="s">
        <v>271</v>
      </c>
      <c r="C167" s="116">
        <v>6000</v>
      </c>
      <c r="D167" s="332">
        <v>0</v>
      </c>
      <c r="E167" s="332">
        <v>0</v>
      </c>
      <c r="F167" s="332">
        <v>0.29766666666666669</v>
      </c>
      <c r="G167" s="332">
        <v>0.27250000000000002</v>
      </c>
      <c r="H167" s="332">
        <v>0</v>
      </c>
      <c r="I167" s="332">
        <v>6.6833333333333328E-2</v>
      </c>
      <c r="J167" s="332">
        <v>7.8166666666666662E-2</v>
      </c>
      <c r="K167" s="332">
        <v>3.4166666666666665E-2</v>
      </c>
      <c r="L167" s="332">
        <v>4.4499999999999998E-2</v>
      </c>
      <c r="M167" s="332">
        <v>0.15049999999999999</v>
      </c>
      <c r="N167" s="332">
        <v>2.7833333333333335E-2</v>
      </c>
      <c r="O167" s="333">
        <v>2.7833333333333335E-2</v>
      </c>
      <c r="P167" s="139">
        <v>6</v>
      </c>
      <c r="Q167" s="140">
        <v>6</v>
      </c>
      <c r="R167" s="140">
        <v>6</v>
      </c>
      <c r="S167" s="140">
        <v>6</v>
      </c>
      <c r="T167" s="319">
        <v>6</v>
      </c>
    </row>
    <row r="168" spans="2:20" x14ac:dyDescent="0.25">
      <c r="B168" s="67" t="s">
        <v>272</v>
      </c>
      <c r="C168" s="116">
        <v>8000</v>
      </c>
      <c r="D168" s="332">
        <v>0</v>
      </c>
      <c r="E168" s="332">
        <v>0</v>
      </c>
      <c r="F168" s="332">
        <v>0.29766666666666669</v>
      </c>
      <c r="G168" s="332">
        <v>0.27250000000000002</v>
      </c>
      <c r="H168" s="332">
        <v>0</v>
      </c>
      <c r="I168" s="332">
        <v>6.6833333333333328E-2</v>
      </c>
      <c r="J168" s="332">
        <v>7.8166666666666662E-2</v>
      </c>
      <c r="K168" s="332">
        <v>3.4166666666666665E-2</v>
      </c>
      <c r="L168" s="332">
        <v>4.4499999999999998E-2</v>
      </c>
      <c r="M168" s="332">
        <v>0.15049999999999999</v>
      </c>
      <c r="N168" s="332">
        <v>2.7833333333333335E-2</v>
      </c>
      <c r="O168" s="333">
        <v>2.7833333333333335E-2</v>
      </c>
      <c r="P168" s="139">
        <v>7</v>
      </c>
      <c r="Q168" s="140">
        <v>7</v>
      </c>
      <c r="R168" s="140">
        <v>7</v>
      </c>
      <c r="S168" s="140">
        <v>7</v>
      </c>
      <c r="T168" s="319">
        <v>7</v>
      </c>
    </row>
    <row r="169" spans="2:20" x14ac:dyDescent="0.25">
      <c r="B169" s="67" t="s">
        <v>273</v>
      </c>
      <c r="C169" s="116">
        <f>+(9000+12000)/2</f>
        <v>10500</v>
      </c>
      <c r="D169" s="332">
        <v>0</v>
      </c>
      <c r="E169" s="332">
        <v>0</v>
      </c>
      <c r="F169" s="332">
        <v>0.29766666666666669</v>
      </c>
      <c r="G169" s="332">
        <v>0.27250000000000002</v>
      </c>
      <c r="H169" s="332">
        <v>0</v>
      </c>
      <c r="I169" s="332">
        <v>6.6833333333333328E-2</v>
      </c>
      <c r="J169" s="332">
        <v>7.8166666666666662E-2</v>
      </c>
      <c r="K169" s="332">
        <v>3.4166666666666665E-2</v>
      </c>
      <c r="L169" s="332">
        <v>4.4499999999999998E-2</v>
      </c>
      <c r="M169" s="332">
        <v>0.15049999999999999</v>
      </c>
      <c r="N169" s="332">
        <v>2.7833333333333335E-2</v>
      </c>
      <c r="O169" s="333">
        <v>2.7833333333333335E-2</v>
      </c>
      <c r="P169" s="139">
        <v>8</v>
      </c>
      <c r="Q169" s="140">
        <v>8</v>
      </c>
      <c r="R169" s="140">
        <v>8</v>
      </c>
      <c r="S169" s="140">
        <v>8</v>
      </c>
      <c r="T169" s="319">
        <v>8</v>
      </c>
    </row>
    <row r="170" spans="2:20" x14ac:dyDescent="0.25">
      <c r="B170" s="67" t="s">
        <v>274</v>
      </c>
      <c r="C170" s="116">
        <f>+(12000+15000)/2</f>
        <v>13500</v>
      </c>
      <c r="D170" s="332">
        <v>0</v>
      </c>
      <c r="E170" s="332">
        <v>0</v>
      </c>
      <c r="F170" s="332">
        <v>0.29766666666666669</v>
      </c>
      <c r="G170" s="332">
        <v>0.27250000000000002</v>
      </c>
      <c r="H170" s="332">
        <v>0</v>
      </c>
      <c r="I170" s="332">
        <v>6.6833333333333328E-2</v>
      </c>
      <c r="J170" s="332">
        <v>7.8166666666666662E-2</v>
      </c>
      <c r="K170" s="332">
        <v>3.4166666666666665E-2</v>
      </c>
      <c r="L170" s="332">
        <v>4.4499999999999998E-2</v>
      </c>
      <c r="M170" s="332">
        <v>0.15049999999999999</v>
      </c>
      <c r="N170" s="332">
        <v>2.7833333333333335E-2</v>
      </c>
      <c r="O170" s="333">
        <v>2.7833333333333335E-2</v>
      </c>
      <c r="P170" s="139">
        <v>8</v>
      </c>
      <c r="Q170" s="140">
        <v>8</v>
      </c>
      <c r="R170" s="140">
        <v>8</v>
      </c>
      <c r="S170" s="140">
        <v>8</v>
      </c>
      <c r="T170" s="319">
        <v>8</v>
      </c>
    </row>
    <row r="171" spans="2:20" x14ac:dyDescent="0.25">
      <c r="B171" s="67" t="s">
        <v>275</v>
      </c>
      <c r="C171" s="116">
        <f>+(15000+20000)/2</f>
        <v>17500</v>
      </c>
      <c r="D171" s="332">
        <v>0</v>
      </c>
      <c r="E171" s="332">
        <v>0</v>
      </c>
      <c r="F171" s="332">
        <v>0.29766666666666669</v>
      </c>
      <c r="G171" s="332">
        <v>0.27250000000000002</v>
      </c>
      <c r="H171" s="332">
        <v>0</v>
      </c>
      <c r="I171" s="332">
        <v>6.6833333333333328E-2</v>
      </c>
      <c r="J171" s="332">
        <v>7.8166666666666662E-2</v>
      </c>
      <c r="K171" s="332">
        <v>3.4166666666666665E-2</v>
      </c>
      <c r="L171" s="332">
        <v>4.4499999999999998E-2</v>
      </c>
      <c r="M171" s="332">
        <v>0.15049999999999999</v>
      </c>
      <c r="N171" s="332">
        <v>2.7833333333333335E-2</v>
      </c>
      <c r="O171" s="333">
        <v>2.7833333333333335E-2</v>
      </c>
      <c r="P171" s="139">
        <v>8</v>
      </c>
      <c r="Q171" s="140">
        <v>8</v>
      </c>
      <c r="R171" s="140">
        <v>8</v>
      </c>
      <c r="S171" s="140">
        <v>8</v>
      </c>
      <c r="T171" s="319">
        <v>8</v>
      </c>
    </row>
    <row r="172" spans="2:20" x14ac:dyDescent="0.25">
      <c r="B172" s="67" t="s">
        <v>276</v>
      </c>
      <c r="C172" s="116">
        <v>25000</v>
      </c>
      <c r="D172" s="332">
        <v>0</v>
      </c>
      <c r="E172" s="332">
        <v>0</v>
      </c>
      <c r="F172" s="332">
        <v>0.29766666666666669</v>
      </c>
      <c r="G172" s="332">
        <v>0.27250000000000002</v>
      </c>
      <c r="H172" s="332">
        <v>0</v>
      </c>
      <c r="I172" s="332">
        <v>6.6833333333333328E-2</v>
      </c>
      <c r="J172" s="332">
        <v>7.8166666666666662E-2</v>
      </c>
      <c r="K172" s="332">
        <v>3.4166666666666665E-2</v>
      </c>
      <c r="L172" s="332">
        <v>4.4499999999999998E-2</v>
      </c>
      <c r="M172" s="332">
        <v>0.15049999999999999</v>
      </c>
      <c r="N172" s="332">
        <v>2.7833333333333335E-2</v>
      </c>
      <c r="O172" s="333">
        <v>2.7833333333333335E-2</v>
      </c>
      <c r="P172" s="139">
        <v>8</v>
      </c>
      <c r="Q172" s="140">
        <v>8</v>
      </c>
      <c r="R172" s="140">
        <v>8</v>
      </c>
      <c r="S172" s="140">
        <v>8</v>
      </c>
      <c r="T172" s="319">
        <v>8</v>
      </c>
    </row>
    <row r="173" spans="2:20" x14ac:dyDescent="0.25">
      <c r="B173" s="67" t="s">
        <v>277</v>
      </c>
      <c r="C173" s="116">
        <v>35000</v>
      </c>
      <c r="D173" s="332">
        <v>0</v>
      </c>
      <c r="E173" s="332">
        <v>0</v>
      </c>
      <c r="F173" s="332">
        <v>0.29766666666666669</v>
      </c>
      <c r="G173" s="332">
        <v>0.27250000000000002</v>
      </c>
      <c r="H173" s="332">
        <v>0</v>
      </c>
      <c r="I173" s="332">
        <v>6.6833333333333328E-2</v>
      </c>
      <c r="J173" s="332">
        <v>7.8166666666666662E-2</v>
      </c>
      <c r="K173" s="332">
        <v>3.4166666666666665E-2</v>
      </c>
      <c r="L173" s="332">
        <v>4.4499999999999998E-2</v>
      </c>
      <c r="M173" s="332">
        <v>0.15049999999999999</v>
      </c>
      <c r="N173" s="332">
        <v>2.7833333333333335E-2</v>
      </c>
      <c r="O173" s="333">
        <v>2.7833333333333335E-2</v>
      </c>
      <c r="P173" s="139">
        <v>8</v>
      </c>
      <c r="Q173" s="140">
        <v>8</v>
      </c>
      <c r="R173" s="140">
        <v>8</v>
      </c>
      <c r="S173" s="140">
        <v>8</v>
      </c>
      <c r="T173" s="319">
        <v>8</v>
      </c>
    </row>
    <row r="174" spans="2:20" x14ac:dyDescent="0.25">
      <c r="B174" s="68" t="s">
        <v>278</v>
      </c>
      <c r="C174" s="117">
        <v>500000</v>
      </c>
      <c r="D174" s="334">
        <v>0</v>
      </c>
      <c r="E174" s="334">
        <v>0</v>
      </c>
      <c r="F174" s="334">
        <v>0.29766666666666669</v>
      </c>
      <c r="G174" s="334">
        <v>0.27250000000000002</v>
      </c>
      <c r="H174" s="334">
        <v>0</v>
      </c>
      <c r="I174" s="334">
        <v>6.6833333333333328E-2</v>
      </c>
      <c r="J174" s="334">
        <v>7.8166666666666662E-2</v>
      </c>
      <c r="K174" s="334">
        <v>3.4166666666666665E-2</v>
      </c>
      <c r="L174" s="334">
        <v>4.4499999999999998E-2</v>
      </c>
      <c r="M174" s="334">
        <v>0.15049999999999999</v>
      </c>
      <c r="N174" s="334">
        <v>2.7833333333333335E-2</v>
      </c>
      <c r="O174" s="335">
        <v>2.7833333333333335E-2</v>
      </c>
      <c r="P174" s="141">
        <v>8</v>
      </c>
      <c r="Q174" s="142">
        <v>8</v>
      </c>
      <c r="R174" s="142">
        <v>8</v>
      </c>
      <c r="S174" s="142">
        <v>8</v>
      </c>
      <c r="T174" s="320">
        <v>8</v>
      </c>
    </row>
    <row r="177" spans="2:17" x14ac:dyDescent="0.25">
      <c r="B177" s="209" t="s">
        <v>477</v>
      </c>
    </row>
    <row r="179" spans="2:17" x14ac:dyDescent="0.25">
      <c r="B179" s="81" t="s">
        <v>313</v>
      </c>
    </row>
    <row r="180" spans="2:17" x14ac:dyDescent="0.25">
      <c r="B180" s="66" t="s">
        <v>36</v>
      </c>
      <c r="C180" s="25" t="s">
        <v>136</v>
      </c>
      <c r="D180" s="28"/>
      <c r="E180" s="66"/>
      <c r="F180" s="25"/>
      <c r="G180" s="25"/>
      <c r="H180" s="25"/>
      <c r="I180" s="25" t="s">
        <v>182</v>
      </c>
      <c r="J180" s="25"/>
      <c r="K180" s="25"/>
      <c r="L180" s="25"/>
      <c r="M180" s="25"/>
      <c r="N180" s="25"/>
      <c r="O180" s="25"/>
      <c r="P180" s="25"/>
      <c r="Q180" s="28" t="s">
        <v>183</v>
      </c>
    </row>
    <row r="181" spans="2:17" x14ac:dyDescent="0.25">
      <c r="B181" s="67" t="s">
        <v>312</v>
      </c>
      <c r="C181" s="40" t="s">
        <v>34</v>
      </c>
      <c r="D181" s="44"/>
      <c r="E181" s="67" t="s">
        <v>162</v>
      </c>
      <c r="F181" s="40" t="s">
        <v>93</v>
      </c>
      <c r="G181" s="40" t="s">
        <v>95</v>
      </c>
      <c r="H181" s="40" t="s">
        <v>163</v>
      </c>
      <c r="I181" s="40" t="s">
        <v>184</v>
      </c>
      <c r="J181" s="40" t="s">
        <v>165</v>
      </c>
      <c r="K181" s="40" t="s">
        <v>95</v>
      </c>
      <c r="L181" s="40" t="s">
        <v>166</v>
      </c>
      <c r="M181" s="40" t="s">
        <v>98</v>
      </c>
      <c r="N181" s="40" t="s">
        <v>93</v>
      </c>
      <c r="O181" s="40" t="s">
        <v>95</v>
      </c>
      <c r="P181" s="40" t="s">
        <v>96</v>
      </c>
      <c r="Q181" s="44" t="s">
        <v>92</v>
      </c>
    </row>
    <row r="182" spans="2:17" x14ac:dyDescent="0.25">
      <c r="B182" s="68" t="s">
        <v>339</v>
      </c>
      <c r="C182" s="58" t="s">
        <v>63</v>
      </c>
      <c r="D182" s="64" t="s">
        <v>185</v>
      </c>
      <c r="E182" s="68" t="s">
        <v>167</v>
      </c>
      <c r="F182" s="58" t="s">
        <v>90</v>
      </c>
      <c r="G182" s="58" t="s">
        <v>90</v>
      </c>
      <c r="H182" s="58" t="s">
        <v>92</v>
      </c>
      <c r="I182" s="58" t="s">
        <v>168</v>
      </c>
      <c r="J182" s="58" t="s">
        <v>97</v>
      </c>
      <c r="K182" s="58" t="s">
        <v>97</v>
      </c>
      <c r="L182" s="58" t="s">
        <v>97</v>
      </c>
      <c r="M182" s="58" t="s">
        <v>97</v>
      </c>
      <c r="N182" s="58" t="s">
        <v>94</v>
      </c>
      <c r="O182" s="58" t="s">
        <v>94</v>
      </c>
      <c r="P182" s="58" t="s">
        <v>94</v>
      </c>
      <c r="Q182" s="64" t="s">
        <v>186</v>
      </c>
    </row>
    <row r="183" spans="2:17" x14ac:dyDescent="0.25">
      <c r="B183" s="48">
        <v>1</v>
      </c>
      <c r="C183" s="49">
        <v>1</v>
      </c>
      <c r="D183" s="50" t="s">
        <v>188</v>
      </c>
      <c r="E183" s="336">
        <v>6.4171482374270741E-2</v>
      </c>
      <c r="F183" s="337">
        <v>0.22860540002584462</v>
      </c>
      <c r="G183" s="337">
        <v>0.31251827379067737</v>
      </c>
      <c r="H183" s="337">
        <v>0.28546726405620593</v>
      </c>
      <c r="I183" s="337">
        <v>0.24898274838924409</v>
      </c>
      <c r="J183" s="337">
        <v>0.33481734097003935</v>
      </c>
      <c r="K183" s="337">
        <v>0.40054883758227028</v>
      </c>
      <c r="L183" s="337">
        <v>0.71765223344167084</v>
      </c>
      <c r="M183" s="337">
        <v>1.0431105375289924</v>
      </c>
      <c r="N183" s="337">
        <v>0.3560310651858648</v>
      </c>
      <c r="O183" s="337">
        <v>0.44538357456525168</v>
      </c>
      <c r="P183" s="337">
        <v>0.70770187775293991</v>
      </c>
      <c r="Q183" s="338">
        <v>0.32878898361076908</v>
      </c>
    </row>
    <row r="184" spans="2:17" x14ac:dyDescent="0.25">
      <c r="B184" s="48">
        <v>1</v>
      </c>
      <c r="C184" s="49">
        <v>1</v>
      </c>
      <c r="D184" s="50" t="s">
        <v>189</v>
      </c>
      <c r="E184" s="336">
        <v>1.4069164642180226E-4</v>
      </c>
      <c r="F184" s="337">
        <v>-1.4184763974914691E-3</v>
      </c>
      <c r="G184" s="337">
        <v>-1.391835750978691E-3</v>
      </c>
      <c r="H184" s="337">
        <v>-2.004323424460316E-3</v>
      </c>
      <c r="I184" s="337">
        <v>-3.892411105189932E-5</v>
      </c>
      <c r="J184" s="337">
        <v>1.8301688094145898E-4</v>
      </c>
      <c r="K184" s="337">
        <v>6.0586163596117642E-3</v>
      </c>
      <c r="L184" s="337">
        <v>1.0821762919518594E-2</v>
      </c>
      <c r="M184" s="337">
        <v>4.2947246848643229E-4</v>
      </c>
      <c r="N184" s="337">
        <v>2.35140328559656E-3</v>
      </c>
      <c r="O184" s="337">
        <v>6.0751472180817796E-3</v>
      </c>
      <c r="P184" s="337">
        <v>2.7142008469839929E-3</v>
      </c>
      <c r="Q184" s="338">
        <v>2.3480562559778038E-4</v>
      </c>
    </row>
    <row r="185" spans="2:17" x14ac:dyDescent="0.25">
      <c r="B185" s="48">
        <v>1</v>
      </c>
      <c r="C185" s="49">
        <v>1</v>
      </c>
      <c r="D185" s="50" t="s">
        <v>190</v>
      </c>
      <c r="E185" s="336">
        <v>-9.8664080724120547E-5</v>
      </c>
      <c r="F185" s="337">
        <v>4.0283827393343988E-4</v>
      </c>
      <c r="G185" s="337">
        <v>7.0797772274845542E-4</v>
      </c>
      <c r="H185" s="337">
        <v>1.1624170419497412E-3</v>
      </c>
      <c r="I185" s="337">
        <v>8.6824331944916904E-4</v>
      </c>
      <c r="J185" s="337">
        <v>8.4906615455806458E-4</v>
      </c>
      <c r="K185" s="337">
        <v>3.9924243964376444E-4</v>
      </c>
      <c r="L185" s="337">
        <v>1.1154362858036449E-3</v>
      </c>
      <c r="M185" s="337">
        <v>2.5710370435025704E-3</v>
      </c>
      <c r="N185" s="337">
        <v>9.4702344014372373E-4</v>
      </c>
      <c r="O185" s="337">
        <v>9.7092857588699079E-4</v>
      </c>
      <c r="P185" s="337">
        <v>2.6566211941775773E-3</v>
      </c>
      <c r="Q185" s="338">
        <v>8.2740566778454947E-4</v>
      </c>
    </row>
    <row r="186" spans="2:17" x14ac:dyDescent="0.25">
      <c r="B186" s="48">
        <v>1</v>
      </c>
      <c r="C186" s="49">
        <v>1</v>
      </c>
      <c r="D186" s="50" t="s">
        <v>191</v>
      </c>
      <c r="E186" s="336">
        <v>5.3072181257485274E-6</v>
      </c>
      <c r="F186" s="337">
        <v>-4.007880848766587E-6</v>
      </c>
      <c r="G186" s="337">
        <v>-1.1475434021701577E-5</v>
      </c>
      <c r="H186" s="337">
        <v>-2.4749101418205942E-5</v>
      </c>
      <c r="I186" s="337">
        <v>-1.8087091255808592E-5</v>
      </c>
      <c r="J186" s="337">
        <v>-1.2644280758400547E-5</v>
      </c>
      <c r="K186" s="337">
        <v>6.7774449542407904E-7</v>
      </c>
      <c r="L186" s="337">
        <v>-5.6454444357657709E-6</v>
      </c>
      <c r="M186" s="337">
        <v>-2.7670072740423241E-5</v>
      </c>
      <c r="N186" s="337">
        <v>-2.0045738612253179E-5</v>
      </c>
      <c r="O186" s="337">
        <v>-1.8099969847774729E-5</v>
      </c>
      <c r="P186" s="337">
        <v>-5.0388848251303622E-5</v>
      </c>
      <c r="Q186" s="338">
        <v>-1.3708603576877905E-5</v>
      </c>
    </row>
    <row r="187" spans="2:17" x14ac:dyDescent="0.25">
      <c r="B187" s="48">
        <v>1</v>
      </c>
      <c r="C187" s="49">
        <v>2</v>
      </c>
      <c r="D187" s="50" t="s">
        <v>188</v>
      </c>
      <c r="E187" s="336">
        <v>5.1611756533384311E-2</v>
      </c>
      <c r="F187" s="337">
        <v>0.215572648247083</v>
      </c>
      <c r="G187" s="337">
        <v>0.30397512018680573</v>
      </c>
      <c r="H187" s="337">
        <v>0.27134718795617413</v>
      </c>
      <c r="I187" s="337">
        <v>0.22947241763273885</v>
      </c>
      <c r="J187" s="337">
        <v>0.3130657692750296</v>
      </c>
      <c r="K187" s="337">
        <v>0.39751843214035038</v>
      </c>
      <c r="L187" s="337">
        <v>0.72515924572944657</v>
      </c>
      <c r="M187" s="337">
        <v>1.0169923464457198</v>
      </c>
      <c r="N187" s="337">
        <v>0.33694474995136259</v>
      </c>
      <c r="O187" s="337">
        <v>0.42507384419441219</v>
      </c>
      <c r="P187" s="337">
        <v>0.75911509990692161</v>
      </c>
      <c r="Q187" s="338">
        <v>0.31739317803829897</v>
      </c>
    </row>
    <row r="188" spans="2:17" x14ac:dyDescent="0.25">
      <c r="B188" s="48">
        <v>1</v>
      </c>
      <c r="C188" s="49">
        <v>2</v>
      </c>
      <c r="D188" s="50" t="s">
        <v>189</v>
      </c>
      <c r="E188" s="336">
        <v>1.2157082256644691E-3</v>
      </c>
      <c r="F188" s="337">
        <v>4.2392456760773257E-4</v>
      </c>
      <c r="G188" s="337">
        <v>5.3683803840110951E-5</v>
      </c>
      <c r="H188" s="337">
        <v>7.3360154157754828E-4</v>
      </c>
      <c r="I188" s="337">
        <v>2.821035361859606E-3</v>
      </c>
      <c r="J188" s="337">
        <v>3.4696414962514851E-3</v>
      </c>
      <c r="K188" s="337">
        <v>6.7447986172999817E-3</v>
      </c>
      <c r="L188" s="337">
        <v>1.0556572042376646E-2</v>
      </c>
      <c r="M188" s="337">
        <v>6.2137703008214237E-3</v>
      </c>
      <c r="N188" s="337">
        <v>4.8409337850856193E-3</v>
      </c>
      <c r="O188" s="337">
        <v>9.2046582823866723E-3</v>
      </c>
      <c r="P188" s="337">
        <v>-1.9175658623377984E-3</v>
      </c>
      <c r="Q188" s="338">
        <v>2.1618193997867681E-3</v>
      </c>
    </row>
    <row r="189" spans="2:17" x14ac:dyDescent="0.25">
      <c r="B189" s="48">
        <v>1</v>
      </c>
      <c r="C189" s="49">
        <v>2</v>
      </c>
      <c r="D189" s="50" t="s">
        <v>190</v>
      </c>
      <c r="E189" s="336">
        <v>-7.7933651592695613E-5</v>
      </c>
      <c r="F189" s="337">
        <v>3.4542113872535851E-4</v>
      </c>
      <c r="G189" s="337">
        <v>6.4834963643189709E-4</v>
      </c>
      <c r="H189" s="337">
        <v>1.025711405492604E-3</v>
      </c>
      <c r="I189" s="337">
        <v>7.7085237785097266E-4</v>
      </c>
      <c r="J189" s="337">
        <v>7.4325188438653645E-4</v>
      </c>
      <c r="K189" s="337">
        <v>3.9461972343893953E-4</v>
      </c>
      <c r="L189" s="337">
        <v>1.1493416550831925E-3</v>
      </c>
      <c r="M189" s="337">
        <v>2.3562433523731654E-3</v>
      </c>
      <c r="N189" s="337">
        <v>9.0675314319578492E-4</v>
      </c>
      <c r="O189" s="337">
        <v>1.0070379623722087E-3</v>
      </c>
      <c r="P189" s="337">
        <v>3.1675724594882096E-3</v>
      </c>
      <c r="Q189" s="338">
        <v>7.7230691079415153E-4</v>
      </c>
    </row>
    <row r="190" spans="2:17" x14ac:dyDescent="0.25">
      <c r="B190" s="48">
        <v>1</v>
      </c>
      <c r="C190" s="49">
        <v>2</v>
      </c>
      <c r="D190" s="50" t="s">
        <v>191</v>
      </c>
      <c r="E190" s="336">
        <v>3.0817722694741444E-6</v>
      </c>
      <c r="F190" s="337">
        <v>-4.1357538986317186E-6</v>
      </c>
      <c r="G190" s="337">
        <v>-1.1027169724305498E-5</v>
      </c>
      <c r="H190" s="337">
        <v>-2.2886364366902533E-5</v>
      </c>
      <c r="I190" s="337">
        <v>-1.7916781519537554E-5</v>
      </c>
      <c r="J190" s="337">
        <v>-1.2778870257742268E-5</v>
      </c>
      <c r="K190" s="337">
        <v>-6.6800504668162582E-8</v>
      </c>
      <c r="L190" s="337">
        <v>-6.5413333342440619E-6</v>
      </c>
      <c r="M190" s="337">
        <v>-2.6594667978405373E-5</v>
      </c>
      <c r="N190" s="337">
        <v>-2.1730326029248477E-5</v>
      </c>
      <c r="O190" s="337">
        <v>-2.3928312432793753E-5</v>
      </c>
      <c r="P190" s="337">
        <v>-6.6598651535583462E-5</v>
      </c>
      <c r="Q190" s="338">
        <v>-1.4094795364880808E-5</v>
      </c>
    </row>
    <row r="191" spans="2:17" x14ac:dyDescent="0.25">
      <c r="B191" s="48">
        <v>1</v>
      </c>
      <c r="C191" s="49">
        <v>3</v>
      </c>
      <c r="D191" s="50" t="s">
        <v>188</v>
      </c>
      <c r="E191" s="336">
        <v>4.5148293053110439E-2</v>
      </c>
      <c r="F191" s="337">
        <v>0.21864382475614552</v>
      </c>
      <c r="G191" s="337">
        <v>0.31126233140627541</v>
      </c>
      <c r="H191" s="337">
        <v>0.28665208915869389</v>
      </c>
      <c r="I191" s="337">
        <v>0.2327051808436712</v>
      </c>
      <c r="J191" s="337">
        <v>0.32096753120422361</v>
      </c>
      <c r="K191" s="337">
        <v>0.41333572467168178</v>
      </c>
      <c r="L191" s="337">
        <v>0.75470596750577279</v>
      </c>
      <c r="M191" s="337">
        <v>1.062380564212799</v>
      </c>
      <c r="N191" s="337">
        <v>0.34761515259742742</v>
      </c>
      <c r="O191" s="337">
        <v>0.49682933290799464</v>
      </c>
      <c r="P191" s="337">
        <v>0.89793683687845882</v>
      </c>
      <c r="Q191" s="338">
        <v>0.33221368070319279</v>
      </c>
    </row>
    <row r="192" spans="2:17" x14ac:dyDescent="0.25">
      <c r="B192" s="48">
        <v>1</v>
      </c>
      <c r="C192" s="49">
        <v>3</v>
      </c>
      <c r="D192" s="50" t="s">
        <v>189</v>
      </c>
      <c r="E192" s="336">
        <v>6.1073448116766012E-4</v>
      </c>
      <c r="F192" s="337">
        <v>1.1030976597593061E-3</v>
      </c>
      <c r="G192" s="337">
        <v>1.3696536734387498E-3</v>
      </c>
      <c r="H192" s="337">
        <v>2.3564213413597595E-3</v>
      </c>
      <c r="I192" s="337">
        <v>4.0320274684210499E-3</v>
      </c>
      <c r="J192" s="337">
        <v>4.9735894535249308E-3</v>
      </c>
      <c r="K192" s="337">
        <v>6.0807760940935623E-3</v>
      </c>
      <c r="L192" s="337">
        <v>1.4426363080670537E-2</v>
      </c>
      <c r="M192" s="337">
        <v>1.3318539927796826E-2</v>
      </c>
      <c r="N192" s="337">
        <v>4.2785844174390818E-3</v>
      </c>
      <c r="O192" s="337">
        <v>8.9615046943261872E-3</v>
      </c>
      <c r="P192" s="337">
        <v>7.7042920281929833E-3</v>
      </c>
      <c r="Q192" s="338">
        <v>3.3788209441049468E-3</v>
      </c>
    </row>
    <row r="193" spans="2:17" x14ac:dyDescent="0.25">
      <c r="B193" s="48">
        <v>1</v>
      </c>
      <c r="C193" s="49">
        <v>3</v>
      </c>
      <c r="D193" s="50" t="s">
        <v>190</v>
      </c>
      <c r="E193" s="336">
        <v>7.1430853448617088E-5</v>
      </c>
      <c r="F193" s="337">
        <v>2.8324923923104547E-4</v>
      </c>
      <c r="G193" s="337">
        <v>4.8515232310289658E-4</v>
      </c>
      <c r="H193" s="337">
        <v>8.0482666500103755E-4</v>
      </c>
      <c r="I193" s="337">
        <v>6.8095425417373295E-4</v>
      </c>
      <c r="J193" s="337">
        <v>6.2847130504243502E-4</v>
      </c>
      <c r="K193" s="337">
        <v>5.8282828414356791E-4</v>
      </c>
      <c r="L193" s="337">
        <v>7.2196153771904726E-4</v>
      </c>
      <c r="M193" s="337">
        <v>1.6353136419138396E-3</v>
      </c>
      <c r="N193" s="337">
        <v>1.0360767826055888E-3</v>
      </c>
      <c r="O193" s="337">
        <v>1.0316473603387563E-3</v>
      </c>
      <c r="P193" s="337">
        <v>1.709300720747255E-3</v>
      </c>
      <c r="Q193" s="338">
        <v>6.4145648774923108E-4</v>
      </c>
    </row>
    <row r="194" spans="2:17" x14ac:dyDescent="0.25">
      <c r="B194" s="48">
        <v>1</v>
      </c>
      <c r="C194" s="49">
        <v>3</v>
      </c>
      <c r="D194" s="50" t="s">
        <v>191</v>
      </c>
      <c r="E194" s="336">
        <v>-2.1158215186754766E-6</v>
      </c>
      <c r="F194" s="337">
        <v>-2.9457765598814056E-6</v>
      </c>
      <c r="G194" s="337">
        <v>-6.8021391134162366E-6</v>
      </c>
      <c r="H194" s="337">
        <v>-1.7207550071614051E-5</v>
      </c>
      <c r="I194" s="337">
        <v>-1.6472212646066836E-5</v>
      </c>
      <c r="J194" s="337">
        <v>-1.1064707017167171E-5</v>
      </c>
      <c r="K194" s="337">
        <v>-8.0728053861379536E-6</v>
      </c>
      <c r="L194" s="337">
        <v>4.4080995387965413E-6</v>
      </c>
      <c r="M194" s="337">
        <v>-9.3760028215183736E-6</v>
      </c>
      <c r="N194" s="337">
        <v>-2.7051053669161877E-5</v>
      </c>
      <c r="O194" s="337">
        <v>-2.6540340104581118E-5</v>
      </c>
      <c r="P194" s="337">
        <v>-2.2350418979841843E-5</v>
      </c>
      <c r="Q194" s="338">
        <v>-1.1278900006502329E-5</v>
      </c>
    </row>
    <row r="195" spans="2:17" x14ac:dyDescent="0.25">
      <c r="B195" s="48">
        <v>2</v>
      </c>
      <c r="C195" s="49">
        <v>1</v>
      </c>
      <c r="D195" s="50" t="s">
        <v>188</v>
      </c>
      <c r="E195" s="336">
        <v>6.4517233644922567E-2</v>
      </c>
      <c r="F195" s="337">
        <v>0.22894004533688225</v>
      </c>
      <c r="G195" s="337">
        <v>0.31698645850022639</v>
      </c>
      <c r="H195" s="337">
        <v>0.28588850100835161</v>
      </c>
      <c r="I195" s="337">
        <v>0.24948149025440219</v>
      </c>
      <c r="J195" s="337">
        <v>0.33897566596666961</v>
      </c>
      <c r="K195" s="337">
        <v>0.43210568825403856</v>
      </c>
      <c r="L195" s="337">
        <v>0.75583139459292081</v>
      </c>
      <c r="M195" s="337">
        <v>1.1617673834164939</v>
      </c>
      <c r="N195" s="337">
        <v>0.36411781211694083</v>
      </c>
      <c r="O195" s="337">
        <v>0.4462648053963979</v>
      </c>
      <c r="P195" s="337">
        <v>0.71540110508600896</v>
      </c>
      <c r="Q195" s="338">
        <v>0.33653871120885009</v>
      </c>
    </row>
    <row r="196" spans="2:17" x14ac:dyDescent="0.25">
      <c r="B196" s="48">
        <v>2</v>
      </c>
      <c r="C196" s="49">
        <v>1</v>
      </c>
      <c r="D196" s="50" t="s">
        <v>189</v>
      </c>
      <c r="E196" s="336">
        <v>9.6500352988921243E-5</v>
      </c>
      <c r="F196" s="337">
        <v>-1.465241353099159E-3</v>
      </c>
      <c r="G196" s="337">
        <v>-2.1220179305071122E-3</v>
      </c>
      <c r="H196" s="337">
        <v>-2.0665146045751436E-3</v>
      </c>
      <c r="I196" s="337">
        <v>-1.0842490990494177E-4</v>
      </c>
      <c r="J196" s="337">
        <v>-4.663462081248017E-4</v>
      </c>
      <c r="K196" s="337">
        <v>2.1345103803585138E-3</v>
      </c>
      <c r="L196" s="337">
        <v>7.3041298716866711E-3</v>
      </c>
      <c r="M196" s="337">
        <v>-2.2357053516350183E-2</v>
      </c>
      <c r="N196" s="337">
        <v>1.163014515412336E-3</v>
      </c>
      <c r="O196" s="337">
        <v>5.9508787990542496E-3</v>
      </c>
      <c r="P196" s="337">
        <v>7.8269046179152641E-4</v>
      </c>
      <c r="Q196" s="338">
        <v>-9.4072357368261365E-4</v>
      </c>
    </row>
    <row r="197" spans="2:17" x14ac:dyDescent="0.25">
      <c r="B197" s="48">
        <v>2</v>
      </c>
      <c r="C197" s="49">
        <v>1</v>
      </c>
      <c r="D197" s="50" t="s">
        <v>190</v>
      </c>
      <c r="E197" s="336">
        <v>-9.7498491445517521E-5</v>
      </c>
      <c r="F197" s="337">
        <v>4.0447486603593453E-4</v>
      </c>
      <c r="G197" s="337">
        <v>7.4315231319490899E-4</v>
      </c>
      <c r="H197" s="337">
        <v>1.164902926429168E-3</v>
      </c>
      <c r="I197" s="337">
        <v>8.7065975201296695E-4</v>
      </c>
      <c r="J197" s="337">
        <v>8.7791247106654233E-4</v>
      </c>
      <c r="K197" s="337">
        <v>4.9344959532047334E-4</v>
      </c>
      <c r="L197" s="337">
        <v>1.0681427181600681E-3</v>
      </c>
      <c r="M197" s="337">
        <v>3.9550568430851696E-3</v>
      </c>
      <c r="N197" s="337">
        <v>9.9480151695944033E-4</v>
      </c>
      <c r="O197" s="337">
        <v>9.753994626320897E-4</v>
      </c>
      <c r="P197" s="337">
        <v>2.7874797704197634E-3</v>
      </c>
      <c r="Q197" s="338">
        <v>8.7709566946781727E-4</v>
      </c>
    </row>
    <row r="198" spans="2:17" x14ac:dyDescent="0.25">
      <c r="B198" s="48">
        <v>2</v>
      </c>
      <c r="C198" s="49">
        <v>1</v>
      </c>
      <c r="D198" s="50" t="s">
        <v>191</v>
      </c>
      <c r="E198" s="336">
        <v>5.3180418561249737E-6</v>
      </c>
      <c r="F198" s="337">
        <v>-4.0130635467303595E-6</v>
      </c>
      <c r="G198" s="337">
        <v>-1.195297600367131E-5</v>
      </c>
      <c r="H198" s="337">
        <v>-2.4768793065370103E-5</v>
      </c>
      <c r="I198" s="337">
        <v>-1.8094172057201467E-5</v>
      </c>
      <c r="J198" s="337">
        <v>-1.2970378256251634E-5</v>
      </c>
      <c r="K198" s="337">
        <v>1.9791849368565541E-6</v>
      </c>
      <c r="L198" s="337">
        <v>1.0151314753938068E-6</v>
      </c>
      <c r="M198" s="337">
        <v>-5.4566940783342972E-5</v>
      </c>
      <c r="N198" s="337">
        <v>-2.044848605654646E-5</v>
      </c>
      <c r="O198" s="337">
        <v>-1.811901456224156E-5</v>
      </c>
      <c r="P198" s="337">
        <v>-5.3028918356977108E-5</v>
      </c>
      <c r="Q198" s="338">
        <v>-1.4194639178214354E-5</v>
      </c>
    </row>
    <row r="199" spans="2:17" x14ac:dyDescent="0.25">
      <c r="B199" s="48">
        <v>2</v>
      </c>
      <c r="C199" s="49">
        <v>2</v>
      </c>
      <c r="D199" s="50" t="s">
        <v>188</v>
      </c>
      <c r="E199" s="336">
        <v>5.1658984522024783E-2</v>
      </c>
      <c r="F199" s="337">
        <v>0.21559313187996548</v>
      </c>
      <c r="G199" s="337">
        <v>0.30398443043231971</v>
      </c>
      <c r="H199" s="337">
        <v>0.2713583588600158</v>
      </c>
      <c r="I199" s="337">
        <v>0.22952014009157803</v>
      </c>
      <c r="J199" s="337">
        <v>0.31311519245306635</v>
      </c>
      <c r="K199" s="337">
        <v>0.39762711524963373</v>
      </c>
      <c r="L199" s="337">
        <v>0.75189324617385855</v>
      </c>
      <c r="M199" s="337">
        <v>1.017232096195221</v>
      </c>
      <c r="N199" s="337">
        <v>0.33701581954956078</v>
      </c>
      <c r="O199" s="337">
        <v>0.42512529492378254</v>
      </c>
      <c r="P199" s="337">
        <v>0.7464894711971285</v>
      </c>
      <c r="Q199" s="338">
        <v>0.31797659802436845</v>
      </c>
    </row>
    <row r="200" spans="2:17" x14ac:dyDescent="0.25">
      <c r="B200" s="48">
        <v>2</v>
      </c>
      <c r="C200" s="49">
        <v>2</v>
      </c>
      <c r="D200" s="50" t="s">
        <v>189</v>
      </c>
      <c r="E200" s="336">
        <v>1.2089161885426153E-3</v>
      </c>
      <c r="F200" s="337">
        <v>4.2088059585457737E-4</v>
      </c>
      <c r="G200" s="337">
        <v>5.2195615493322119E-5</v>
      </c>
      <c r="H200" s="337">
        <v>7.3169495421229356E-4</v>
      </c>
      <c r="I200" s="337">
        <v>2.813848220361907E-3</v>
      </c>
      <c r="J200" s="337">
        <v>3.4614772374489487E-3</v>
      </c>
      <c r="K200" s="337">
        <v>6.7282755104441476E-3</v>
      </c>
      <c r="L200" s="337">
        <v>8.4873335645841794E-3</v>
      </c>
      <c r="M200" s="337">
        <v>6.1768158031417436E-3</v>
      </c>
      <c r="N200" s="337">
        <v>4.8299284004942253E-3</v>
      </c>
      <c r="O200" s="337">
        <v>9.196098300497349E-3</v>
      </c>
      <c r="P200" s="337">
        <v>-2.366965704633022E-3</v>
      </c>
      <c r="Q200" s="338">
        <v>2.0854838100053622E-3</v>
      </c>
    </row>
    <row r="201" spans="2:17" x14ac:dyDescent="0.25">
      <c r="B201" s="48">
        <v>2</v>
      </c>
      <c r="C201" s="49">
        <v>2</v>
      </c>
      <c r="D201" s="50" t="s">
        <v>190</v>
      </c>
      <c r="E201" s="336">
        <v>-7.7678811669106747E-5</v>
      </c>
      <c r="F201" s="337">
        <v>3.4554394956304741E-4</v>
      </c>
      <c r="G201" s="337">
        <v>6.4841864548085301E-4</v>
      </c>
      <c r="H201" s="337">
        <v>1.025809991088778E-3</v>
      </c>
      <c r="I201" s="337">
        <v>7.7115161244546715E-4</v>
      </c>
      <c r="J201" s="337">
        <v>7.4365497555904745E-4</v>
      </c>
      <c r="K201" s="337">
        <v>3.9532082915167067E-4</v>
      </c>
      <c r="L201" s="337">
        <v>1.0653800897664949E-3</v>
      </c>
      <c r="M201" s="337">
        <v>2.3578503679284424E-3</v>
      </c>
      <c r="N201" s="337">
        <v>9.0723793024505956E-4</v>
      </c>
      <c r="O201" s="337">
        <v>1.0074652852989884E-3</v>
      </c>
      <c r="P201" s="337">
        <v>3.3680652040284855E-3</v>
      </c>
      <c r="Q201" s="338">
        <v>7.7403125055200059E-4</v>
      </c>
    </row>
    <row r="202" spans="2:17" x14ac:dyDescent="0.25">
      <c r="B202" s="48">
        <v>2</v>
      </c>
      <c r="C202" s="49">
        <v>2</v>
      </c>
      <c r="D202" s="50" t="s">
        <v>191</v>
      </c>
      <c r="E202" s="336">
        <v>3.0803205604609337E-6</v>
      </c>
      <c r="F202" s="337">
        <v>-4.1367575850427452E-6</v>
      </c>
      <c r="G202" s="337">
        <v>-1.1028029406682085E-5</v>
      </c>
      <c r="H202" s="337">
        <v>-2.2887891967489205E-5</v>
      </c>
      <c r="I202" s="337">
        <v>-1.7919552330833643E-5</v>
      </c>
      <c r="J202" s="337">
        <v>-1.2784641997334304E-5</v>
      </c>
      <c r="K202" s="337">
        <v>-7.3711974683775529E-8</v>
      </c>
      <c r="L202" s="337">
        <v>-2.9958338818997794E-7</v>
      </c>
      <c r="M202" s="337">
        <v>-2.6611722687370803E-5</v>
      </c>
      <c r="N202" s="337">
        <v>-2.1735670822205931E-5</v>
      </c>
      <c r="O202" s="337">
        <v>-2.3934570457366696E-5</v>
      </c>
      <c r="P202" s="337">
        <v>-7.4037493270964503E-5</v>
      </c>
      <c r="Q202" s="338">
        <v>-1.4058924094674881E-5</v>
      </c>
    </row>
    <row r="203" spans="2:17" x14ac:dyDescent="0.25">
      <c r="B203" s="48">
        <v>2</v>
      </c>
      <c r="C203" s="49">
        <v>3</v>
      </c>
      <c r="D203" s="50" t="s">
        <v>188</v>
      </c>
      <c r="E203" s="336">
        <v>4.5148289948701861E-2</v>
      </c>
      <c r="F203" s="337">
        <v>0.21864378054936723</v>
      </c>
      <c r="G203" s="337">
        <v>0.31126231352488198</v>
      </c>
      <c r="H203" s="337">
        <v>0.2866520831982296</v>
      </c>
      <c r="I203" s="337">
        <v>0.23270514408747348</v>
      </c>
      <c r="J203" s="337">
        <v>0.32096747457981112</v>
      </c>
      <c r="K203" s="337">
        <v>0.41333560645580297</v>
      </c>
      <c r="L203" s="337">
        <v>0.75470577279726658</v>
      </c>
      <c r="M203" s="337">
        <v>1.0623801231384282</v>
      </c>
      <c r="N203" s="337">
        <v>0.34761506815751397</v>
      </c>
      <c r="O203" s="337">
        <v>0.49682904283205676</v>
      </c>
      <c r="P203" s="337">
        <v>0.89793639580408724</v>
      </c>
      <c r="Q203" s="338">
        <v>0.33221361465007071</v>
      </c>
    </row>
    <row r="204" spans="2:17" x14ac:dyDescent="0.25">
      <c r="B204" s="48">
        <v>2</v>
      </c>
      <c r="C204" s="49">
        <v>3</v>
      </c>
      <c r="D204" s="50" t="s">
        <v>189</v>
      </c>
      <c r="E204" s="336">
        <v>6.1073392070974718E-4</v>
      </c>
      <c r="F204" s="337">
        <v>1.1031080584425986E-3</v>
      </c>
      <c r="G204" s="337">
        <v>1.3696528340182603E-3</v>
      </c>
      <c r="H204" s="337">
        <v>2.3564217697536536E-3</v>
      </c>
      <c r="I204" s="337">
        <v>4.0320261108755017E-3</v>
      </c>
      <c r="J204" s="337">
        <v>4.973572783791568E-3</v>
      </c>
      <c r="K204" s="337">
        <v>6.0807598353867891E-3</v>
      </c>
      <c r="L204" s="337">
        <v>1.4426311372367603E-2</v>
      </c>
      <c r="M204" s="337">
        <v>1.3318463060035153E-2</v>
      </c>
      <c r="N204" s="337">
        <v>4.2785893468636343E-3</v>
      </c>
      <c r="O204" s="337">
        <v>8.9615416635629528E-3</v>
      </c>
      <c r="P204" s="337">
        <v>7.704337356900101E-3</v>
      </c>
      <c r="Q204" s="338">
        <v>3.3788201659150289E-3</v>
      </c>
    </row>
    <row r="205" spans="2:17" x14ac:dyDescent="0.25">
      <c r="B205" s="48">
        <v>2</v>
      </c>
      <c r="C205" s="49">
        <v>3</v>
      </c>
      <c r="D205" s="50" t="s">
        <v>190</v>
      </c>
      <c r="E205" s="336">
        <v>7.1430909349680692E-5</v>
      </c>
      <c r="F205" s="337">
        <v>2.8324807779147123E-4</v>
      </c>
      <c r="G205" s="337">
        <v>4.8515225797544242E-4</v>
      </c>
      <c r="H205" s="337">
        <v>8.0482613963958627E-4</v>
      </c>
      <c r="I205" s="337">
        <v>6.8095405444954264E-4</v>
      </c>
      <c r="J205" s="337">
        <v>6.2847333701896194E-4</v>
      </c>
      <c r="K205" s="337">
        <v>5.8283039861486822E-4</v>
      </c>
      <c r="L205" s="337">
        <v>7.2196655687474032E-4</v>
      </c>
      <c r="M205" s="337">
        <v>1.6353204499035769E-3</v>
      </c>
      <c r="N205" s="337">
        <v>1.0360757101735315E-3</v>
      </c>
      <c r="O205" s="337">
        <v>1.0316437045177391E-3</v>
      </c>
      <c r="P205" s="337">
        <v>1.7092948679601663E-3</v>
      </c>
      <c r="Q205" s="338">
        <v>6.4145635110641433E-4</v>
      </c>
    </row>
    <row r="206" spans="2:17" x14ac:dyDescent="0.25">
      <c r="B206" s="48">
        <v>2</v>
      </c>
      <c r="C206" s="49">
        <v>3</v>
      </c>
      <c r="D206" s="50" t="s">
        <v>191</v>
      </c>
      <c r="E206" s="336">
        <v>-2.1158227850426135E-6</v>
      </c>
      <c r="F206" s="337">
        <v>-2.9457396543248419E-6</v>
      </c>
      <c r="G206" s="337">
        <v>-6.8021311533941925E-6</v>
      </c>
      <c r="H206" s="337">
        <v>-1.7207524744271333E-5</v>
      </c>
      <c r="I206" s="337">
        <v>-1.6472198896937871E-5</v>
      </c>
      <c r="J206" s="337">
        <v>-1.1064772868258322E-5</v>
      </c>
      <c r="K206" s="337">
        <v>-8.072876302697635E-6</v>
      </c>
      <c r="L206" s="337">
        <v>4.4079577056771522E-6</v>
      </c>
      <c r="M206" s="337">
        <v>-9.3761851783863456E-6</v>
      </c>
      <c r="N206" s="337">
        <v>-2.7051016039966907E-5</v>
      </c>
      <c r="O206" s="337">
        <v>-2.6540234453379915E-5</v>
      </c>
      <c r="P206" s="337">
        <v>-2.2350227939313733E-5</v>
      </c>
      <c r="Q206" s="338">
        <v>-1.1278891183541745E-5</v>
      </c>
    </row>
    <row r="207" spans="2:17" x14ac:dyDescent="0.25">
      <c r="B207" s="48">
        <v>3</v>
      </c>
      <c r="C207" s="49">
        <v>1</v>
      </c>
      <c r="D207" s="50" t="s">
        <v>188</v>
      </c>
      <c r="E207" s="336">
        <v>6.5073737129569056E-2</v>
      </c>
      <c r="F207" s="337">
        <v>0.22959752480189002</v>
      </c>
      <c r="G207" s="337">
        <v>0.31769236226876585</v>
      </c>
      <c r="H207" s="337">
        <v>0.28678474128246301</v>
      </c>
      <c r="I207" s="337">
        <v>0.25048888027667998</v>
      </c>
      <c r="J207" s="337">
        <v>0.34004665116469079</v>
      </c>
      <c r="K207" s="337">
        <v>0.4485868016878764</v>
      </c>
      <c r="L207" s="337">
        <v>0.82433754404385895</v>
      </c>
      <c r="M207" s="337">
        <v>1.2306088725725812</v>
      </c>
      <c r="N207" s="337">
        <v>0.36524160206317907</v>
      </c>
      <c r="O207" s="337">
        <v>0.44734448393185938</v>
      </c>
      <c r="P207" s="337">
        <v>0.73949752648671474</v>
      </c>
      <c r="Q207" s="338">
        <v>0.34216070089861761</v>
      </c>
    </row>
    <row r="208" spans="2:17" x14ac:dyDescent="0.25">
      <c r="B208" s="48">
        <v>3</v>
      </c>
      <c r="C208" s="49">
        <v>1</v>
      </c>
      <c r="D208" s="50" t="s">
        <v>189</v>
      </c>
      <c r="E208" s="336">
        <v>1.1728861765023111E-4</v>
      </c>
      <c r="F208" s="337">
        <v>-1.4326469343164249E-3</v>
      </c>
      <c r="G208" s="337">
        <v>-2.0882721495378317E-3</v>
      </c>
      <c r="H208" s="337">
        <v>-2.0316446166725676E-3</v>
      </c>
      <c r="I208" s="337">
        <v>-8.9998269437731662E-5</v>
      </c>
      <c r="J208" s="337">
        <v>-4.1137891875838817E-4</v>
      </c>
      <c r="K208" s="337">
        <v>-5.2047324625205458E-5</v>
      </c>
      <c r="L208" s="337">
        <v>-2.1334595532499011E-3</v>
      </c>
      <c r="M208" s="337">
        <v>-3.6896867571918249E-2</v>
      </c>
      <c r="N208" s="337">
        <v>1.1838558213184544E-3</v>
      </c>
      <c r="O208" s="337">
        <v>6.0175980767632926E-3</v>
      </c>
      <c r="P208" s="337">
        <v>-2.8612918995477568E-3</v>
      </c>
      <c r="Q208" s="338">
        <v>-1.6893758561220746E-3</v>
      </c>
    </row>
    <row r="209" spans="2:17" x14ac:dyDescent="0.25">
      <c r="B209" s="48">
        <v>3</v>
      </c>
      <c r="C209" s="49">
        <v>1</v>
      </c>
      <c r="D209" s="50" t="s">
        <v>190</v>
      </c>
      <c r="E209" s="336">
        <v>-1.0524624372487337E-4</v>
      </c>
      <c r="F209" s="337">
        <v>3.8971359426880693E-4</v>
      </c>
      <c r="G209" s="337">
        <v>7.2579482670152699E-4</v>
      </c>
      <c r="H209" s="337">
        <v>1.1439742672415593E-3</v>
      </c>
      <c r="I209" s="337">
        <v>8.5329284374808471E-4</v>
      </c>
      <c r="J209" s="337">
        <v>8.5283880554018259E-4</v>
      </c>
      <c r="K209" s="337">
        <v>5.5923489614939062E-4</v>
      </c>
      <c r="L209" s="337">
        <v>1.3798522504615354E-3</v>
      </c>
      <c r="M209" s="337">
        <v>4.9342936499691282E-3</v>
      </c>
      <c r="N209" s="337">
        <v>9.7697577710613047E-4</v>
      </c>
      <c r="O209" s="337">
        <v>9.517129988242443E-4</v>
      </c>
      <c r="P209" s="337">
        <v>2.9198316410010278E-3</v>
      </c>
      <c r="Q209" s="338">
        <v>8.9700361876585968E-4</v>
      </c>
    </row>
    <row r="210" spans="2:17" x14ac:dyDescent="0.25">
      <c r="B210" s="48">
        <v>3</v>
      </c>
      <c r="C210" s="49">
        <v>1</v>
      </c>
      <c r="D210" s="50" t="s">
        <v>191</v>
      </c>
      <c r="E210" s="336">
        <v>5.5687142559200661E-6</v>
      </c>
      <c r="F210" s="337">
        <v>-3.5544023751378708E-6</v>
      </c>
      <c r="G210" s="337">
        <v>-1.141395732447819E-5</v>
      </c>
      <c r="H210" s="337">
        <v>-2.4113787458261583E-5</v>
      </c>
      <c r="I210" s="337">
        <v>-1.7534052083310773E-5</v>
      </c>
      <c r="J210" s="337">
        <v>-1.2226116198759868E-5</v>
      </c>
      <c r="K210" s="337">
        <v>1.9000044270551034E-6</v>
      </c>
      <c r="L210" s="337">
        <v>2.9051330493410719E-7</v>
      </c>
      <c r="M210" s="337">
        <v>-7.6503895958357455E-5</v>
      </c>
      <c r="N210" s="337">
        <v>-1.9905214554687405E-5</v>
      </c>
      <c r="O210" s="337">
        <v>-1.7453061753960741E-5</v>
      </c>
      <c r="P210" s="337">
        <v>-5.4003253995955552E-5</v>
      </c>
      <c r="Q210" s="338">
        <v>-1.4196946849198504E-5</v>
      </c>
    </row>
    <row r="211" spans="2:17" x14ac:dyDescent="0.25">
      <c r="B211" s="48">
        <v>3</v>
      </c>
      <c r="C211" s="49">
        <v>2</v>
      </c>
      <c r="D211" s="50" t="s">
        <v>188</v>
      </c>
      <c r="E211" s="336">
        <v>5.1867525900403645E-2</v>
      </c>
      <c r="F211" s="337">
        <v>0.2155890136957169</v>
      </c>
      <c r="G211" s="337">
        <v>0.30389415820439653</v>
      </c>
      <c r="H211" s="337">
        <v>0.27128229737281817</v>
      </c>
      <c r="I211" s="337">
        <v>0.22964802185694369</v>
      </c>
      <c r="J211" s="337">
        <v>0.31309126714865376</v>
      </c>
      <c r="K211" s="337">
        <v>0.39793063004811602</v>
      </c>
      <c r="L211" s="337">
        <v>0.75312147537867236</v>
      </c>
      <c r="M211" s="337">
        <v>1.0196641246477764</v>
      </c>
      <c r="N211" s="337">
        <v>0.33716308772563947</v>
      </c>
      <c r="O211" s="337">
        <v>0.42502978642781564</v>
      </c>
      <c r="P211" s="337">
        <v>0.74560906887054446</v>
      </c>
      <c r="Q211" s="338">
        <v>0.31804787623509773</v>
      </c>
    </row>
    <row r="212" spans="2:17" x14ac:dyDescent="0.25">
      <c r="B212" s="48">
        <v>3</v>
      </c>
      <c r="C212" s="49">
        <v>2</v>
      </c>
      <c r="D212" s="50" t="s">
        <v>189</v>
      </c>
      <c r="E212" s="336">
        <v>1.259882539646774E-3</v>
      </c>
      <c r="F212" s="337">
        <v>5.2326623272228902E-4</v>
      </c>
      <c r="G212" s="337">
        <v>1.7452333773766213E-4</v>
      </c>
      <c r="H212" s="337">
        <v>8.8803576075387712E-4</v>
      </c>
      <c r="I212" s="337">
        <v>2.9415607730269937E-3</v>
      </c>
      <c r="J212" s="337">
        <v>3.6310617838752513E-3</v>
      </c>
      <c r="K212" s="337">
        <v>6.9674934436391471E-3</v>
      </c>
      <c r="L212" s="337">
        <v>8.9171651892635886E-3</v>
      </c>
      <c r="M212" s="337">
        <v>5.7056800816164908E-3</v>
      </c>
      <c r="N212" s="337">
        <v>4.953535972705766E-3</v>
      </c>
      <c r="O212" s="337">
        <v>9.34261257855022E-3</v>
      </c>
      <c r="P212" s="337">
        <v>-2.0951694101905994E-3</v>
      </c>
      <c r="Q212" s="338">
        <v>2.2191153330042256E-3</v>
      </c>
    </row>
    <row r="213" spans="2:17" x14ac:dyDescent="0.25">
      <c r="B213" s="48">
        <v>3</v>
      </c>
      <c r="C213" s="49">
        <v>2</v>
      </c>
      <c r="D213" s="50" t="s">
        <v>190</v>
      </c>
      <c r="E213" s="336">
        <v>-8.5074909352686866E-5</v>
      </c>
      <c r="F213" s="337">
        <v>3.3014447651890321E-4</v>
      </c>
      <c r="G213" s="337">
        <v>6.2977722769989549E-4</v>
      </c>
      <c r="H213" s="337">
        <v>1.0016484963240911E-3</v>
      </c>
      <c r="I213" s="337">
        <v>7.5088039318442457E-4</v>
      </c>
      <c r="J213" s="337">
        <v>7.1726513197233033E-4</v>
      </c>
      <c r="K213" s="337">
        <v>3.5822339842230395E-4</v>
      </c>
      <c r="L213" s="337">
        <v>9.8455231853854307E-4</v>
      </c>
      <c r="M213" s="337">
        <v>2.3893551566661901E-3</v>
      </c>
      <c r="N213" s="337">
        <v>8.8802158033653698E-4</v>
      </c>
      <c r="O213" s="337">
        <v>9.8637864862010966E-4</v>
      </c>
      <c r="P213" s="337">
        <v>3.3215275924383652E-3</v>
      </c>
      <c r="Q213" s="338">
        <v>7.5219370927314419E-4</v>
      </c>
    </row>
    <row r="214" spans="2:17" x14ac:dyDescent="0.25">
      <c r="B214" s="48">
        <v>3</v>
      </c>
      <c r="C214" s="49">
        <v>2</v>
      </c>
      <c r="D214" s="50" t="s">
        <v>191</v>
      </c>
      <c r="E214" s="336">
        <v>3.2799188358812065E-6</v>
      </c>
      <c r="F214" s="337">
        <v>-3.7409545363107218E-6</v>
      </c>
      <c r="G214" s="337">
        <v>-1.055032822427216E-5</v>
      </c>
      <c r="H214" s="337">
        <v>-2.2258533551281799E-5</v>
      </c>
      <c r="I214" s="337">
        <v>-1.7381049605794138E-5</v>
      </c>
      <c r="J214" s="337">
        <v>-1.2128332393893737E-5</v>
      </c>
      <c r="K214" s="337">
        <v>8.9050285813418789E-7</v>
      </c>
      <c r="L214" s="337">
        <v>2.060777333325489E-6</v>
      </c>
      <c r="M214" s="337">
        <v>-2.8046729403497927E-5</v>
      </c>
      <c r="N214" s="337">
        <v>-2.126094162255745E-5</v>
      </c>
      <c r="O214" s="337">
        <v>-2.3456947427900128E-5</v>
      </c>
      <c r="P214" s="337">
        <v>-7.2828098182170728E-5</v>
      </c>
      <c r="Q214" s="338">
        <v>-1.3503301392107497E-5</v>
      </c>
    </row>
    <row r="215" spans="2:17" x14ac:dyDescent="0.25">
      <c r="B215" s="48">
        <v>3</v>
      </c>
      <c r="C215" s="49">
        <v>3</v>
      </c>
      <c r="D215" s="50" t="s">
        <v>188</v>
      </c>
      <c r="E215" s="336">
        <v>4.5186060915390652E-2</v>
      </c>
      <c r="F215" s="337">
        <v>0.21832751482725143</v>
      </c>
      <c r="G215" s="337">
        <v>0.31080481509367625</v>
      </c>
      <c r="H215" s="337">
        <v>0.28612926801045746</v>
      </c>
      <c r="I215" s="337">
        <v>0.23244499464829757</v>
      </c>
      <c r="J215" s="337">
        <v>0.32039169669151318</v>
      </c>
      <c r="K215" s="337">
        <v>0.41269593636194857</v>
      </c>
      <c r="L215" s="337">
        <v>0.75382394591967261</v>
      </c>
      <c r="M215" s="337">
        <v>1.0622949719429013</v>
      </c>
      <c r="N215" s="337">
        <v>0.34721579253673551</v>
      </c>
      <c r="O215" s="337">
        <v>0.49627541502316797</v>
      </c>
      <c r="P215" s="337">
        <v>0.89630624055862418</v>
      </c>
      <c r="Q215" s="338">
        <v>0.33175410102556158</v>
      </c>
    </row>
    <row r="216" spans="2:17" x14ac:dyDescent="0.25">
      <c r="B216" s="48">
        <v>3</v>
      </c>
      <c r="C216" s="49">
        <v>3</v>
      </c>
      <c r="D216" s="50" t="s">
        <v>189</v>
      </c>
      <c r="E216" s="336">
        <v>6.2818147412847716E-4</v>
      </c>
      <c r="F216" s="337">
        <v>1.1632247916954703E-3</v>
      </c>
      <c r="G216" s="337">
        <v>1.447471245116002E-3</v>
      </c>
      <c r="H216" s="337">
        <v>2.4405518009760446E-3</v>
      </c>
      <c r="I216" s="337">
        <v>4.1263424635813728E-3</v>
      </c>
      <c r="J216" s="337">
        <v>5.0947016688307929E-3</v>
      </c>
      <c r="K216" s="337">
        <v>6.2273841614675024E-3</v>
      </c>
      <c r="L216" s="337">
        <v>1.4825483470020532E-2</v>
      </c>
      <c r="M216" s="337">
        <v>1.2866838446586091E-2</v>
      </c>
      <c r="N216" s="337">
        <v>4.3627313991665452E-3</v>
      </c>
      <c r="O216" s="337">
        <v>9.0557795246627229E-3</v>
      </c>
      <c r="P216" s="337">
        <v>8.0189234935320024E-3</v>
      </c>
      <c r="Q216" s="338">
        <v>3.4642956560663935E-3</v>
      </c>
    </row>
    <row r="217" spans="2:17" x14ac:dyDescent="0.25">
      <c r="B217" s="48">
        <v>3</v>
      </c>
      <c r="C217" s="49">
        <v>3</v>
      </c>
      <c r="D217" s="50" t="s">
        <v>190</v>
      </c>
      <c r="E217" s="336">
        <v>6.9661436077111998E-5</v>
      </c>
      <c r="F217" s="337">
        <v>2.7645961978496603E-4</v>
      </c>
      <c r="G217" s="337">
        <v>4.7626698472144255E-4</v>
      </c>
      <c r="H217" s="337">
        <v>7.9520021094170294E-4</v>
      </c>
      <c r="I217" s="337">
        <v>6.6981821522845851E-4</v>
      </c>
      <c r="J217" s="337">
        <v>6.1434264661688128E-4</v>
      </c>
      <c r="K217" s="337">
        <v>5.6526126960913337E-4</v>
      </c>
      <c r="L217" s="337">
        <v>6.7219979592136327E-4</v>
      </c>
      <c r="M217" s="337">
        <v>1.6950629912056219E-3</v>
      </c>
      <c r="N217" s="337">
        <v>1.0260390530238354E-3</v>
      </c>
      <c r="O217" s="337">
        <v>1.0210036415181259E-3</v>
      </c>
      <c r="P217" s="337">
        <v>1.6694794515351903E-3</v>
      </c>
      <c r="Q217" s="338">
        <v>6.3156263504420766E-4</v>
      </c>
    </row>
    <row r="218" spans="2:17" x14ac:dyDescent="0.25">
      <c r="B218" s="48">
        <v>3</v>
      </c>
      <c r="C218" s="49">
        <v>3</v>
      </c>
      <c r="D218" s="50" t="s">
        <v>191</v>
      </c>
      <c r="E218" s="336">
        <v>-2.0937231407669469E-6</v>
      </c>
      <c r="F218" s="337">
        <v>-2.8396709138279924E-6</v>
      </c>
      <c r="G218" s="337">
        <v>-6.6597335961037601E-6</v>
      </c>
      <c r="H218" s="337">
        <v>-1.7071693481496918E-5</v>
      </c>
      <c r="I218" s="337">
        <v>-1.6264709345156919E-5</v>
      </c>
      <c r="J218" s="337">
        <v>-1.0838384053321883E-5</v>
      </c>
      <c r="K218" s="337">
        <v>-7.7398079964849693E-6</v>
      </c>
      <c r="L218" s="337">
        <v>5.5272685017990168E-6</v>
      </c>
      <c r="M218" s="337">
        <v>-1.1991874460295757E-5</v>
      </c>
      <c r="N218" s="337">
        <v>-2.6873677604265204E-5</v>
      </c>
      <c r="O218" s="337">
        <v>-2.6395091412136023E-5</v>
      </c>
      <c r="P218" s="337">
        <v>-2.1502887938684062E-5</v>
      </c>
      <c r="Q218" s="338">
        <v>-1.1139227096903231E-5</v>
      </c>
    </row>
    <row r="219" spans="2:17" x14ac:dyDescent="0.25">
      <c r="B219" s="48">
        <v>4</v>
      </c>
      <c r="C219" s="49">
        <v>1</v>
      </c>
      <c r="D219" s="50" t="s">
        <v>188</v>
      </c>
      <c r="E219" s="336">
        <v>6.5076017379760737E-2</v>
      </c>
      <c r="F219" s="337">
        <v>0.22960067292054492</v>
      </c>
      <c r="G219" s="337">
        <v>0.31769586006800338</v>
      </c>
      <c r="H219" s="337">
        <v>0.28678922355175024</v>
      </c>
      <c r="I219" s="337">
        <v>0.25049379567305247</v>
      </c>
      <c r="J219" s="337">
        <v>0.34005125761032107</v>
      </c>
      <c r="K219" s="337">
        <v>0.44859792093435924</v>
      </c>
      <c r="L219" s="337">
        <v>0.87575716574986784</v>
      </c>
      <c r="M219" s="337">
        <v>1.2621151725451156</v>
      </c>
      <c r="N219" s="337">
        <v>0.36524644096692416</v>
      </c>
      <c r="O219" s="337">
        <v>0.44734834035237636</v>
      </c>
      <c r="P219" s="337">
        <v>0.76602267026901272</v>
      </c>
      <c r="Q219" s="338">
        <v>0.34486796017487853</v>
      </c>
    </row>
    <row r="220" spans="2:17" x14ac:dyDescent="0.25">
      <c r="B220" s="48">
        <v>4</v>
      </c>
      <c r="C220" s="49">
        <v>1</v>
      </c>
      <c r="D220" s="50" t="s">
        <v>189</v>
      </c>
      <c r="E220" s="336">
        <v>1.1772930871032783E-4</v>
      </c>
      <c r="F220" s="337">
        <v>-1.4321456555488395E-3</v>
      </c>
      <c r="G220" s="337">
        <v>-2.0877659008219649E-3</v>
      </c>
      <c r="H220" s="337">
        <v>-2.0310644381668834E-3</v>
      </c>
      <c r="I220" s="337">
        <v>-8.9450122060566616E-5</v>
      </c>
      <c r="J220" s="337">
        <v>-4.1039244625674188E-4</v>
      </c>
      <c r="K220" s="337">
        <v>-5.109581254023272E-5</v>
      </c>
      <c r="L220" s="337">
        <v>-1.544195259599233E-2</v>
      </c>
      <c r="M220" s="337">
        <v>-5.4429537639102993E-2</v>
      </c>
      <c r="N220" s="337">
        <v>1.1846101737892885E-3</v>
      </c>
      <c r="O220" s="337">
        <v>6.018825900026694E-3</v>
      </c>
      <c r="P220" s="337">
        <v>-1.2761365468870719E-2</v>
      </c>
      <c r="Q220" s="338">
        <v>-2.6367024130390286E-3</v>
      </c>
    </row>
    <row r="221" spans="2:17" x14ac:dyDescent="0.25">
      <c r="B221" s="48">
        <v>4</v>
      </c>
      <c r="C221" s="49">
        <v>1</v>
      </c>
      <c r="D221" s="50" t="s">
        <v>190</v>
      </c>
      <c r="E221" s="336">
        <v>-1.0531757348206253E-4</v>
      </c>
      <c r="F221" s="337">
        <v>3.8959609348943438E-4</v>
      </c>
      <c r="G221" s="337">
        <v>7.2566005629259519E-4</v>
      </c>
      <c r="H221" s="337">
        <v>1.1438110404775978E-3</v>
      </c>
      <c r="I221" s="337">
        <v>8.5314843447614069E-4</v>
      </c>
      <c r="J221" s="337">
        <v>8.5262952932527874E-4</v>
      </c>
      <c r="K221" s="337">
        <v>5.5896570267794006E-4</v>
      </c>
      <c r="L221" s="337">
        <v>2.5998441142079977E-3</v>
      </c>
      <c r="M221" s="337">
        <v>7.3819482798898753E-3</v>
      </c>
      <c r="N221" s="337">
        <v>9.7681671849914531E-4</v>
      </c>
      <c r="O221" s="337">
        <v>9.5150431309824475E-4</v>
      </c>
      <c r="P221" s="337">
        <v>4.0587839043084847E-3</v>
      </c>
      <c r="Q221" s="338">
        <v>1.0051930749828014E-3</v>
      </c>
    </row>
    <row r="222" spans="2:17" x14ac:dyDescent="0.25">
      <c r="B222" s="48">
        <v>4</v>
      </c>
      <c r="C222" s="49">
        <v>1</v>
      </c>
      <c r="D222" s="50" t="s">
        <v>191</v>
      </c>
      <c r="E222" s="336">
        <v>5.5707946257621005E-6</v>
      </c>
      <c r="F222" s="337">
        <v>-3.5509379564696863E-6</v>
      </c>
      <c r="G222" s="337">
        <v>-1.1409956327963026E-5</v>
      </c>
      <c r="H222" s="337">
        <v>-2.4108913030240951E-5</v>
      </c>
      <c r="I222" s="337">
        <v>-1.7529710253126038E-5</v>
      </c>
      <c r="J222" s="337">
        <v>-1.2220252557095405E-5</v>
      </c>
      <c r="K222" s="337">
        <v>1.9081301622457483E-6</v>
      </c>
      <c r="L222" s="337">
        <v>-3.6926521820529249E-5</v>
      </c>
      <c r="M222" s="337">
        <v>-1.7192471474293349E-4</v>
      </c>
      <c r="N222" s="337">
        <v>-1.9900764902386499E-5</v>
      </c>
      <c r="O222" s="337">
        <v>-1.7447579469714126E-5</v>
      </c>
      <c r="P222" s="337">
        <v>-9.3239015829405704E-5</v>
      </c>
      <c r="Q222" s="338">
        <v>-1.8002417618039937E-5</v>
      </c>
    </row>
    <row r="223" spans="2:17" x14ac:dyDescent="0.25">
      <c r="B223" s="48">
        <v>4</v>
      </c>
      <c r="C223" s="49">
        <v>2</v>
      </c>
      <c r="D223" s="50" t="s">
        <v>188</v>
      </c>
      <c r="E223" s="336">
        <v>5.1868955418467505E-2</v>
      </c>
      <c r="F223" s="337">
        <v>0.21558909614880881</v>
      </c>
      <c r="G223" s="337">
        <v>0.30389368534088135</v>
      </c>
      <c r="H223" s="337">
        <v>0.27128191987673461</v>
      </c>
      <c r="I223" s="337">
        <v>0.22964907288551334</v>
      </c>
      <c r="J223" s="337">
        <v>0.31309145887692785</v>
      </c>
      <c r="K223" s="337">
        <v>0.39793325364589688</v>
      </c>
      <c r="L223" s="337">
        <v>0.76552345951398215</v>
      </c>
      <c r="M223" s="337">
        <v>1.0513694127400715</v>
      </c>
      <c r="N223" s="337">
        <v>0.33716435929139477</v>
      </c>
      <c r="O223" s="337">
        <v>0.42502972483634949</v>
      </c>
      <c r="P223" s="337">
        <v>0.76018729408582075</v>
      </c>
      <c r="Q223" s="338">
        <v>0.31934581496939074</v>
      </c>
    </row>
    <row r="224" spans="2:17" x14ac:dyDescent="0.25">
      <c r="B224" s="48">
        <v>4</v>
      </c>
      <c r="C224" s="49">
        <v>2</v>
      </c>
      <c r="D224" s="50" t="s">
        <v>189</v>
      </c>
      <c r="E224" s="336">
        <v>1.2602313441928527E-3</v>
      </c>
      <c r="F224" s="337">
        <v>5.2396045663417943E-4</v>
      </c>
      <c r="G224" s="337">
        <v>1.7535213522884582E-4</v>
      </c>
      <c r="H224" s="337">
        <v>8.8909178648049754E-4</v>
      </c>
      <c r="I224" s="337">
        <v>2.9424316168016468E-3</v>
      </c>
      <c r="J224" s="337">
        <v>3.6322237242073646E-3</v>
      </c>
      <c r="K224" s="337">
        <v>6.9691261657236683E-3</v>
      </c>
      <c r="L224" s="337">
        <v>2.3302485371803207E-3</v>
      </c>
      <c r="M224" s="337">
        <v>-1.1956045399734806E-2</v>
      </c>
      <c r="N224" s="337">
        <v>4.9543899122882545E-3</v>
      </c>
      <c r="O224" s="337">
        <v>9.3435842743564475E-3</v>
      </c>
      <c r="P224" s="337">
        <v>-9.8479334395248641E-3</v>
      </c>
      <c r="Q224" s="338">
        <v>1.5140648070894802E-3</v>
      </c>
    </row>
    <row r="225" spans="2:17" x14ac:dyDescent="0.25">
      <c r="B225" s="48">
        <v>4</v>
      </c>
      <c r="C225" s="49">
        <v>2</v>
      </c>
      <c r="D225" s="50" t="s">
        <v>190</v>
      </c>
      <c r="E225" s="336">
        <v>-8.5125362504890508E-5</v>
      </c>
      <c r="F225" s="337">
        <v>3.3004031167094229E-4</v>
      </c>
      <c r="G225" s="337">
        <v>6.296509455689744E-4</v>
      </c>
      <c r="H225" s="337">
        <v>1.001486163977147E-3</v>
      </c>
      <c r="I225" s="337">
        <v>7.5074308714666749E-4</v>
      </c>
      <c r="J225" s="337">
        <v>7.1708506759091475E-4</v>
      </c>
      <c r="K225" s="337">
        <v>3.5797026972253678E-4</v>
      </c>
      <c r="L225" s="337">
        <v>1.8506146498493364E-3</v>
      </c>
      <c r="M225" s="337">
        <v>4.8559987808996768E-3</v>
      </c>
      <c r="N225" s="337">
        <v>8.8789027904992359E-4</v>
      </c>
      <c r="O225" s="337">
        <v>9.8623824251559632E-4</v>
      </c>
      <c r="P225" s="337">
        <v>4.3409974216581226E-3</v>
      </c>
      <c r="Q225" s="338">
        <v>8.4776848730455624E-4</v>
      </c>
    </row>
    <row r="226" spans="2:17" x14ac:dyDescent="0.25">
      <c r="B226" s="48">
        <v>4</v>
      </c>
      <c r="C226" s="49">
        <v>2</v>
      </c>
      <c r="D226" s="50" t="s">
        <v>191</v>
      </c>
      <c r="E226" s="336">
        <v>3.2812818087400174E-6</v>
      </c>
      <c r="F226" s="337">
        <v>-3.7382777980018575E-6</v>
      </c>
      <c r="G226" s="337">
        <v>-1.0547085600762578E-5</v>
      </c>
      <c r="H226" s="337">
        <v>-2.2254319081449221E-5</v>
      </c>
      <c r="I226" s="337">
        <v>-1.7377405362992538E-5</v>
      </c>
      <c r="J226" s="337">
        <v>-1.2123846559674699E-5</v>
      </c>
      <c r="K226" s="337">
        <v>8.9711040003691209E-7</v>
      </c>
      <c r="L226" s="337">
        <v>-2.9518440504729848E-5</v>
      </c>
      <c r="M226" s="337">
        <v>-1.2422943518156234E-4</v>
      </c>
      <c r="N226" s="337">
        <v>-2.1257688868110802E-5</v>
      </c>
      <c r="O226" s="337">
        <v>-2.3453763419097992E-5</v>
      </c>
      <c r="P226" s="337">
        <v>-1.0999953395975777E-4</v>
      </c>
      <c r="Q226" s="338">
        <v>-1.7114447012056056E-5</v>
      </c>
    </row>
    <row r="227" spans="2:17" x14ac:dyDescent="0.25">
      <c r="B227" s="48">
        <v>4</v>
      </c>
      <c r="C227" s="49">
        <v>3</v>
      </c>
      <c r="D227" s="50" t="s">
        <v>188</v>
      </c>
      <c r="E227" s="336">
        <v>4.5186335965991024E-2</v>
      </c>
      <c r="F227" s="337">
        <v>0.21832546840111414</v>
      </c>
      <c r="G227" s="337">
        <v>0.31080187559127814</v>
      </c>
      <c r="H227" s="337">
        <v>0.28612591723601033</v>
      </c>
      <c r="I227" s="337">
        <v>0.23244342207908628</v>
      </c>
      <c r="J227" s="337">
        <v>0.32038816114266699</v>
      </c>
      <c r="K227" s="337">
        <v>0.41269231438636778</v>
      </c>
      <c r="L227" s="337">
        <v>0.76622127890586833</v>
      </c>
      <c r="M227" s="337">
        <v>1.093762715657552</v>
      </c>
      <c r="N227" s="337">
        <v>0.34721343517303449</v>
      </c>
      <c r="O227" s="337">
        <v>0.49627248843510963</v>
      </c>
      <c r="P227" s="337">
        <v>0.91077805360158282</v>
      </c>
      <c r="Q227" s="338">
        <v>0.33304233553136386</v>
      </c>
    </row>
    <row r="228" spans="2:17" x14ac:dyDescent="0.25">
      <c r="B228" s="48">
        <v>4</v>
      </c>
      <c r="C228" s="49">
        <v>3</v>
      </c>
      <c r="D228" s="50" t="s">
        <v>189</v>
      </c>
      <c r="E228" s="336">
        <v>6.282995722713202E-4</v>
      </c>
      <c r="F228" s="337">
        <v>1.1636352046409573E-3</v>
      </c>
      <c r="G228" s="337">
        <v>1.4479871037493576E-3</v>
      </c>
      <c r="H228" s="337">
        <v>2.4411128899017366E-3</v>
      </c>
      <c r="I228" s="337">
        <v>4.1269956340415559E-3</v>
      </c>
      <c r="J228" s="337">
        <v>5.0955231807310016E-3</v>
      </c>
      <c r="K228" s="337">
        <v>6.2283647840765868E-3</v>
      </c>
      <c r="L228" s="337">
        <v>8.2333099904594378E-3</v>
      </c>
      <c r="M228" s="337">
        <v>-4.6771122627510256E-3</v>
      </c>
      <c r="N228" s="337">
        <v>4.3633123042052186E-3</v>
      </c>
      <c r="O228" s="337">
        <v>9.0563858236187844E-3</v>
      </c>
      <c r="P228" s="337">
        <v>3.2052235632975379E-4</v>
      </c>
      <c r="Q228" s="338">
        <v>2.7621953598771509E-3</v>
      </c>
    </row>
    <row r="229" spans="2:17" x14ac:dyDescent="0.25">
      <c r="B229" s="48">
        <v>4</v>
      </c>
      <c r="C229" s="49">
        <v>3</v>
      </c>
      <c r="D229" s="50" t="s">
        <v>190</v>
      </c>
      <c r="E229" s="336">
        <v>6.9649507984137106E-5</v>
      </c>
      <c r="F229" s="337">
        <v>2.7641352691572501E-4</v>
      </c>
      <c r="G229" s="337">
        <v>4.7620850895251429E-4</v>
      </c>
      <c r="H229" s="337">
        <v>7.951360907935322E-4</v>
      </c>
      <c r="I229" s="337">
        <v>6.6974193361394663E-4</v>
      </c>
      <c r="J229" s="337">
        <v>6.1424744764824633E-4</v>
      </c>
      <c r="K229" s="337">
        <v>5.6514341931243107E-4</v>
      </c>
      <c r="L229" s="337">
        <v>1.5391372665241832E-3</v>
      </c>
      <c r="M229" s="337">
        <v>4.1463809274571214E-3</v>
      </c>
      <c r="N229" s="337">
        <v>1.0259702654082145E-3</v>
      </c>
      <c r="O229" s="337">
        <v>1.0209347366730976E-3</v>
      </c>
      <c r="P229" s="337">
        <v>2.6818851664627595E-3</v>
      </c>
      <c r="Q229" s="338">
        <v>7.2678637462895925E-4</v>
      </c>
    </row>
    <row r="230" spans="2:17" x14ac:dyDescent="0.25">
      <c r="B230" s="48">
        <v>4</v>
      </c>
      <c r="C230" s="49">
        <v>3</v>
      </c>
      <c r="D230" s="50" t="s">
        <v>191</v>
      </c>
      <c r="E230" s="336">
        <v>-2.0935745235379169E-6</v>
      </c>
      <c r="F230" s="337">
        <v>-2.8389429336336787E-6</v>
      </c>
      <c r="G230" s="337">
        <v>-6.6588210881265856E-6</v>
      </c>
      <c r="H230" s="337">
        <v>-1.7070799788117157E-5</v>
      </c>
      <c r="I230" s="337">
        <v>-1.6263283777579672E-5</v>
      </c>
      <c r="J230" s="337">
        <v>-1.083685645273511E-5</v>
      </c>
      <c r="K230" s="337">
        <v>-7.7375683357480557E-6</v>
      </c>
      <c r="L230" s="337">
        <v>-2.608458687375463E-5</v>
      </c>
      <c r="M230" s="337">
        <v>-1.0761459413756681E-4</v>
      </c>
      <c r="N230" s="337">
        <v>-2.6872451760876249E-5</v>
      </c>
      <c r="O230" s="337">
        <v>-2.6394176733243842E-5</v>
      </c>
      <c r="P230" s="337">
        <v>-5.8417608664771152E-5</v>
      </c>
      <c r="Q230" s="338">
        <v>-1.4737391379996862E-5</v>
      </c>
    </row>
    <row r="231" spans="2:17" x14ac:dyDescent="0.25">
      <c r="B231" s="48">
        <v>5</v>
      </c>
      <c r="C231" s="49">
        <v>1</v>
      </c>
      <c r="D231" s="50" t="s">
        <v>188</v>
      </c>
      <c r="E231" s="336">
        <v>6.5625555316607145E-2</v>
      </c>
      <c r="F231" s="337">
        <v>0.23413065175215403</v>
      </c>
      <c r="G231" s="337">
        <v>0.32385511497656511</v>
      </c>
      <c r="H231" s="337">
        <v>0.29416515330473592</v>
      </c>
      <c r="I231" s="337">
        <v>0.25556528568267828</v>
      </c>
      <c r="J231" s="337">
        <v>0.34825791120529193</v>
      </c>
      <c r="K231" s="337">
        <v>0.45704613824685414</v>
      </c>
      <c r="L231" s="337">
        <v>0.91697504123051976</v>
      </c>
      <c r="M231" s="337">
        <v>1.2235940456390388</v>
      </c>
      <c r="N231" s="337">
        <v>0.37059963345527658</v>
      </c>
      <c r="O231" s="337">
        <v>0.45436438520749411</v>
      </c>
      <c r="P231" s="337">
        <v>0.77935256759325688</v>
      </c>
      <c r="Q231" s="338">
        <v>0.35120234265923511</v>
      </c>
    </row>
    <row r="232" spans="2:17" x14ac:dyDescent="0.25">
      <c r="B232" s="48">
        <v>5</v>
      </c>
      <c r="C232" s="49">
        <v>1</v>
      </c>
      <c r="D232" s="50" t="s">
        <v>189</v>
      </c>
      <c r="E232" s="336">
        <v>-1.8912587364051226E-4</v>
      </c>
      <c r="F232" s="337">
        <v>-4.0030510258146747E-3</v>
      </c>
      <c r="G232" s="337">
        <v>-5.5855887492636883E-3</v>
      </c>
      <c r="H232" s="337">
        <v>-6.2476148526383534E-3</v>
      </c>
      <c r="I232" s="337">
        <v>-3.0139644963850742E-3</v>
      </c>
      <c r="J232" s="337">
        <v>-5.2070696118180406E-3</v>
      </c>
      <c r="K232" s="337">
        <v>-4.9651188757082456E-3</v>
      </c>
      <c r="L232" s="337">
        <v>-2.4912976591088792E-2</v>
      </c>
      <c r="M232" s="337">
        <v>-3.6194590444979906E-2</v>
      </c>
      <c r="N232" s="337">
        <v>-1.9199843312199193E-3</v>
      </c>
      <c r="O232" s="337">
        <v>1.9123161786178552E-3</v>
      </c>
      <c r="P232" s="337">
        <v>-1.7193377209015474E-2</v>
      </c>
      <c r="Q232" s="338">
        <v>-5.8570476935158973E-3</v>
      </c>
    </row>
    <row r="233" spans="2:17" x14ac:dyDescent="0.25">
      <c r="B233" s="48">
        <v>5</v>
      </c>
      <c r="C233" s="49">
        <v>1</v>
      </c>
      <c r="D233" s="50" t="s">
        <v>190</v>
      </c>
      <c r="E233" s="336">
        <v>-6.2329240907461547E-5</v>
      </c>
      <c r="F233" s="337">
        <v>7.5697351577051384E-4</v>
      </c>
      <c r="G233" s="337">
        <v>1.2258739060872102E-3</v>
      </c>
      <c r="H233" s="337">
        <v>1.752078368183063E-3</v>
      </c>
      <c r="I233" s="337">
        <v>1.2798748893059785E-3</v>
      </c>
      <c r="J233" s="337">
        <v>1.5645372466399161E-3</v>
      </c>
      <c r="K233" s="337">
        <v>1.284000040455298E-3</v>
      </c>
      <c r="L233" s="337">
        <v>3.6269322228737414E-3</v>
      </c>
      <c r="M233" s="337">
        <v>5.5286499448033866E-3</v>
      </c>
      <c r="N233" s="337">
        <v>1.4332118281326111E-3</v>
      </c>
      <c r="O233" s="337">
        <v>1.562182398595456E-3</v>
      </c>
      <c r="P233" s="337">
        <v>4.8832229853093285E-3</v>
      </c>
      <c r="Q233" s="338">
        <v>1.4807639921861225E-3</v>
      </c>
    </row>
    <row r="234" spans="2:17" x14ac:dyDescent="0.25">
      <c r="B234" s="48">
        <v>5</v>
      </c>
      <c r="C234" s="49">
        <v>1</v>
      </c>
      <c r="D234" s="50" t="s">
        <v>191</v>
      </c>
      <c r="E234" s="336">
        <v>3.8879193371363094E-6</v>
      </c>
      <c r="F234" s="337">
        <v>-1.8235427351334178E-5</v>
      </c>
      <c r="G234" s="337">
        <v>-3.1419565123972695E-5</v>
      </c>
      <c r="H234" s="337">
        <v>-4.8684256575370715E-5</v>
      </c>
      <c r="I234" s="337">
        <v>-3.4995501529549891E-5</v>
      </c>
      <c r="J234" s="337">
        <v>-4.1901973375027482E-5</v>
      </c>
      <c r="K234" s="337">
        <v>-2.813499157476907E-5</v>
      </c>
      <c r="L234" s="337">
        <v>-8.2929670034959311E-5</v>
      </c>
      <c r="M234" s="337">
        <v>-1.3658646913860447E-4</v>
      </c>
      <c r="N234" s="337">
        <v>-3.8738979031017126E-5</v>
      </c>
      <c r="O234" s="337">
        <v>-4.2969101885074665E-5</v>
      </c>
      <c r="P234" s="337">
        <v>-1.4166821376149216E-4</v>
      </c>
      <c r="Q234" s="338">
        <v>-3.8536500128560627E-5</v>
      </c>
    </row>
    <row r="235" spans="2:17" x14ac:dyDescent="0.25">
      <c r="B235" s="48">
        <v>5</v>
      </c>
      <c r="C235" s="49">
        <v>2</v>
      </c>
      <c r="D235" s="50" t="s">
        <v>188</v>
      </c>
      <c r="E235" s="336">
        <v>5.2413870021700851E-2</v>
      </c>
      <c r="F235" s="337">
        <v>0.22005590001742048</v>
      </c>
      <c r="G235" s="337">
        <v>0.30996762911478692</v>
      </c>
      <c r="H235" s="337">
        <v>0.27854682703812939</v>
      </c>
      <c r="I235" s="337">
        <v>0.23464999198913583</v>
      </c>
      <c r="J235" s="337">
        <v>0.32095860441525792</v>
      </c>
      <c r="K235" s="337">
        <v>0.40617492496967311</v>
      </c>
      <c r="L235" s="337">
        <v>0.76516376932462071</v>
      </c>
      <c r="M235" s="337">
        <v>1.0113650957743325</v>
      </c>
      <c r="N235" s="337">
        <v>0.34228290021419538</v>
      </c>
      <c r="O235" s="337">
        <v>0.43161433339118971</v>
      </c>
      <c r="P235" s="337">
        <v>0.75877247055371644</v>
      </c>
      <c r="Q235" s="338">
        <v>0.32398614626750361</v>
      </c>
    </row>
    <row r="236" spans="2:17" x14ac:dyDescent="0.25">
      <c r="B236" s="48">
        <v>5</v>
      </c>
      <c r="C236" s="49">
        <v>2</v>
      </c>
      <c r="D236" s="50" t="s">
        <v>189</v>
      </c>
      <c r="E236" s="336">
        <v>9.5572077908727794E-4</v>
      </c>
      <c r="F236" s="337">
        <v>-2.0148911207289173E-3</v>
      </c>
      <c r="G236" s="337">
        <v>-3.2792587206636153E-3</v>
      </c>
      <c r="H236" s="337">
        <v>-3.2735093762315702E-3</v>
      </c>
      <c r="I236" s="337">
        <v>5.4006439452005714E-5</v>
      </c>
      <c r="J236" s="337">
        <v>-9.9815430572632469E-4</v>
      </c>
      <c r="K236" s="337">
        <v>2.1520189697787E-3</v>
      </c>
      <c r="L236" s="337">
        <v>7.4041008416679056E-4</v>
      </c>
      <c r="M236" s="337">
        <v>7.0329271227977663E-3</v>
      </c>
      <c r="N236" s="337">
        <v>1.9662880657852718E-3</v>
      </c>
      <c r="O236" s="337">
        <v>5.4385173246669569E-3</v>
      </c>
      <c r="P236" s="337">
        <v>-1.1364942253006575E-2</v>
      </c>
      <c r="Q236" s="338">
        <v>-1.3366347015238719E-3</v>
      </c>
    </row>
    <row r="237" spans="2:17" x14ac:dyDescent="0.25">
      <c r="B237" s="48">
        <v>5</v>
      </c>
      <c r="C237" s="49">
        <v>2</v>
      </c>
      <c r="D237" s="50" t="s">
        <v>190</v>
      </c>
      <c r="E237" s="336">
        <v>-4.2419292310596005E-5</v>
      </c>
      <c r="F237" s="337">
        <v>6.935691443599746E-4</v>
      </c>
      <c r="G237" s="337">
        <v>1.1246925814724204E-3</v>
      </c>
      <c r="H237" s="337">
        <v>1.6037350116701442E-3</v>
      </c>
      <c r="I237" s="337">
        <v>1.1730762784714491E-3</v>
      </c>
      <c r="J237" s="337">
        <v>1.4102749465715084E-3</v>
      </c>
      <c r="K237" s="337">
        <v>1.0729565356786428E-3</v>
      </c>
      <c r="L237" s="337">
        <v>2.4115286750115458E-3</v>
      </c>
      <c r="M237" s="337">
        <v>2.9134519207171966E-3</v>
      </c>
      <c r="N237" s="337">
        <v>1.3308285459841349E-3</v>
      </c>
      <c r="O237" s="337">
        <v>1.5763812253386281E-3</v>
      </c>
      <c r="P237" s="337">
        <v>4.9895552141127446E-3</v>
      </c>
      <c r="Q237" s="338">
        <v>1.2973070437726898E-3</v>
      </c>
    </row>
    <row r="238" spans="2:17" x14ac:dyDescent="0.25">
      <c r="B238" s="48">
        <v>5</v>
      </c>
      <c r="C238" s="49">
        <v>2</v>
      </c>
      <c r="D238" s="50" t="s">
        <v>191</v>
      </c>
      <c r="E238" s="336">
        <v>1.6072609591375308E-6</v>
      </c>
      <c r="F238" s="337">
        <v>-1.83032423969888E-5</v>
      </c>
      <c r="G238" s="337">
        <v>-3.0396975107959982E-5</v>
      </c>
      <c r="H238" s="337">
        <v>-4.666587070105344E-5</v>
      </c>
      <c r="I238" s="337">
        <v>-3.4703435296686368E-5</v>
      </c>
      <c r="J238" s="337">
        <v>-4.129233410424195E-5</v>
      </c>
      <c r="K238" s="337">
        <v>-2.891751818167857E-5</v>
      </c>
      <c r="L238" s="337">
        <v>-6.7071361060557533E-5</v>
      </c>
      <c r="M238" s="337">
        <v>-8.6294896698035307E-5</v>
      </c>
      <c r="N238" s="337">
        <v>-3.970651029845783E-5</v>
      </c>
      <c r="O238" s="337">
        <v>-4.8536200889711202E-5</v>
      </c>
      <c r="P238" s="337">
        <v>-1.5550736184488862E-4</v>
      </c>
      <c r="Q238" s="338">
        <v>-3.7098535651879598E-5</v>
      </c>
    </row>
    <row r="239" spans="2:17" x14ac:dyDescent="0.25">
      <c r="B239" s="48">
        <v>5</v>
      </c>
      <c r="C239" s="49">
        <v>3</v>
      </c>
      <c r="D239" s="50" t="s">
        <v>188</v>
      </c>
      <c r="E239" s="336">
        <v>4.5694891984264061E-2</v>
      </c>
      <c r="F239" s="337">
        <v>0.22230176975329718</v>
      </c>
      <c r="G239" s="337">
        <v>0.31618407368659979</v>
      </c>
      <c r="H239" s="337">
        <v>0.29247248272101078</v>
      </c>
      <c r="I239" s="337">
        <v>0.23692268232504526</v>
      </c>
      <c r="J239" s="337">
        <v>0.32649667163689938</v>
      </c>
      <c r="K239" s="337">
        <v>0.41982170144716902</v>
      </c>
      <c r="L239" s="337">
        <v>0.76550537943840047</v>
      </c>
      <c r="M239" s="337">
        <v>1.0564448118209842</v>
      </c>
      <c r="N239" s="337">
        <v>0.35091018080711373</v>
      </c>
      <c r="O239" s="337">
        <v>0.50058913032213848</v>
      </c>
      <c r="P239" s="337">
        <v>0.90860800743103054</v>
      </c>
      <c r="Q239" s="338">
        <v>0.33689339225863424</v>
      </c>
    </row>
    <row r="240" spans="2:17" x14ac:dyDescent="0.25">
      <c r="B240" s="48">
        <v>5</v>
      </c>
      <c r="C240" s="49">
        <v>3</v>
      </c>
      <c r="D240" s="50" t="s">
        <v>189</v>
      </c>
      <c r="E240" s="336">
        <v>3.4145136177829238E-4</v>
      </c>
      <c r="F240" s="337">
        <v>-1.1359591025456787E-3</v>
      </c>
      <c r="G240" s="337">
        <v>-1.667360128963661E-3</v>
      </c>
      <c r="H240" s="337">
        <v>-1.2583525383898556E-3</v>
      </c>
      <c r="I240" s="337">
        <v>1.4969249687967238E-3</v>
      </c>
      <c r="J240" s="337">
        <v>1.3103220863636572E-3</v>
      </c>
      <c r="K240" s="337">
        <v>1.9338283493894671E-3</v>
      </c>
      <c r="L240" s="337">
        <v>6.8829657441900451E-3</v>
      </c>
      <c r="M240" s="337">
        <v>1.2968370547661373E-2</v>
      </c>
      <c r="N240" s="337">
        <v>2.0573204839146211E-3</v>
      </c>
      <c r="O240" s="337">
        <v>6.2826259558109981E-3</v>
      </c>
      <c r="P240" s="337">
        <v>-6.9449718089283519E-4</v>
      </c>
      <c r="Q240" s="338">
        <v>3.0241733311625022E-4</v>
      </c>
    </row>
    <row r="241" spans="2:17" x14ac:dyDescent="0.25">
      <c r="B241" s="48">
        <v>5</v>
      </c>
      <c r="C241" s="49">
        <v>3</v>
      </c>
      <c r="D241" s="50" t="s">
        <v>190</v>
      </c>
      <c r="E241" s="336">
        <v>1.1039344433234854E-4</v>
      </c>
      <c r="F241" s="337">
        <v>6.132620649460036E-4</v>
      </c>
      <c r="G241" s="337">
        <v>9.3301608376986588E-4</v>
      </c>
      <c r="H241" s="337">
        <v>1.3424527716317111E-3</v>
      </c>
      <c r="I241" s="337">
        <v>1.0624392162183515E-3</v>
      </c>
      <c r="J241" s="337">
        <v>1.2158872494539205E-3</v>
      </c>
      <c r="K241" s="337">
        <v>1.2261971206098186E-3</v>
      </c>
      <c r="L241" s="337">
        <v>2.0607365230163547E-3</v>
      </c>
      <c r="M241" s="337">
        <v>2.3600972650490207E-3</v>
      </c>
      <c r="N241" s="337">
        <v>1.394934739509385E-3</v>
      </c>
      <c r="O241" s="337">
        <v>1.4802552412300964E-3</v>
      </c>
      <c r="P241" s="337">
        <v>3.2484191871467506E-3</v>
      </c>
      <c r="Q241" s="338">
        <v>1.1315391212918895E-3</v>
      </c>
    </row>
    <row r="242" spans="2:17" x14ac:dyDescent="0.25">
      <c r="B242" s="48">
        <v>5</v>
      </c>
      <c r="C242" s="49">
        <v>3</v>
      </c>
      <c r="D242" s="50" t="s">
        <v>191</v>
      </c>
      <c r="E242" s="336">
        <v>-3.7150120105024224E-6</v>
      </c>
      <c r="F242" s="337">
        <v>-1.6688349314479757E-5</v>
      </c>
      <c r="G242" s="337">
        <v>-2.5459692582615459E-5</v>
      </c>
      <c r="H242" s="337">
        <v>-3.9817164735267997E-5</v>
      </c>
      <c r="I242" s="337">
        <v>-3.2747103583006908E-5</v>
      </c>
      <c r="J242" s="337">
        <v>-3.7705682061768988E-5</v>
      </c>
      <c r="K242" s="337">
        <v>-3.6360059156377135E-5</v>
      </c>
      <c r="L242" s="337">
        <v>-6.1949890138756676E-5</v>
      </c>
      <c r="M242" s="337">
        <v>-7.4201782336046223E-5</v>
      </c>
      <c r="N242" s="337">
        <v>-4.3441285324958131E-5</v>
      </c>
      <c r="O242" s="337">
        <v>-4.7747615982417318E-5</v>
      </c>
      <c r="P242" s="337">
        <v>-1.0038800855987113E-4</v>
      </c>
      <c r="Q242" s="338">
        <v>-3.345710190940034E-5</v>
      </c>
    </row>
    <row r="243" spans="2:17" x14ac:dyDescent="0.25">
      <c r="B243" s="48">
        <v>6</v>
      </c>
      <c r="C243" s="49">
        <v>1</v>
      </c>
      <c r="D243" s="50" t="s">
        <v>188</v>
      </c>
      <c r="E243" s="336">
        <v>6.5625555316607145E-2</v>
      </c>
      <c r="F243" s="337">
        <v>0.23413065175215403</v>
      </c>
      <c r="G243" s="337">
        <v>0.32385511497656511</v>
      </c>
      <c r="H243" s="337">
        <v>0.29416515330473592</v>
      </c>
      <c r="I243" s="337">
        <v>0.25556528568267828</v>
      </c>
      <c r="J243" s="337">
        <v>0.34825791120529193</v>
      </c>
      <c r="K243" s="337">
        <v>0.45704613824685414</v>
      </c>
      <c r="L243" s="337">
        <v>0.91697504123051976</v>
      </c>
      <c r="M243" s="337">
        <v>1.2235940456390388</v>
      </c>
      <c r="N243" s="337">
        <v>0.37059963345527658</v>
      </c>
      <c r="O243" s="337">
        <v>0.45436438520749411</v>
      </c>
      <c r="P243" s="337">
        <v>0.77935256759325688</v>
      </c>
      <c r="Q243" s="338">
        <v>0.35120234265923511</v>
      </c>
    </row>
    <row r="244" spans="2:17" x14ac:dyDescent="0.25">
      <c r="B244" s="48">
        <v>6</v>
      </c>
      <c r="C244" s="49">
        <v>1</v>
      </c>
      <c r="D244" s="50" t="s">
        <v>189</v>
      </c>
      <c r="E244" s="336">
        <v>-1.8912587364051226E-4</v>
      </c>
      <c r="F244" s="337">
        <v>-4.0030510258146747E-3</v>
      </c>
      <c r="G244" s="337">
        <v>-5.5855887492636883E-3</v>
      </c>
      <c r="H244" s="337">
        <v>-6.2476148526383534E-3</v>
      </c>
      <c r="I244" s="337">
        <v>-3.0139644963850742E-3</v>
      </c>
      <c r="J244" s="337">
        <v>-5.2070696118180406E-3</v>
      </c>
      <c r="K244" s="337">
        <v>-4.9651188757082456E-3</v>
      </c>
      <c r="L244" s="337">
        <v>-2.4912976591088792E-2</v>
      </c>
      <c r="M244" s="337">
        <v>-3.6194590444979906E-2</v>
      </c>
      <c r="N244" s="337">
        <v>-1.9199843312199193E-3</v>
      </c>
      <c r="O244" s="337">
        <v>1.9123161786178552E-3</v>
      </c>
      <c r="P244" s="337">
        <v>-1.7193377209015474E-2</v>
      </c>
      <c r="Q244" s="338">
        <v>-5.8570476935158973E-3</v>
      </c>
    </row>
    <row r="245" spans="2:17" x14ac:dyDescent="0.25">
      <c r="B245" s="48">
        <v>6</v>
      </c>
      <c r="C245" s="49">
        <v>1</v>
      </c>
      <c r="D245" s="50" t="s">
        <v>190</v>
      </c>
      <c r="E245" s="336">
        <v>-6.2329240907461547E-5</v>
      </c>
      <c r="F245" s="337">
        <v>7.5697351577051384E-4</v>
      </c>
      <c r="G245" s="337">
        <v>1.2258739060872102E-3</v>
      </c>
      <c r="H245" s="337">
        <v>1.752078368183063E-3</v>
      </c>
      <c r="I245" s="337">
        <v>1.2798748893059785E-3</v>
      </c>
      <c r="J245" s="337">
        <v>1.5645372466399161E-3</v>
      </c>
      <c r="K245" s="337">
        <v>1.284000040455298E-3</v>
      </c>
      <c r="L245" s="337">
        <v>3.6269322228737414E-3</v>
      </c>
      <c r="M245" s="337">
        <v>5.5286499448033866E-3</v>
      </c>
      <c r="N245" s="337">
        <v>1.4332118281326111E-3</v>
      </c>
      <c r="O245" s="337">
        <v>1.562182398595456E-3</v>
      </c>
      <c r="P245" s="337">
        <v>4.8832229853093285E-3</v>
      </c>
      <c r="Q245" s="338">
        <v>1.4807639921861225E-3</v>
      </c>
    </row>
    <row r="246" spans="2:17" x14ac:dyDescent="0.25">
      <c r="B246" s="48">
        <v>6</v>
      </c>
      <c r="C246" s="49">
        <v>1</v>
      </c>
      <c r="D246" s="50" t="s">
        <v>191</v>
      </c>
      <c r="E246" s="336">
        <v>3.8879193371363094E-6</v>
      </c>
      <c r="F246" s="337">
        <v>-1.8235427351334178E-5</v>
      </c>
      <c r="G246" s="337">
        <v>-3.1419565123972695E-5</v>
      </c>
      <c r="H246" s="337">
        <v>-4.8684256575370715E-5</v>
      </c>
      <c r="I246" s="337">
        <v>-3.4995501529549891E-5</v>
      </c>
      <c r="J246" s="337">
        <v>-4.1901973375027482E-5</v>
      </c>
      <c r="K246" s="337">
        <v>-2.813499157476907E-5</v>
      </c>
      <c r="L246" s="337">
        <v>-8.2929670034959311E-5</v>
      </c>
      <c r="M246" s="337">
        <v>-1.3658646913860447E-4</v>
      </c>
      <c r="N246" s="337">
        <v>-3.8738979031017126E-5</v>
      </c>
      <c r="O246" s="337">
        <v>-4.2969101885074665E-5</v>
      </c>
      <c r="P246" s="337">
        <v>-1.4166821376149216E-4</v>
      </c>
      <c r="Q246" s="338">
        <v>-3.8536500128560627E-5</v>
      </c>
    </row>
    <row r="247" spans="2:17" x14ac:dyDescent="0.25">
      <c r="B247" s="48">
        <v>6</v>
      </c>
      <c r="C247" s="49">
        <v>2</v>
      </c>
      <c r="D247" s="50" t="s">
        <v>188</v>
      </c>
      <c r="E247" s="336">
        <v>5.2413870021700851E-2</v>
      </c>
      <c r="F247" s="337">
        <v>0.22005590001742048</v>
      </c>
      <c r="G247" s="337">
        <v>0.30996762911478692</v>
      </c>
      <c r="H247" s="337">
        <v>0.27854682703812939</v>
      </c>
      <c r="I247" s="337">
        <v>0.23464999198913583</v>
      </c>
      <c r="J247" s="337">
        <v>0.32095860441525792</v>
      </c>
      <c r="K247" s="337">
        <v>0.40617492496967311</v>
      </c>
      <c r="L247" s="337">
        <v>0.76516376932462071</v>
      </c>
      <c r="M247" s="337">
        <v>1.0113650957743325</v>
      </c>
      <c r="N247" s="337">
        <v>0.34228290021419538</v>
      </c>
      <c r="O247" s="337">
        <v>0.43161433339118971</v>
      </c>
      <c r="P247" s="337">
        <v>0.75877247055371644</v>
      </c>
      <c r="Q247" s="338">
        <v>0.32398614626750361</v>
      </c>
    </row>
    <row r="248" spans="2:17" x14ac:dyDescent="0.25">
      <c r="B248" s="48">
        <v>6</v>
      </c>
      <c r="C248" s="49">
        <v>2</v>
      </c>
      <c r="D248" s="50" t="s">
        <v>189</v>
      </c>
      <c r="E248" s="336">
        <v>9.5572077908727794E-4</v>
      </c>
      <c r="F248" s="337">
        <v>-2.0148911207289173E-3</v>
      </c>
      <c r="G248" s="337">
        <v>-3.2792587206636153E-3</v>
      </c>
      <c r="H248" s="337">
        <v>-3.2735093762315702E-3</v>
      </c>
      <c r="I248" s="337">
        <v>5.4006439452005714E-5</v>
      </c>
      <c r="J248" s="337">
        <v>-9.9815430572632469E-4</v>
      </c>
      <c r="K248" s="337">
        <v>2.1520189697787E-3</v>
      </c>
      <c r="L248" s="337">
        <v>7.4041008416679056E-4</v>
      </c>
      <c r="M248" s="337">
        <v>7.0329271227977663E-3</v>
      </c>
      <c r="N248" s="337">
        <v>1.9662880657852718E-3</v>
      </c>
      <c r="O248" s="337">
        <v>5.4385173246669569E-3</v>
      </c>
      <c r="P248" s="337">
        <v>-1.1364942253006575E-2</v>
      </c>
      <c r="Q248" s="338">
        <v>-1.3366347015238719E-3</v>
      </c>
    </row>
    <row r="249" spans="2:17" x14ac:dyDescent="0.25">
      <c r="B249" s="48">
        <v>6</v>
      </c>
      <c r="C249" s="49">
        <v>2</v>
      </c>
      <c r="D249" s="50" t="s">
        <v>190</v>
      </c>
      <c r="E249" s="336">
        <v>-4.2419292310596005E-5</v>
      </c>
      <c r="F249" s="337">
        <v>6.935691443599746E-4</v>
      </c>
      <c r="G249" s="337">
        <v>1.1246925814724204E-3</v>
      </c>
      <c r="H249" s="337">
        <v>1.6037350116701442E-3</v>
      </c>
      <c r="I249" s="337">
        <v>1.1730762784714491E-3</v>
      </c>
      <c r="J249" s="337">
        <v>1.4102749465715084E-3</v>
      </c>
      <c r="K249" s="337">
        <v>1.0729565356786428E-3</v>
      </c>
      <c r="L249" s="337">
        <v>2.4115286750115458E-3</v>
      </c>
      <c r="M249" s="337">
        <v>2.9134519207171966E-3</v>
      </c>
      <c r="N249" s="337">
        <v>1.3308285459841349E-3</v>
      </c>
      <c r="O249" s="337">
        <v>1.5763812253386281E-3</v>
      </c>
      <c r="P249" s="337">
        <v>4.9895552141127446E-3</v>
      </c>
      <c r="Q249" s="338">
        <v>1.2973070437726898E-3</v>
      </c>
    </row>
    <row r="250" spans="2:17" x14ac:dyDescent="0.25">
      <c r="B250" s="48">
        <v>6</v>
      </c>
      <c r="C250" s="49">
        <v>2</v>
      </c>
      <c r="D250" s="50" t="s">
        <v>191</v>
      </c>
      <c r="E250" s="336">
        <v>1.6072609591375308E-6</v>
      </c>
      <c r="F250" s="337">
        <v>-1.83032423969888E-5</v>
      </c>
      <c r="G250" s="337">
        <v>-3.0396975107959982E-5</v>
      </c>
      <c r="H250" s="337">
        <v>-4.666587070105344E-5</v>
      </c>
      <c r="I250" s="337">
        <v>-3.4703435296686368E-5</v>
      </c>
      <c r="J250" s="337">
        <v>-4.129233410424195E-5</v>
      </c>
      <c r="K250" s="337">
        <v>-2.891751818167857E-5</v>
      </c>
      <c r="L250" s="337">
        <v>-6.7071361060557533E-5</v>
      </c>
      <c r="M250" s="337">
        <v>-8.6294896698035307E-5</v>
      </c>
      <c r="N250" s="337">
        <v>-3.970651029845783E-5</v>
      </c>
      <c r="O250" s="337">
        <v>-4.8536200889711202E-5</v>
      </c>
      <c r="P250" s="337">
        <v>-1.5550736184488862E-4</v>
      </c>
      <c r="Q250" s="338">
        <v>-3.7098535651879598E-5</v>
      </c>
    </row>
    <row r="251" spans="2:17" x14ac:dyDescent="0.25">
      <c r="B251" s="48">
        <v>6</v>
      </c>
      <c r="C251" s="49">
        <v>3</v>
      </c>
      <c r="D251" s="50" t="s">
        <v>188</v>
      </c>
      <c r="E251" s="336">
        <v>4.5694891984264061E-2</v>
      </c>
      <c r="F251" s="337">
        <v>0.22230176975329718</v>
      </c>
      <c r="G251" s="337">
        <v>0.31618407368659979</v>
      </c>
      <c r="H251" s="337">
        <v>0.29247248272101078</v>
      </c>
      <c r="I251" s="337">
        <v>0.23692268232504526</v>
      </c>
      <c r="J251" s="337">
        <v>0.32649667163689938</v>
      </c>
      <c r="K251" s="337">
        <v>0.41982170144716902</v>
      </c>
      <c r="L251" s="337">
        <v>0.76550537943840047</v>
      </c>
      <c r="M251" s="337">
        <v>1.0564448118209842</v>
      </c>
      <c r="N251" s="337">
        <v>0.35091018080711373</v>
      </c>
      <c r="O251" s="337">
        <v>0.50058913032213848</v>
      </c>
      <c r="P251" s="337">
        <v>0.90860800743103054</v>
      </c>
      <c r="Q251" s="338">
        <v>0.33689339225863424</v>
      </c>
    </row>
    <row r="252" spans="2:17" x14ac:dyDescent="0.25">
      <c r="B252" s="48">
        <v>6</v>
      </c>
      <c r="C252" s="49">
        <v>3</v>
      </c>
      <c r="D252" s="50" t="s">
        <v>189</v>
      </c>
      <c r="E252" s="336">
        <v>3.4145136177829238E-4</v>
      </c>
      <c r="F252" s="337">
        <v>-1.1359591025456787E-3</v>
      </c>
      <c r="G252" s="337">
        <v>-1.667360128963661E-3</v>
      </c>
      <c r="H252" s="337">
        <v>-1.2583525383898556E-3</v>
      </c>
      <c r="I252" s="337">
        <v>1.4969249687967238E-3</v>
      </c>
      <c r="J252" s="337">
        <v>1.3103220863636572E-3</v>
      </c>
      <c r="K252" s="337">
        <v>1.9338283493894671E-3</v>
      </c>
      <c r="L252" s="337">
        <v>6.8829657441900451E-3</v>
      </c>
      <c r="M252" s="337">
        <v>1.2968370547661373E-2</v>
      </c>
      <c r="N252" s="337">
        <v>2.0573204839146211E-3</v>
      </c>
      <c r="O252" s="337">
        <v>6.2826259558109981E-3</v>
      </c>
      <c r="P252" s="337">
        <v>-6.9449718089283519E-4</v>
      </c>
      <c r="Q252" s="338">
        <v>3.0241733311625022E-4</v>
      </c>
    </row>
    <row r="253" spans="2:17" x14ac:dyDescent="0.25">
      <c r="B253" s="48">
        <v>6</v>
      </c>
      <c r="C253" s="49">
        <v>3</v>
      </c>
      <c r="D253" s="50" t="s">
        <v>190</v>
      </c>
      <c r="E253" s="336">
        <v>1.1039344433234854E-4</v>
      </c>
      <c r="F253" s="337">
        <v>6.132620649460036E-4</v>
      </c>
      <c r="G253" s="337">
        <v>9.3301608376986588E-4</v>
      </c>
      <c r="H253" s="337">
        <v>1.3424527716317111E-3</v>
      </c>
      <c r="I253" s="337">
        <v>1.0624392162183515E-3</v>
      </c>
      <c r="J253" s="337">
        <v>1.2158872494539205E-3</v>
      </c>
      <c r="K253" s="337">
        <v>1.2261971206098186E-3</v>
      </c>
      <c r="L253" s="337">
        <v>2.0607365230163547E-3</v>
      </c>
      <c r="M253" s="337">
        <v>2.3600972650490207E-3</v>
      </c>
      <c r="N253" s="337">
        <v>1.394934739509385E-3</v>
      </c>
      <c r="O253" s="337">
        <v>1.4802552412300964E-3</v>
      </c>
      <c r="P253" s="337">
        <v>3.2484191871467506E-3</v>
      </c>
      <c r="Q253" s="338">
        <v>1.1315391212918895E-3</v>
      </c>
    </row>
    <row r="254" spans="2:17" x14ac:dyDescent="0.25">
      <c r="B254" s="48">
        <v>6</v>
      </c>
      <c r="C254" s="49">
        <v>3</v>
      </c>
      <c r="D254" s="50" t="s">
        <v>191</v>
      </c>
      <c r="E254" s="336">
        <v>-3.7150120105024224E-6</v>
      </c>
      <c r="F254" s="337">
        <v>-1.6688349314479757E-5</v>
      </c>
      <c r="G254" s="337">
        <v>-2.5459692582615459E-5</v>
      </c>
      <c r="H254" s="337">
        <v>-3.9817164735267997E-5</v>
      </c>
      <c r="I254" s="337">
        <v>-3.2747103583006908E-5</v>
      </c>
      <c r="J254" s="337">
        <v>-3.7705682061768988E-5</v>
      </c>
      <c r="K254" s="337">
        <v>-3.6360059156377135E-5</v>
      </c>
      <c r="L254" s="337">
        <v>-6.1949890138756676E-5</v>
      </c>
      <c r="M254" s="337">
        <v>-7.4201782336046223E-5</v>
      </c>
      <c r="N254" s="337">
        <v>-4.3441285324958131E-5</v>
      </c>
      <c r="O254" s="337">
        <v>-4.7747615982417318E-5</v>
      </c>
      <c r="P254" s="337">
        <v>-1.0038800855987113E-4</v>
      </c>
      <c r="Q254" s="338">
        <v>-3.345710190940034E-5</v>
      </c>
    </row>
    <row r="255" spans="2:17" x14ac:dyDescent="0.25">
      <c r="B255" s="48">
        <v>7</v>
      </c>
      <c r="C255" s="49">
        <v>1</v>
      </c>
      <c r="D255" s="50" t="s">
        <v>188</v>
      </c>
      <c r="E255" s="336">
        <v>6.5625555316607145E-2</v>
      </c>
      <c r="F255" s="337">
        <v>0.23413065175215403</v>
      </c>
      <c r="G255" s="337">
        <v>0.32385511497656511</v>
      </c>
      <c r="H255" s="337">
        <v>0.29416515330473592</v>
      </c>
      <c r="I255" s="337">
        <v>0.25556528568267828</v>
      </c>
      <c r="J255" s="337">
        <v>0.34825791120529193</v>
      </c>
      <c r="K255" s="337">
        <v>0.45704613824685414</v>
      </c>
      <c r="L255" s="337">
        <v>0.91697504123051976</v>
      </c>
      <c r="M255" s="337">
        <v>1.2235940456390388</v>
      </c>
      <c r="N255" s="337">
        <v>0.37059963345527658</v>
      </c>
      <c r="O255" s="337">
        <v>0.45436438520749411</v>
      </c>
      <c r="P255" s="337">
        <v>0.77935256759325688</v>
      </c>
      <c r="Q255" s="338">
        <v>0.35120234265923511</v>
      </c>
    </row>
    <row r="256" spans="2:17" x14ac:dyDescent="0.25">
      <c r="B256" s="48">
        <v>7</v>
      </c>
      <c r="C256" s="49">
        <v>1</v>
      </c>
      <c r="D256" s="50" t="s">
        <v>189</v>
      </c>
      <c r="E256" s="336">
        <v>-1.8912587364051226E-4</v>
      </c>
      <c r="F256" s="337">
        <v>-4.0030510258146747E-3</v>
      </c>
      <c r="G256" s="337">
        <v>-5.5855887492636883E-3</v>
      </c>
      <c r="H256" s="337">
        <v>-6.2476148526383534E-3</v>
      </c>
      <c r="I256" s="337">
        <v>-3.0139644963850742E-3</v>
      </c>
      <c r="J256" s="337">
        <v>-5.2070696118180406E-3</v>
      </c>
      <c r="K256" s="337">
        <v>-4.9651188757082456E-3</v>
      </c>
      <c r="L256" s="337">
        <v>-2.4912976591088792E-2</v>
      </c>
      <c r="M256" s="337">
        <v>-3.6194590444979906E-2</v>
      </c>
      <c r="N256" s="337">
        <v>-1.9199843312199193E-3</v>
      </c>
      <c r="O256" s="337">
        <v>1.9123161786178552E-3</v>
      </c>
      <c r="P256" s="337">
        <v>-1.7193377209015474E-2</v>
      </c>
      <c r="Q256" s="338">
        <v>-5.8570476935158973E-3</v>
      </c>
    </row>
    <row r="257" spans="2:17" x14ac:dyDescent="0.25">
      <c r="B257" s="48">
        <v>7</v>
      </c>
      <c r="C257" s="49">
        <v>1</v>
      </c>
      <c r="D257" s="50" t="s">
        <v>190</v>
      </c>
      <c r="E257" s="336">
        <v>-6.2329240907461547E-5</v>
      </c>
      <c r="F257" s="337">
        <v>7.5697351577051384E-4</v>
      </c>
      <c r="G257" s="337">
        <v>1.2258739060872102E-3</v>
      </c>
      <c r="H257" s="337">
        <v>1.752078368183063E-3</v>
      </c>
      <c r="I257" s="337">
        <v>1.2798748893059785E-3</v>
      </c>
      <c r="J257" s="337">
        <v>1.5645372466399161E-3</v>
      </c>
      <c r="K257" s="337">
        <v>1.284000040455298E-3</v>
      </c>
      <c r="L257" s="337">
        <v>3.6269322228737414E-3</v>
      </c>
      <c r="M257" s="337">
        <v>5.5286499448033866E-3</v>
      </c>
      <c r="N257" s="337">
        <v>1.4332118281326111E-3</v>
      </c>
      <c r="O257" s="337">
        <v>1.562182398595456E-3</v>
      </c>
      <c r="P257" s="337">
        <v>4.8832229853093285E-3</v>
      </c>
      <c r="Q257" s="338">
        <v>1.4807639921861225E-3</v>
      </c>
    </row>
    <row r="258" spans="2:17" x14ac:dyDescent="0.25">
      <c r="B258" s="48">
        <v>7</v>
      </c>
      <c r="C258" s="49">
        <v>1</v>
      </c>
      <c r="D258" s="50" t="s">
        <v>191</v>
      </c>
      <c r="E258" s="336">
        <v>3.8879193371363094E-6</v>
      </c>
      <c r="F258" s="337">
        <v>-1.8235427351334178E-5</v>
      </c>
      <c r="G258" s="337">
        <v>-3.1419565123972695E-5</v>
      </c>
      <c r="H258" s="337">
        <v>-4.8684256575370715E-5</v>
      </c>
      <c r="I258" s="337">
        <v>-3.4995501529549891E-5</v>
      </c>
      <c r="J258" s="337">
        <v>-4.1901973375027482E-5</v>
      </c>
      <c r="K258" s="337">
        <v>-2.813499157476907E-5</v>
      </c>
      <c r="L258" s="337">
        <v>-8.2929670034959311E-5</v>
      </c>
      <c r="M258" s="337">
        <v>-1.3658646913860447E-4</v>
      </c>
      <c r="N258" s="337">
        <v>-3.8738979031017126E-5</v>
      </c>
      <c r="O258" s="337">
        <v>-4.2969101885074665E-5</v>
      </c>
      <c r="P258" s="337">
        <v>-1.4166821376149216E-4</v>
      </c>
      <c r="Q258" s="338">
        <v>-3.8536500128560627E-5</v>
      </c>
    </row>
    <row r="259" spans="2:17" x14ac:dyDescent="0.25">
      <c r="B259" s="48">
        <v>7</v>
      </c>
      <c r="C259" s="49">
        <v>2</v>
      </c>
      <c r="D259" s="50" t="s">
        <v>188</v>
      </c>
      <c r="E259" s="336">
        <v>5.2413870021700851E-2</v>
      </c>
      <c r="F259" s="337">
        <v>0.22005590001742048</v>
      </c>
      <c r="G259" s="337">
        <v>0.30996762911478692</v>
      </c>
      <c r="H259" s="337">
        <v>0.27854682703812939</v>
      </c>
      <c r="I259" s="337">
        <v>0.23464999198913583</v>
      </c>
      <c r="J259" s="337">
        <v>0.32095860441525792</v>
      </c>
      <c r="K259" s="337">
        <v>0.40617492496967311</v>
      </c>
      <c r="L259" s="337">
        <v>0.76516376932462071</v>
      </c>
      <c r="M259" s="337">
        <v>1.0113650957743325</v>
      </c>
      <c r="N259" s="337">
        <v>0.34228290021419538</v>
      </c>
      <c r="O259" s="337">
        <v>0.43161433339118971</v>
      </c>
      <c r="P259" s="337">
        <v>0.75877247055371644</v>
      </c>
      <c r="Q259" s="338">
        <v>0.32398614626750361</v>
      </c>
    </row>
    <row r="260" spans="2:17" x14ac:dyDescent="0.25">
      <c r="B260" s="48">
        <v>7</v>
      </c>
      <c r="C260" s="49">
        <v>2</v>
      </c>
      <c r="D260" s="50" t="s">
        <v>189</v>
      </c>
      <c r="E260" s="336">
        <v>9.5572077908727794E-4</v>
      </c>
      <c r="F260" s="337">
        <v>-2.0148911207289173E-3</v>
      </c>
      <c r="G260" s="337">
        <v>-3.2792587206636153E-3</v>
      </c>
      <c r="H260" s="337">
        <v>-3.2735093762315702E-3</v>
      </c>
      <c r="I260" s="337">
        <v>5.4006439452005714E-5</v>
      </c>
      <c r="J260" s="337">
        <v>-9.9815430572632469E-4</v>
      </c>
      <c r="K260" s="337">
        <v>2.1520189697787E-3</v>
      </c>
      <c r="L260" s="337">
        <v>7.4041008416679056E-4</v>
      </c>
      <c r="M260" s="337">
        <v>7.0329271227977663E-3</v>
      </c>
      <c r="N260" s="337">
        <v>1.9662880657852718E-3</v>
      </c>
      <c r="O260" s="337">
        <v>5.4385173246669569E-3</v>
      </c>
      <c r="P260" s="337">
        <v>-1.1364942253006575E-2</v>
      </c>
      <c r="Q260" s="338">
        <v>-1.3366347015238719E-3</v>
      </c>
    </row>
    <row r="261" spans="2:17" x14ac:dyDescent="0.25">
      <c r="B261" s="48">
        <v>7</v>
      </c>
      <c r="C261" s="49">
        <v>2</v>
      </c>
      <c r="D261" s="50" t="s">
        <v>190</v>
      </c>
      <c r="E261" s="336">
        <v>-4.2419292310596005E-5</v>
      </c>
      <c r="F261" s="337">
        <v>6.935691443599746E-4</v>
      </c>
      <c r="G261" s="337">
        <v>1.1246925814724204E-3</v>
      </c>
      <c r="H261" s="337">
        <v>1.6037350116701442E-3</v>
      </c>
      <c r="I261" s="337">
        <v>1.1730762784714491E-3</v>
      </c>
      <c r="J261" s="337">
        <v>1.4102749465715084E-3</v>
      </c>
      <c r="K261" s="337">
        <v>1.0729565356786428E-3</v>
      </c>
      <c r="L261" s="337">
        <v>2.4115286750115458E-3</v>
      </c>
      <c r="M261" s="337">
        <v>2.9134519207171966E-3</v>
      </c>
      <c r="N261" s="337">
        <v>1.3308285459841349E-3</v>
      </c>
      <c r="O261" s="337">
        <v>1.5763812253386281E-3</v>
      </c>
      <c r="P261" s="337">
        <v>4.9895552141127446E-3</v>
      </c>
      <c r="Q261" s="338">
        <v>1.2973070437726898E-3</v>
      </c>
    </row>
    <row r="262" spans="2:17" x14ac:dyDescent="0.25">
      <c r="B262" s="48">
        <v>7</v>
      </c>
      <c r="C262" s="49">
        <v>2</v>
      </c>
      <c r="D262" s="50" t="s">
        <v>191</v>
      </c>
      <c r="E262" s="336">
        <v>1.6072609591375308E-6</v>
      </c>
      <c r="F262" s="337">
        <v>-1.83032423969888E-5</v>
      </c>
      <c r="G262" s="337">
        <v>-3.0396975107959982E-5</v>
      </c>
      <c r="H262" s="337">
        <v>-4.666587070105344E-5</v>
      </c>
      <c r="I262" s="337">
        <v>-3.4703435296686368E-5</v>
      </c>
      <c r="J262" s="337">
        <v>-4.129233410424195E-5</v>
      </c>
      <c r="K262" s="337">
        <v>-2.891751818167857E-5</v>
      </c>
      <c r="L262" s="337">
        <v>-6.7071361060557533E-5</v>
      </c>
      <c r="M262" s="337">
        <v>-8.6294896698035307E-5</v>
      </c>
      <c r="N262" s="337">
        <v>-3.970651029845783E-5</v>
      </c>
      <c r="O262" s="337">
        <v>-4.8536200889711202E-5</v>
      </c>
      <c r="P262" s="337">
        <v>-1.5550736184488862E-4</v>
      </c>
      <c r="Q262" s="338">
        <v>-3.7098535651879598E-5</v>
      </c>
    </row>
    <row r="263" spans="2:17" x14ac:dyDescent="0.25">
      <c r="B263" s="48">
        <v>7</v>
      </c>
      <c r="C263" s="49">
        <v>3</v>
      </c>
      <c r="D263" s="50" t="s">
        <v>188</v>
      </c>
      <c r="E263" s="336">
        <v>4.5694891984264061E-2</v>
      </c>
      <c r="F263" s="337">
        <v>0.22230176975329718</v>
      </c>
      <c r="G263" s="337">
        <v>0.31618407368659979</v>
      </c>
      <c r="H263" s="337">
        <v>0.29247248272101078</v>
      </c>
      <c r="I263" s="337">
        <v>0.23692268232504526</v>
      </c>
      <c r="J263" s="337">
        <v>0.32649667163689938</v>
      </c>
      <c r="K263" s="337">
        <v>0.41982170144716902</v>
      </c>
      <c r="L263" s="337">
        <v>0.76550537943840047</v>
      </c>
      <c r="M263" s="337">
        <v>1.0564448118209842</v>
      </c>
      <c r="N263" s="337">
        <v>0.35091018080711373</v>
      </c>
      <c r="O263" s="337">
        <v>0.50058913032213848</v>
      </c>
      <c r="P263" s="337">
        <v>0.90860800743103054</v>
      </c>
      <c r="Q263" s="338">
        <v>0.33689339225863424</v>
      </c>
    </row>
    <row r="264" spans="2:17" x14ac:dyDescent="0.25">
      <c r="B264" s="48">
        <v>7</v>
      </c>
      <c r="C264" s="49">
        <v>3</v>
      </c>
      <c r="D264" s="50" t="s">
        <v>189</v>
      </c>
      <c r="E264" s="336">
        <v>3.4145136177829238E-4</v>
      </c>
      <c r="F264" s="337">
        <v>-1.1359591025456787E-3</v>
      </c>
      <c r="G264" s="337">
        <v>-1.667360128963661E-3</v>
      </c>
      <c r="H264" s="337">
        <v>-1.2583525383898556E-3</v>
      </c>
      <c r="I264" s="337">
        <v>1.4969249687967238E-3</v>
      </c>
      <c r="J264" s="337">
        <v>1.3103220863636572E-3</v>
      </c>
      <c r="K264" s="337">
        <v>1.9338283493894671E-3</v>
      </c>
      <c r="L264" s="337">
        <v>6.8829657441900451E-3</v>
      </c>
      <c r="M264" s="337">
        <v>1.2968370547661373E-2</v>
      </c>
      <c r="N264" s="337">
        <v>2.0573204839146211E-3</v>
      </c>
      <c r="O264" s="337">
        <v>6.2826259558109981E-3</v>
      </c>
      <c r="P264" s="337">
        <v>-6.9449718089283519E-4</v>
      </c>
      <c r="Q264" s="338">
        <v>3.0241733311625022E-4</v>
      </c>
    </row>
    <row r="265" spans="2:17" x14ac:dyDescent="0.25">
      <c r="B265" s="48">
        <v>7</v>
      </c>
      <c r="C265" s="49">
        <v>3</v>
      </c>
      <c r="D265" s="50" t="s">
        <v>190</v>
      </c>
      <c r="E265" s="336">
        <v>1.1039344433234854E-4</v>
      </c>
      <c r="F265" s="337">
        <v>6.132620649460036E-4</v>
      </c>
      <c r="G265" s="337">
        <v>9.3301608376986588E-4</v>
      </c>
      <c r="H265" s="337">
        <v>1.3424527716317111E-3</v>
      </c>
      <c r="I265" s="337">
        <v>1.0624392162183515E-3</v>
      </c>
      <c r="J265" s="337">
        <v>1.2158872494539205E-3</v>
      </c>
      <c r="K265" s="337">
        <v>1.2261971206098186E-3</v>
      </c>
      <c r="L265" s="337">
        <v>2.0607365230163547E-3</v>
      </c>
      <c r="M265" s="337">
        <v>2.3600972650490207E-3</v>
      </c>
      <c r="N265" s="337">
        <v>1.394934739509385E-3</v>
      </c>
      <c r="O265" s="337">
        <v>1.4802552412300964E-3</v>
      </c>
      <c r="P265" s="337">
        <v>3.2484191871467506E-3</v>
      </c>
      <c r="Q265" s="338">
        <v>1.1315391212918895E-3</v>
      </c>
    </row>
    <row r="266" spans="2:17" x14ac:dyDescent="0.25">
      <c r="B266" s="62">
        <v>7</v>
      </c>
      <c r="C266" s="63">
        <v>3</v>
      </c>
      <c r="D266" s="128" t="s">
        <v>191</v>
      </c>
      <c r="E266" s="339">
        <v>-3.7150120105024224E-6</v>
      </c>
      <c r="F266" s="340">
        <v>-1.6688349314479757E-5</v>
      </c>
      <c r="G266" s="340">
        <v>-2.5459692582615459E-5</v>
      </c>
      <c r="H266" s="340">
        <v>-3.9817164735267997E-5</v>
      </c>
      <c r="I266" s="340">
        <v>-3.2747103583006908E-5</v>
      </c>
      <c r="J266" s="340">
        <v>-3.7705682061768988E-5</v>
      </c>
      <c r="K266" s="340">
        <v>-3.6360059156377135E-5</v>
      </c>
      <c r="L266" s="340">
        <v>-6.1949890138756676E-5</v>
      </c>
      <c r="M266" s="340">
        <v>-7.4201782336046223E-5</v>
      </c>
      <c r="N266" s="340">
        <v>-4.3441285324958131E-5</v>
      </c>
      <c r="O266" s="340">
        <v>-4.7747615982417318E-5</v>
      </c>
      <c r="P266" s="340">
        <v>-1.0038800855987113E-4</v>
      </c>
      <c r="Q266" s="341">
        <v>-3.345710190940034E-5</v>
      </c>
    </row>
    <row r="268" spans="2:17" x14ac:dyDescent="0.25">
      <c r="B268" s="81" t="s">
        <v>314</v>
      </c>
    </row>
    <row r="269" spans="2:17" x14ac:dyDescent="0.25">
      <c r="B269" s="66" t="s">
        <v>36</v>
      </c>
      <c r="C269" s="25" t="s">
        <v>136</v>
      </c>
      <c r="D269" s="28"/>
      <c r="E269" s="22"/>
      <c r="F269" s="24"/>
      <c r="G269" s="24"/>
      <c r="H269" s="24"/>
      <c r="I269" s="24" t="s">
        <v>182</v>
      </c>
      <c r="J269" s="24"/>
      <c r="K269" s="24"/>
      <c r="L269" s="24"/>
      <c r="M269" s="24"/>
      <c r="N269" s="24"/>
      <c r="O269" s="24"/>
      <c r="P269" s="24"/>
      <c r="Q269" s="23" t="s">
        <v>183</v>
      </c>
    </row>
    <row r="270" spans="2:17" x14ac:dyDescent="0.25">
      <c r="B270" s="67" t="s">
        <v>312</v>
      </c>
      <c r="C270" s="40" t="s">
        <v>34</v>
      </c>
      <c r="D270" s="44"/>
      <c r="E270" s="35" t="s">
        <v>162</v>
      </c>
      <c r="F270" s="38" t="s">
        <v>93</v>
      </c>
      <c r="G270" s="38" t="s">
        <v>95</v>
      </c>
      <c r="H270" s="38" t="s">
        <v>163</v>
      </c>
      <c r="I270" s="38" t="s">
        <v>184</v>
      </c>
      <c r="J270" s="38" t="s">
        <v>165</v>
      </c>
      <c r="K270" s="38" t="s">
        <v>95</v>
      </c>
      <c r="L270" s="38" t="s">
        <v>166</v>
      </c>
      <c r="M270" s="38" t="s">
        <v>98</v>
      </c>
      <c r="N270" s="38" t="s">
        <v>93</v>
      </c>
      <c r="O270" s="38" t="s">
        <v>95</v>
      </c>
      <c r="P270" s="38" t="s">
        <v>96</v>
      </c>
      <c r="Q270" s="36" t="s">
        <v>92</v>
      </c>
    </row>
    <row r="271" spans="2:17" x14ac:dyDescent="0.25">
      <c r="B271" s="68" t="s">
        <v>339</v>
      </c>
      <c r="C271" s="58" t="s">
        <v>63</v>
      </c>
      <c r="D271" s="64" t="s">
        <v>185</v>
      </c>
      <c r="E271" s="59" t="s">
        <v>167</v>
      </c>
      <c r="F271" s="57" t="s">
        <v>90</v>
      </c>
      <c r="G271" s="57" t="s">
        <v>90</v>
      </c>
      <c r="H271" s="57" t="s">
        <v>92</v>
      </c>
      <c r="I271" s="57" t="s">
        <v>168</v>
      </c>
      <c r="J271" s="57" t="s">
        <v>97</v>
      </c>
      <c r="K271" s="57" t="s">
        <v>97</v>
      </c>
      <c r="L271" s="57" t="s">
        <v>97</v>
      </c>
      <c r="M271" s="57" t="s">
        <v>97</v>
      </c>
      <c r="N271" s="57" t="s">
        <v>94</v>
      </c>
      <c r="O271" s="57" t="s">
        <v>94</v>
      </c>
      <c r="P271" s="57" t="s">
        <v>94</v>
      </c>
      <c r="Q271" s="60" t="s">
        <v>186</v>
      </c>
    </row>
    <row r="272" spans="2:17" x14ac:dyDescent="0.25">
      <c r="B272" s="48">
        <v>1</v>
      </c>
      <c r="C272" s="49">
        <v>1</v>
      </c>
      <c r="D272" s="50" t="s">
        <v>192</v>
      </c>
      <c r="E272" s="336">
        <v>84.722012456258085</v>
      </c>
      <c r="F272" s="337">
        <v>91.220412826538066</v>
      </c>
      <c r="G272" s="337">
        <v>87.618585968017499</v>
      </c>
      <c r="H272" s="337">
        <v>93.101540501912424</v>
      </c>
      <c r="I272" s="337">
        <v>91.613874944051076</v>
      </c>
      <c r="J272" s="337">
        <v>84.386179860432946</v>
      </c>
      <c r="K272" s="337">
        <v>71.291622924804642</v>
      </c>
      <c r="L272" s="337">
        <v>58.310626475016235</v>
      </c>
      <c r="M272" s="337">
        <v>76.559296735127703</v>
      </c>
      <c r="N272" s="337">
        <v>82.170229085286394</v>
      </c>
      <c r="O272" s="337">
        <v>82.039525731404566</v>
      </c>
      <c r="P272" s="337">
        <v>58.714425404866489</v>
      </c>
      <c r="Q272" s="338">
        <v>85.831609848022367</v>
      </c>
    </row>
    <row r="273" spans="2:17" x14ac:dyDescent="0.25">
      <c r="B273" s="48">
        <v>1</v>
      </c>
      <c r="C273" s="49">
        <v>1</v>
      </c>
      <c r="D273" s="50" t="s">
        <v>193</v>
      </c>
      <c r="E273" s="336">
        <v>2.7953940219627262</v>
      </c>
      <c r="F273" s="337">
        <v>2.0832286125574431</v>
      </c>
      <c r="G273" s="337">
        <v>2.5703810478424072</v>
      </c>
      <c r="H273" s="337">
        <v>1.8723200358618357</v>
      </c>
      <c r="I273" s="337">
        <v>1.8442625966105468</v>
      </c>
      <c r="J273" s="337">
        <v>1.8261000267182974</v>
      </c>
      <c r="K273" s="337">
        <v>3.4980123678472816</v>
      </c>
      <c r="L273" s="337">
        <v>4.3244630043693828</v>
      </c>
      <c r="M273" s="337">
        <v>1.7878725354580889</v>
      </c>
      <c r="N273" s="337">
        <v>1.9942137707826793</v>
      </c>
      <c r="O273" s="337">
        <v>1.751141651527049</v>
      </c>
      <c r="P273" s="337">
        <v>4.3086143043861993</v>
      </c>
      <c r="Q273" s="338">
        <v>2.3439585300036683</v>
      </c>
    </row>
    <row r="274" spans="2:17" x14ac:dyDescent="0.25">
      <c r="B274" s="48">
        <v>1</v>
      </c>
      <c r="C274" s="49">
        <v>1</v>
      </c>
      <c r="D274" s="50" t="s">
        <v>194</v>
      </c>
      <c r="E274" s="336">
        <v>-0.72491792031935098</v>
      </c>
      <c r="F274" s="337">
        <v>-0.71549374740440619</v>
      </c>
      <c r="G274" s="337">
        <v>-0.73225537658015816</v>
      </c>
      <c r="H274" s="337">
        <v>-0.71226506133179635</v>
      </c>
      <c r="I274" s="337">
        <v>-0.70008290064084833</v>
      </c>
      <c r="J274" s="337">
        <v>-0.61417769663261701</v>
      </c>
      <c r="K274" s="337">
        <v>-0.66235335779079052</v>
      </c>
      <c r="L274" s="337">
        <v>-0.66286667688187551</v>
      </c>
      <c r="M274" s="337">
        <v>-0.63647438762905062</v>
      </c>
      <c r="N274" s="337">
        <v>-0.60899515807767757</v>
      </c>
      <c r="O274" s="337">
        <v>-0.57846957820278955</v>
      </c>
      <c r="P274" s="337">
        <v>-0.6657592438873442</v>
      </c>
      <c r="Q274" s="338">
        <v>-0.69233011458025795</v>
      </c>
    </row>
    <row r="275" spans="2:17" x14ac:dyDescent="0.25">
      <c r="B275" s="48">
        <v>1</v>
      </c>
      <c r="C275" s="49">
        <v>1</v>
      </c>
      <c r="D275" s="50" t="s">
        <v>195</v>
      </c>
      <c r="E275" s="336">
        <v>2.271238314429273E-2</v>
      </c>
      <c r="F275" s="337">
        <v>2.3241577170667705E-2</v>
      </c>
      <c r="G275" s="337">
        <v>2.32985433720765E-2</v>
      </c>
      <c r="H275" s="337">
        <v>2.3381757662105509E-2</v>
      </c>
      <c r="I275" s="337">
        <v>2.2968019083107569E-2</v>
      </c>
      <c r="J275" s="337">
        <v>1.9558022720645194E-2</v>
      </c>
      <c r="K275" s="337">
        <v>1.9372224622487885E-2</v>
      </c>
      <c r="L275" s="337">
        <v>1.8547659338956322E-2</v>
      </c>
      <c r="M275" s="337">
        <v>2.1066269720814129E-2</v>
      </c>
      <c r="N275" s="337">
        <v>1.9143012668517794E-2</v>
      </c>
      <c r="O275" s="337">
        <v>1.8230167580095536E-2</v>
      </c>
      <c r="P275" s="337">
        <v>1.86843935055796E-2</v>
      </c>
      <c r="Q275" s="338">
        <v>2.2023569437173738E-2</v>
      </c>
    </row>
    <row r="276" spans="2:17" x14ac:dyDescent="0.25">
      <c r="B276" s="48">
        <v>1</v>
      </c>
      <c r="C276" s="49">
        <v>2</v>
      </c>
      <c r="D276" s="50" t="s">
        <v>192</v>
      </c>
      <c r="E276" s="336">
        <v>66.308051045735667</v>
      </c>
      <c r="F276" s="337">
        <v>67.126623535156199</v>
      </c>
      <c r="G276" s="337">
        <v>67.425445683797136</v>
      </c>
      <c r="H276" s="337">
        <v>67.253537368774374</v>
      </c>
      <c r="I276" s="337">
        <v>67.198974482218404</v>
      </c>
      <c r="J276" s="337">
        <v>64.990718587239513</v>
      </c>
      <c r="K276" s="337">
        <v>65.9936719258626</v>
      </c>
      <c r="L276" s="337">
        <v>57.64972381591793</v>
      </c>
      <c r="M276" s="337">
        <v>65.283810997009198</v>
      </c>
      <c r="N276" s="337">
        <v>64.630163955688431</v>
      </c>
      <c r="O276" s="337">
        <v>60.827687072753875</v>
      </c>
      <c r="P276" s="337">
        <v>57.213939539591408</v>
      </c>
      <c r="Q276" s="338">
        <v>66.043537270863823</v>
      </c>
    </row>
    <row r="277" spans="2:17" x14ac:dyDescent="0.25">
      <c r="B277" s="48">
        <v>1</v>
      </c>
      <c r="C277" s="49">
        <v>2</v>
      </c>
      <c r="D277" s="50" t="s">
        <v>193</v>
      </c>
      <c r="E277" s="336">
        <v>3.9046988705840366</v>
      </c>
      <c r="F277" s="337">
        <v>3.935700600334366</v>
      </c>
      <c r="G277" s="337">
        <v>3.9519431670692184</v>
      </c>
      <c r="H277" s="337">
        <v>3.9463805804071179</v>
      </c>
      <c r="I277" s="337">
        <v>3.8786463967199651</v>
      </c>
      <c r="J277" s="337">
        <v>3.0282833322408118</v>
      </c>
      <c r="K277" s="337">
        <v>3.594526708450267</v>
      </c>
      <c r="L277" s="337">
        <v>4.2950072803512214</v>
      </c>
      <c r="M277" s="337">
        <v>3.1858421188968213</v>
      </c>
      <c r="N277" s="337">
        <v>2.9706144310655667</v>
      </c>
      <c r="O277" s="337">
        <v>2.5761450202129805</v>
      </c>
      <c r="P277" s="337">
        <v>4.1381307952424526</v>
      </c>
      <c r="Q277" s="338">
        <v>3.7398946623702178</v>
      </c>
    </row>
    <row r="278" spans="2:17" x14ac:dyDescent="0.25">
      <c r="B278" s="48">
        <v>1</v>
      </c>
      <c r="C278" s="49">
        <v>2</v>
      </c>
      <c r="D278" s="50" t="s">
        <v>194</v>
      </c>
      <c r="E278" s="336">
        <v>-0.64335308819661929</v>
      </c>
      <c r="F278" s="337">
        <v>-0.65650550468818425</v>
      </c>
      <c r="G278" s="337">
        <v>-0.66190428389258182</v>
      </c>
      <c r="H278" s="337">
        <v>-0.65925503221703119</v>
      </c>
      <c r="I278" s="337">
        <v>-0.65905400923082136</v>
      </c>
      <c r="J278" s="337">
        <v>-0.5398065565905108</v>
      </c>
      <c r="K278" s="337">
        <v>-0.61314614725001859</v>
      </c>
      <c r="L278" s="337">
        <v>-0.65128240551981964</v>
      </c>
      <c r="M278" s="337">
        <v>-0.6707997883394341</v>
      </c>
      <c r="N278" s="337">
        <v>-0.52929504879149059</v>
      </c>
      <c r="O278" s="337">
        <v>-0.44550081288620075</v>
      </c>
      <c r="P278" s="337">
        <v>-0.62694531109505436</v>
      </c>
      <c r="Q278" s="338">
        <v>-0.63035936522872893</v>
      </c>
    </row>
    <row r="279" spans="2:17" x14ac:dyDescent="0.25">
      <c r="B279" s="48">
        <v>1</v>
      </c>
      <c r="C279" s="49">
        <v>2</v>
      </c>
      <c r="D279" s="50" t="s">
        <v>195</v>
      </c>
      <c r="E279" s="336">
        <v>1.804577674435941E-2</v>
      </c>
      <c r="F279" s="337">
        <v>1.8531078132623505E-2</v>
      </c>
      <c r="G279" s="337">
        <v>1.8725998566515661E-2</v>
      </c>
      <c r="H279" s="337">
        <v>1.8627382751204045E-2</v>
      </c>
      <c r="I279" s="337">
        <v>1.8743488986823785E-2</v>
      </c>
      <c r="J279" s="337">
        <v>1.5149401432799151E-2</v>
      </c>
      <c r="K279" s="337">
        <v>1.729409965138709E-2</v>
      </c>
      <c r="L279" s="337">
        <v>1.8117573340919124E-2</v>
      </c>
      <c r="M279" s="337">
        <v>2.0641444585262247E-2</v>
      </c>
      <c r="N279" s="337">
        <v>1.4808715918125279E-2</v>
      </c>
      <c r="O279" s="337">
        <v>1.2044884015537565E-2</v>
      </c>
      <c r="P279" s="337">
        <v>1.7337905684458574E-2</v>
      </c>
      <c r="Q279" s="338">
        <v>1.7790824088739093E-2</v>
      </c>
    </row>
    <row r="280" spans="2:17" x14ac:dyDescent="0.25">
      <c r="B280" s="48">
        <v>1</v>
      </c>
      <c r="C280" s="49">
        <v>3</v>
      </c>
      <c r="D280" s="50" t="s">
        <v>192</v>
      </c>
      <c r="E280" s="336">
        <v>48.58130544026691</v>
      </c>
      <c r="F280" s="337">
        <v>48.606655629475902</v>
      </c>
      <c r="G280" s="337">
        <v>48.627354303995752</v>
      </c>
      <c r="H280" s="337">
        <v>48.600014623006174</v>
      </c>
      <c r="I280" s="337">
        <v>48.434063339233383</v>
      </c>
      <c r="J280" s="337">
        <v>47.617435201009101</v>
      </c>
      <c r="K280" s="337">
        <v>48.064645894368468</v>
      </c>
      <c r="L280" s="337">
        <v>46.761648559570283</v>
      </c>
      <c r="M280" s="337">
        <v>44.033904202779098</v>
      </c>
      <c r="N280" s="337">
        <v>47.488664627075174</v>
      </c>
      <c r="O280" s="337">
        <v>45.692099634806311</v>
      </c>
      <c r="P280" s="337">
        <v>46.364650090535449</v>
      </c>
      <c r="Q280" s="338">
        <v>48.120956495920801</v>
      </c>
    </row>
    <row r="281" spans="2:17" x14ac:dyDescent="0.25">
      <c r="B281" s="48">
        <v>1</v>
      </c>
      <c r="C281" s="49">
        <v>3</v>
      </c>
      <c r="D281" s="50" t="s">
        <v>193</v>
      </c>
      <c r="E281" s="336">
        <v>1.873949974196405</v>
      </c>
      <c r="F281" s="337">
        <v>1.8796854137725962</v>
      </c>
      <c r="G281" s="337">
        <v>1.8885319079182012</v>
      </c>
      <c r="H281" s="337">
        <v>1.8786941089644977</v>
      </c>
      <c r="I281" s="337">
        <v>1.9740945983507348</v>
      </c>
      <c r="J281" s="337">
        <v>1.6295839189649475</v>
      </c>
      <c r="K281" s="337">
        <v>1.8276080277508899</v>
      </c>
      <c r="L281" s="337">
        <v>2.897510963534796</v>
      </c>
      <c r="M281" s="337">
        <v>3.0968959765000843</v>
      </c>
      <c r="N281" s="337">
        <v>1.584645944504937</v>
      </c>
      <c r="O281" s="337">
        <v>1.1487100485599415</v>
      </c>
      <c r="P281" s="337">
        <v>2.5880828092704058</v>
      </c>
      <c r="Q281" s="338">
        <v>1.8867074992032467</v>
      </c>
    </row>
    <row r="282" spans="2:17" x14ac:dyDescent="0.25">
      <c r="B282" s="48">
        <v>1</v>
      </c>
      <c r="C282" s="49">
        <v>3</v>
      </c>
      <c r="D282" s="50" t="s">
        <v>194</v>
      </c>
      <c r="E282" s="336">
        <v>-0.22537316086686857</v>
      </c>
      <c r="F282" s="337">
        <v>-0.22620093294512703</v>
      </c>
      <c r="G282" s="337">
        <v>-0.22730814938222899</v>
      </c>
      <c r="H282" s="337">
        <v>-0.22603354420695299</v>
      </c>
      <c r="I282" s="337">
        <v>-0.24072453080913142</v>
      </c>
      <c r="J282" s="337">
        <v>-0.21260013613667531</v>
      </c>
      <c r="K282" s="337">
        <v>-0.22680915763606013</v>
      </c>
      <c r="L282" s="337">
        <v>-0.36034597661389667</v>
      </c>
      <c r="M282" s="337">
        <v>-0.40699515198216352</v>
      </c>
      <c r="N282" s="337">
        <v>-0.20709981784953957</v>
      </c>
      <c r="O282" s="337">
        <v>-0.15220141410827645</v>
      </c>
      <c r="P282" s="337">
        <v>-0.32108475611760107</v>
      </c>
      <c r="Q282" s="338">
        <v>-0.231535346430221</v>
      </c>
    </row>
    <row r="283" spans="2:17" x14ac:dyDescent="0.25">
      <c r="B283" s="48">
        <v>1</v>
      </c>
      <c r="C283" s="49">
        <v>3</v>
      </c>
      <c r="D283" s="50" t="s">
        <v>195</v>
      </c>
      <c r="E283" s="336">
        <v>4.2987337571850316E-3</v>
      </c>
      <c r="F283" s="337">
        <v>4.3227398404800926E-3</v>
      </c>
      <c r="G283" s="337">
        <v>4.3535511347334264E-3</v>
      </c>
      <c r="H283" s="337">
        <v>4.317649501927999E-3</v>
      </c>
      <c r="I283" s="337">
        <v>4.7825834226867675E-3</v>
      </c>
      <c r="J283" s="337">
        <v>4.3248349414283056E-3</v>
      </c>
      <c r="K283" s="337">
        <v>4.4964703831824621E-3</v>
      </c>
      <c r="L283" s="337">
        <v>8.3102423179585126E-3</v>
      </c>
      <c r="M283" s="337">
        <v>1.0142414858846973E-2</v>
      </c>
      <c r="N283" s="337">
        <v>4.1762799742431234E-3</v>
      </c>
      <c r="O283" s="337">
        <v>2.7193409023862931E-3</v>
      </c>
      <c r="P283" s="337">
        <v>7.1644788577562308E-3</v>
      </c>
      <c r="Q283" s="338">
        <v>4.5787456671026521E-3</v>
      </c>
    </row>
    <row r="284" spans="2:17" x14ac:dyDescent="0.25">
      <c r="B284" s="48">
        <v>2</v>
      </c>
      <c r="C284" s="49">
        <v>1</v>
      </c>
      <c r="D284" s="50" t="s">
        <v>192</v>
      </c>
      <c r="E284" s="336">
        <v>85.156476465860933</v>
      </c>
      <c r="F284" s="337">
        <v>91.65470898946117</v>
      </c>
      <c r="G284" s="337">
        <v>93.565439860025975</v>
      </c>
      <c r="H284" s="337">
        <v>93.535823949177967</v>
      </c>
      <c r="I284" s="337">
        <v>92.048108673095669</v>
      </c>
      <c r="J284" s="337">
        <v>86.824980417887318</v>
      </c>
      <c r="K284" s="337">
        <v>85.997695287068609</v>
      </c>
      <c r="L284" s="337">
        <v>72.642139689127589</v>
      </c>
      <c r="M284" s="337">
        <v>96.582313537597628</v>
      </c>
      <c r="N284" s="337">
        <v>87.061951446533129</v>
      </c>
      <c r="O284" s="337">
        <v>82.473756408691401</v>
      </c>
      <c r="P284" s="337">
        <v>72.395949172973573</v>
      </c>
      <c r="Q284" s="338">
        <v>90.030806915283122</v>
      </c>
    </row>
    <row r="285" spans="2:17" x14ac:dyDescent="0.25">
      <c r="B285" s="48">
        <v>2</v>
      </c>
      <c r="C285" s="49">
        <v>1</v>
      </c>
      <c r="D285" s="50" t="s">
        <v>193</v>
      </c>
      <c r="E285" s="336">
        <v>2.7440717629712243</v>
      </c>
      <c r="F285" s="337">
        <v>2.0319228101906974</v>
      </c>
      <c r="G285" s="337">
        <v>1.8139475879506299</v>
      </c>
      <c r="H285" s="337">
        <v>1.8210200729903907</v>
      </c>
      <c r="I285" s="337">
        <v>1.7929620079597823</v>
      </c>
      <c r="J285" s="337">
        <v>1.546582764401037</v>
      </c>
      <c r="K285" s="337">
        <v>2.2663922409911388</v>
      </c>
      <c r="L285" s="337">
        <v>3.6500009745706836</v>
      </c>
      <c r="M285" s="337">
        <v>-1.7360778481069139</v>
      </c>
      <c r="N285" s="337">
        <v>1.4426368188747063</v>
      </c>
      <c r="O285" s="337">
        <v>1.6996297158283555</v>
      </c>
      <c r="P285" s="337">
        <v>3.6135376249993754</v>
      </c>
      <c r="Q285" s="338">
        <v>1.8930890532584952</v>
      </c>
    </row>
    <row r="286" spans="2:17" x14ac:dyDescent="0.25">
      <c r="B286" s="48">
        <v>2</v>
      </c>
      <c r="C286" s="49">
        <v>1</v>
      </c>
      <c r="D286" s="50" t="s">
        <v>194</v>
      </c>
      <c r="E286" s="336">
        <v>-0.72398658232255608</v>
      </c>
      <c r="F286" s="337">
        <v>-0.7145623238214549</v>
      </c>
      <c r="G286" s="337">
        <v>-0.71080346040792519</v>
      </c>
      <c r="H286" s="337">
        <v>-0.7113342251811019</v>
      </c>
      <c r="I286" s="337">
        <v>-0.69915133811932972</v>
      </c>
      <c r="J286" s="337">
        <v>-0.60874269725559604</v>
      </c>
      <c r="K286" s="337">
        <v>-0.68532758381539138</v>
      </c>
      <c r="L286" s="337">
        <v>-0.75480239485805212</v>
      </c>
      <c r="M286" s="337">
        <v>-0.44335885481401022</v>
      </c>
      <c r="N286" s="337">
        <v>-0.59883132014241414</v>
      </c>
      <c r="O286" s="337">
        <v>-0.5775103246693295</v>
      </c>
      <c r="P286" s="337">
        <v>-0.7470785087638816</v>
      </c>
      <c r="Q286" s="338">
        <v>-0.68732548234068336</v>
      </c>
    </row>
    <row r="287" spans="2:17" x14ac:dyDescent="0.25">
      <c r="B287" s="48">
        <v>2</v>
      </c>
      <c r="C287" s="49">
        <v>1</v>
      </c>
      <c r="D287" s="50" t="s">
        <v>195</v>
      </c>
      <c r="E287" s="336">
        <v>2.2742349692065369E-2</v>
      </c>
      <c r="F287" s="337">
        <v>2.3271518246369926E-2</v>
      </c>
      <c r="G287" s="337">
        <v>2.3399081726637426E-2</v>
      </c>
      <c r="H287" s="337">
        <v>2.3411715225184232E-2</v>
      </c>
      <c r="I287" s="337">
        <v>2.2997947191210278E-2</v>
      </c>
      <c r="J287" s="337">
        <v>1.9691000451574837E-2</v>
      </c>
      <c r="K287" s="337">
        <v>2.1843284715861468E-2</v>
      </c>
      <c r="L287" s="337">
        <v>2.3151603334155703E-2</v>
      </c>
      <c r="M287" s="337">
        <v>1.776186384335916E-2</v>
      </c>
      <c r="N287" s="337">
        <v>1.942320081181742E-2</v>
      </c>
      <c r="O287" s="337">
        <v>1.8259226025401316E-2</v>
      </c>
      <c r="P287" s="337">
        <v>2.2882674123857447E-2</v>
      </c>
      <c r="Q287" s="338">
        <v>2.2396667128676353E-2</v>
      </c>
    </row>
    <row r="288" spans="2:17" x14ac:dyDescent="0.25">
      <c r="B288" s="48">
        <v>2</v>
      </c>
      <c r="C288" s="49">
        <v>2</v>
      </c>
      <c r="D288" s="50" t="s">
        <v>192</v>
      </c>
      <c r="E288" s="336">
        <v>66.401246643066372</v>
      </c>
      <c r="F288" s="337">
        <v>67.219522094726543</v>
      </c>
      <c r="G288" s="337">
        <v>67.518810145060172</v>
      </c>
      <c r="H288" s="337">
        <v>67.346419652303013</v>
      </c>
      <c r="I288" s="337">
        <v>67.291593297322521</v>
      </c>
      <c r="J288" s="337">
        <v>65.082512410481741</v>
      </c>
      <c r="K288" s="337">
        <v>66.085933685302706</v>
      </c>
      <c r="L288" s="337">
        <v>67.690056737263973</v>
      </c>
      <c r="M288" s="337">
        <v>65.377479616800855</v>
      </c>
      <c r="N288" s="337">
        <v>64.720394261677995</v>
      </c>
      <c r="O288" s="337">
        <v>60.907541402180968</v>
      </c>
      <c r="P288" s="337">
        <v>64.498957824706977</v>
      </c>
      <c r="Q288" s="338">
        <v>66.578002067565876</v>
      </c>
    </row>
    <row r="289" spans="2:17" x14ac:dyDescent="0.25">
      <c r="B289" s="48">
        <v>2</v>
      </c>
      <c r="C289" s="49">
        <v>2</v>
      </c>
      <c r="D289" s="50" t="s">
        <v>193</v>
      </c>
      <c r="E289" s="336">
        <v>3.891208946565929</v>
      </c>
      <c r="F289" s="337">
        <v>3.9222455732379706</v>
      </c>
      <c r="G289" s="337">
        <v>3.9384233642198865</v>
      </c>
      <c r="H289" s="337">
        <v>3.9329334272371415</v>
      </c>
      <c r="I289" s="337">
        <v>3.8652354935480968</v>
      </c>
      <c r="J289" s="337">
        <v>3.015006118350565</v>
      </c>
      <c r="K289" s="337">
        <v>3.581170564116491</v>
      </c>
      <c r="L289" s="337">
        <v>4.0410015766437297</v>
      </c>
      <c r="M289" s="337">
        <v>3.1722806329957067</v>
      </c>
      <c r="N289" s="337">
        <v>2.957554017654584</v>
      </c>
      <c r="O289" s="337">
        <v>2.5645670449909805</v>
      </c>
      <c r="P289" s="337">
        <v>3.9715654214593856</v>
      </c>
      <c r="Q289" s="338">
        <v>3.7162660958587326</v>
      </c>
    </row>
    <row r="290" spans="2:17" x14ac:dyDescent="0.25">
      <c r="B290" s="48">
        <v>2</v>
      </c>
      <c r="C290" s="49">
        <v>2</v>
      </c>
      <c r="D290" s="50" t="s">
        <v>194</v>
      </c>
      <c r="E290" s="336">
        <v>-0.64283827634958146</v>
      </c>
      <c r="F290" s="337">
        <v>-0.65599126637954586</v>
      </c>
      <c r="G290" s="337">
        <v>-0.66138782256688955</v>
      </c>
      <c r="H290" s="337">
        <v>-0.65874160753263566</v>
      </c>
      <c r="I290" s="337">
        <v>-0.65854179053317841</v>
      </c>
      <c r="J290" s="337">
        <v>-0.53930075240857733</v>
      </c>
      <c r="K290" s="337">
        <v>-0.61263629495402938</v>
      </c>
      <c r="L290" s="337">
        <v>-0.74208402522516204</v>
      </c>
      <c r="M290" s="337">
        <v>-0.67028194763165971</v>
      </c>
      <c r="N290" s="337">
        <v>-0.52879661502260245</v>
      </c>
      <c r="O290" s="337">
        <v>-0.44505706755987212</v>
      </c>
      <c r="P290" s="337">
        <v>-0.69427785617766247</v>
      </c>
      <c r="Q290" s="338">
        <v>-0.63394591450413418</v>
      </c>
    </row>
    <row r="291" spans="2:17" x14ac:dyDescent="0.25">
      <c r="B291" s="48">
        <v>2</v>
      </c>
      <c r="C291" s="49">
        <v>2</v>
      </c>
      <c r="D291" s="50" t="s">
        <v>195</v>
      </c>
      <c r="E291" s="336">
        <v>1.8042525767168534E-2</v>
      </c>
      <c r="F291" s="337">
        <v>1.8527803813753546E-2</v>
      </c>
      <c r="G291" s="337">
        <v>1.8722719060605911E-2</v>
      </c>
      <c r="H291" s="337">
        <v>1.8624131774013179E-2</v>
      </c>
      <c r="I291" s="337">
        <v>1.8740239306392882E-2</v>
      </c>
      <c r="J291" s="337">
        <v>1.5146238635284756E-2</v>
      </c>
      <c r="K291" s="337">
        <v>1.7290874609395178E-2</v>
      </c>
      <c r="L291" s="337">
        <v>2.2123013065133642E-2</v>
      </c>
      <c r="M291" s="337">
        <v>2.0638163782592565E-2</v>
      </c>
      <c r="N291" s="337">
        <v>1.4805567384970339E-2</v>
      </c>
      <c r="O291" s="337">
        <v>1.2042012989011608E-2</v>
      </c>
      <c r="P291" s="337">
        <v>2.0270380292090731E-2</v>
      </c>
      <c r="Q291" s="338">
        <v>1.7966566537828924E-2</v>
      </c>
    </row>
    <row r="292" spans="2:17" x14ac:dyDescent="0.25">
      <c r="B292" s="48">
        <v>2</v>
      </c>
      <c r="C292" s="49">
        <v>3</v>
      </c>
      <c r="D292" s="50" t="s">
        <v>192</v>
      </c>
      <c r="E292" s="336">
        <v>48.58130544026691</v>
      </c>
      <c r="F292" s="337">
        <v>48.606655629475902</v>
      </c>
      <c r="G292" s="337">
        <v>48.627354303995752</v>
      </c>
      <c r="H292" s="337">
        <v>48.600014623006174</v>
      </c>
      <c r="I292" s="337">
        <v>48.434063339233383</v>
      </c>
      <c r="J292" s="337">
        <v>47.617435201009101</v>
      </c>
      <c r="K292" s="337">
        <v>48.064645894368468</v>
      </c>
      <c r="L292" s="337">
        <v>46.761648559570283</v>
      </c>
      <c r="M292" s="337">
        <v>44.033904202779098</v>
      </c>
      <c r="N292" s="337">
        <v>47.488664627075174</v>
      </c>
      <c r="O292" s="337">
        <v>45.692099634806311</v>
      </c>
      <c r="P292" s="337">
        <v>46.364650090535449</v>
      </c>
      <c r="Q292" s="338">
        <v>48.120956495920801</v>
      </c>
    </row>
    <row r="293" spans="2:17" x14ac:dyDescent="0.25">
      <c r="B293" s="48">
        <v>2</v>
      </c>
      <c r="C293" s="49">
        <v>3</v>
      </c>
      <c r="D293" s="50" t="s">
        <v>193</v>
      </c>
      <c r="E293" s="336">
        <v>1.873949974196405</v>
      </c>
      <c r="F293" s="337">
        <v>1.8796854137725962</v>
      </c>
      <c r="G293" s="337">
        <v>1.8885319079182012</v>
      </c>
      <c r="H293" s="337">
        <v>1.8786941089644977</v>
      </c>
      <c r="I293" s="337">
        <v>1.9740945983507348</v>
      </c>
      <c r="J293" s="337">
        <v>1.6295839189649475</v>
      </c>
      <c r="K293" s="337">
        <v>1.8276080277508899</v>
      </c>
      <c r="L293" s="337">
        <v>2.897510963534796</v>
      </c>
      <c r="M293" s="337">
        <v>3.0968959765000843</v>
      </c>
      <c r="N293" s="337">
        <v>1.584645944504937</v>
      </c>
      <c r="O293" s="337">
        <v>1.1487100485599415</v>
      </c>
      <c r="P293" s="337">
        <v>2.5880828092704058</v>
      </c>
      <c r="Q293" s="338">
        <v>1.8867074992032467</v>
      </c>
    </row>
    <row r="294" spans="2:17" x14ac:dyDescent="0.25">
      <c r="B294" s="48">
        <v>2</v>
      </c>
      <c r="C294" s="49">
        <v>3</v>
      </c>
      <c r="D294" s="50" t="s">
        <v>194</v>
      </c>
      <c r="E294" s="336">
        <v>-0.22537316086686857</v>
      </c>
      <c r="F294" s="337">
        <v>-0.22620093294512703</v>
      </c>
      <c r="G294" s="337">
        <v>-0.22730814938222899</v>
      </c>
      <c r="H294" s="337">
        <v>-0.22603354420695299</v>
      </c>
      <c r="I294" s="337">
        <v>-0.24072453080913142</v>
      </c>
      <c r="J294" s="337">
        <v>-0.21260013613667531</v>
      </c>
      <c r="K294" s="337">
        <v>-0.22680915763606013</v>
      </c>
      <c r="L294" s="337">
        <v>-0.36034597661389667</v>
      </c>
      <c r="M294" s="337">
        <v>-0.40699515198216352</v>
      </c>
      <c r="N294" s="337">
        <v>-0.20709981784953957</v>
      </c>
      <c r="O294" s="337">
        <v>-0.15220141410827645</v>
      </c>
      <c r="P294" s="337">
        <v>-0.32108475611760107</v>
      </c>
      <c r="Q294" s="338">
        <v>-0.231535346430221</v>
      </c>
    </row>
    <row r="295" spans="2:17" x14ac:dyDescent="0.25">
      <c r="B295" s="48">
        <v>2</v>
      </c>
      <c r="C295" s="49">
        <v>3</v>
      </c>
      <c r="D295" s="50" t="s">
        <v>195</v>
      </c>
      <c r="E295" s="336">
        <v>4.2987337571850316E-3</v>
      </c>
      <c r="F295" s="337">
        <v>4.3227398404800926E-3</v>
      </c>
      <c r="G295" s="337">
        <v>4.3535511347334264E-3</v>
      </c>
      <c r="H295" s="337">
        <v>4.317649501927999E-3</v>
      </c>
      <c r="I295" s="337">
        <v>4.7825834226867675E-3</v>
      </c>
      <c r="J295" s="337">
        <v>4.3248349414283056E-3</v>
      </c>
      <c r="K295" s="337">
        <v>4.4964703831824621E-3</v>
      </c>
      <c r="L295" s="337">
        <v>8.3102423179585126E-3</v>
      </c>
      <c r="M295" s="337">
        <v>1.0142414858846973E-2</v>
      </c>
      <c r="N295" s="337">
        <v>4.1762799742431234E-3</v>
      </c>
      <c r="O295" s="337">
        <v>2.7193409023862931E-3</v>
      </c>
      <c r="P295" s="337">
        <v>7.1644788577562308E-3</v>
      </c>
      <c r="Q295" s="338">
        <v>4.5787456671026521E-3</v>
      </c>
    </row>
    <row r="296" spans="2:17" x14ac:dyDescent="0.25">
      <c r="B296" s="48">
        <v>3</v>
      </c>
      <c r="C296" s="49">
        <v>1</v>
      </c>
      <c r="D296" s="50" t="s">
        <v>192</v>
      </c>
      <c r="E296" s="336">
        <v>85.830122629801366</v>
      </c>
      <c r="F296" s="337">
        <v>92.536491394042912</v>
      </c>
      <c r="G296" s="337">
        <v>94.508572896321553</v>
      </c>
      <c r="H296" s="337">
        <v>94.477876408894787</v>
      </c>
      <c r="I296" s="337">
        <v>92.942376454671177</v>
      </c>
      <c r="J296" s="337">
        <v>87.551662572224885</v>
      </c>
      <c r="K296" s="337">
        <v>92.29077707926433</v>
      </c>
      <c r="L296" s="337">
        <v>88.138392639160131</v>
      </c>
      <c r="M296" s="337">
        <v>105.72302913665769</v>
      </c>
      <c r="N296" s="337">
        <v>87.795200347900334</v>
      </c>
      <c r="O296" s="337">
        <v>83.048541259765599</v>
      </c>
      <c r="P296" s="337">
        <v>85.23340466817217</v>
      </c>
      <c r="Q296" s="338">
        <v>92.065685056050583</v>
      </c>
    </row>
    <row r="297" spans="2:17" x14ac:dyDescent="0.25">
      <c r="B297" s="48">
        <v>3</v>
      </c>
      <c r="C297" s="49">
        <v>1</v>
      </c>
      <c r="D297" s="50" t="s">
        <v>193</v>
      </c>
      <c r="E297" s="336">
        <v>2.7635397307152307</v>
      </c>
      <c r="F297" s="337">
        <v>2.0285995464132429</v>
      </c>
      <c r="G297" s="337">
        <v>1.8036128794767283</v>
      </c>
      <c r="H297" s="337">
        <v>1.8109437546808063</v>
      </c>
      <c r="I297" s="337">
        <v>1.7820103792784974</v>
      </c>
      <c r="J297" s="337">
        <v>1.5277697397186238</v>
      </c>
      <c r="K297" s="337">
        <v>1.5716678972103468</v>
      </c>
      <c r="L297" s="337">
        <v>1.7835830467656884</v>
      </c>
      <c r="M297" s="337">
        <v>-3.4760724590467413</v>
      </c>
      <c r="N297" s="337">
        <v>1.4206788178646317</v>
      </c>
      <c r="O297" s="337">
        <v>1.6875395400633477</v>
      </c>
      <c r="P297" s="337">
        <v>2.0948016008111821</v>
      </c>
      <c r="Q297" s="338">
        <v>1.7223859303555278</v>
      </c>
    </row>
    <row r="298" spans="2:17" x14ac:dyDescent="0.25">
      <c r="B298" s="48">
        <v>3</v>
      </c>
      <c r="C298" s="49">
        <v>1</v>
      </c>
      <c r="D298" s="50" t="s">
        <v>194</v>
      </c>
      <c r="E298" s="336">
        <v>-0.72779434933251308</v>
      </c>
      <c r="F298" s="337">
        <v>-0.71807055762319993</v>
      </c>
      <c r="G298" s="337">
        <v>-0.71418937992104947</v>
      </c>
      <c r="H298" s="337">
        <v>-0.71473956330395183</v>
      </c>
      <c r="I298" s="337">
        <v>-0.70216795725700309</v>
      </c>
      <c r="J298" s="337">
        <v>-0.60886401785559419</v>
      </c>
      <c r="K298" s="337">
        <v>-0.66870562624542318</v>
      </c>
      <c r="L298" s="337">
        <v>-0.70979126794632796</v>
      </c>
      <c r="M298" s="337">
        <v>-0.33787016490678512</v>
      </c>
      <c r="N298" s="337">
        <v>-0.59864575935132691</v>
      </c>
      <c r="O298" s="337">
        <v>-0.57670531406269243</v>
      </c>
      <c r="P298" s="337">
        <v>-0.71218387897198043</v>
      </c>
      <c r="Q298" s="338">
        <v>-0.68452418730809239</v>
      </c>
    </row>
    <row r="299" spans="2:17" x14ac:dyDescent="0.25">
      <c r="B299" s="48">
        <v>3</v>
      </c>
      <c r="C299" s="49">
        <v>1</v>
      </c>
      <c r="D299" s="50" t="s">
        <v>195</v>
      </c>
      <c r="E299" s="336">
        <v>2.2839193670158759E-2</v>
      </c>
      <c r="F299" s="337">
        <v>2.3385381457781605E-2</v>
      </c>
      <c r="G299" s="337">
        <v>2.3516990551211286E-2</v>
      </c>
      <c r="H299" s="337">
        <v>2.3530086715182575E-2</v>
      </c>
      <c r="I299" s="337">
        <v>2.3103097750405185E-2</v>
      </c>
      <c r="J299" s="337">
        <v>1.9690213874040352E-2</v>
      </c>
      <c r="K299" s="337">
        <v>2.2022694604009654E-2</v>
      </c>
      <c r="L299" s="337">
        <v>2.3729315078249269E-2</v>
      </c>
      <c r="M299" s="337">
        <v>1.5756098216322879E-2</v>
      </c>
      <c r="N299" s="337">
        <v>1.9414031144344486E-2</v>
      </c>
      <c r="O299" s="337">
        <v>1.8213254773718695E-2</v>
      </c>
      <c r="P299" s="337">
        <v>2.3416125598394712E-2</v>
      </c>
      <c r="Q299" s="338">
        <v>2.2473035751615505E-2</v>
      </c>
    </row>
    <row r="300" spans="2:17" x14ac:dyDescent="0.25">
      <c r="B300" s="48">
        <v>3</v>
      </c>
      <c r="C300" s="49">
        <v>2</v>
      </c>
      <c r="D300" s="50" t="s">
        <v>192</v>
      </c>
      <c r="E300" s="336">
        <v>66.889725367228124</v>
      </c>
      <c r="F300" s="337">
        <v>67.734712473551411</v>
      </c>
      <c r="G300" s="337">
        <v>68.042832819620713</v>
      </c>
      <c r="H300" s="337">
        <v>67.865694808959915</v>
      </c>
      <c r="I300" s="337">
        <v>67.809558614094982</v>
      </c>
      <c r="J300" s="337">
        <v>65.530953725179003</v>
      </c>
      <c r="K300" s="337">
        <v>66.565789922078395</v>
      </c>
      <c r="L300" s="337">
        <v>68.218317667643191</v>
      </c>
      <c r="M300" s="337">
        <v>65.670848910013774</v>
      </c>
      <c r="N300" s="337">
        <v>65.159398523966431</v>
      </c>
      <c r="O300" s="337">
        <v>61.232092030843063</v>
      </c>
      <c r="P300" s="337">
        <v>64.934306971232047</v>
      </c>
      <c r="Q300" s="338">
        <v>67.070201529184942</v>
      </c>
    </row>
    <row r="301" spans="2:17" x14ac:dyDescent="0.25">
      <c r="B301" s="48">
        <v>3</v>
      </c>
      <c r="C301" s="49">
        <v>2</v>
      </c>
      <c r="D301" s="50" t="s">
        <v>193</v>
      </c>
      <c r="E301" s="336">
        <v>3.9226266872818147</v>
      </c>
      <c r="F301" s="337">
        <v>3.9546437559891139</v>
      </c>
      <c r="G301" s="337">
        <v>3.9713836616569602</v>
      </c>
      <c r="H301" s="337">
        <v>3.9656639569659839</v>
      </c>
      <c r="I301" s="337">
        <v>3.8957602183024234</v>
      </c>
      <c r="J301" s="337">
        <v>3.0181495185591296</v>
      </c>
      <c r="K301" s="337">
        <v>3.6025511805364809</v>
      </c>
      <c r="L301" s="337">
        <v>4.0773213615506512</v>
      </c>
      <c r="M301" s="337">
        <v>3.2666042758775844</v>
      </c>
      <c r="N301" s="337">
        <v>2.9587186040485656</v>
      </c>
      <c r="O301" s="337">
        <v>2.5517226799384769</v>
      </c>
      <c r="P301" s="337">
        <v>4.0050218877814725</v>
      </c>
      <c r="Q301" s="338">
        <v>3.7436737218862826</v>
      </c>
    </row>
    <row r="302" spans="2:17" x14ac:dyDescent="0.25">
      <c r="B302" s="48">
        <v>3</v>
      </c>
      <c r="C302" s="49">
        <v>2</v>
      </c>
      <c r="D302" s="50" t="s">
        <v>194</v>
      </c>
      <c r="E302" s="336">
        <v>-0.64618385977400628</v>
      </c>
      <c r="F302" s="337">
        <v>-0.65976286601353451</v>
      </c>
      <c r="G302" s="337">
        <v>-0.66532817142548939</v>
      </c>
      <c r="H302" s="337">
        <v>-0.66260029052521086</v>
      </c>
      <c r="I302" s="337">
        <v>-0.66239528222517663</v>
      </c>
      <c r="J302" s="337">
        <v>-0.53933227923644522</v>
      </c>
      <c r="K302" s="337">
        <v>-0.61502030068066427</v>
      </c>
      <c r="L302" s="337">
        <v>-0.74860379134580635</v>
      </c>
      <c r="M302" s="337">
        <v>-0.68580074076886099</v>
      </c>
      <c r="N302" s="337">
        <v>-0.5285024131650421</v>
      </c>
      <c r="O302" s="337">
        <v>-0.44201274407215674</v>
      </c>
      <c r="P302" s="337">
        <v>-0.69930575277421991</v>
      </c>
      <c r="Q302" s="338">
        <v>-0.63723426639339076</v>
      </c>
    </row>
    <row r="303" spans="2:17" x14ac:dyDescent="0.25">
      <c r="B303" s="48">
        <v>3</v>
      </c>
      <c r="C303" s="49">
        <v>2</v>
      </c>
      <c r="D303" s="50" t="s">
        <v>195</v>
      </c>
      <c r="E303" s="336">
        <v>1.8109190250980688E-2</v>
      </c>
      <c r="F303" s="337">
        <v>1.8610224671945546E-2</v>
      </c>
      <c r="G303" s="337">
        <v>1.8811155866076103E-2</v>
      </c>
      <c r="H303" s="337">
        <v>1.8709609465906617E-2</v>
      </c>
      <c r="I303" s="337">
        <v>1.8829537160468868E-2</v>
      </c>
      <c r="J303" s="337">
        <v>1.5120511473660912E-2</v>
      </c>
      <c r="K303" s="337">
        <v>1.7333846455316954E-2</v>
      </c>
      <c r="L303" s="337">
        <v>2.2320049070256053E-2</v>
      </c>
      <c r="M303" s="337">
        <v>2.1199707338396902E-2</v>
      </c>
      <c r="N303" s="337">
        <v>1.4769561455614755E-2</v>
      </c>
      <c r="O303" s="337">
        <v>1.1916750516646972E-2</v>
      </c>
      <c r="P303" s="337">
        <v>2.0410562728668473E-2</v>
      </c>
      <c r="Q303" s="338">
        <v>1.8039279102630749E-2</v>
      </c>
    </row>
    <row r="304" spans="2:17" x14ac:dyDescent="0.25">
      <c r="B304" s="48">
        <v>3</v>
      </c>
      <c r="C304" s="49">
        <v>3</v>
      </c>
      <c r="D304" s="50" t="s">
        <v>192</v>
      </c>
      <c r="E304" s="336">
        <v>48.966009012858066</v>
      </c>
      <c r="F304" s="337">
        <v>48.992190043131501</v>
      </c>
      <c r="G304" s="337">
        <v>49.013510767618804</v>
      </c>
      <c r="H304" s="337">
        <v>48.985362370808915</v>
      </c>
      <c r="I304" s="337">
        <v>48.8140972137451</v>
      </c>
      <c r="J304" s="337">
        <v>47.971480560302723</v>
      </c>
      <c r="K304" s="337">
        <v>48.432921218872053</v>
      </c>
      <c r="L304" s="337">
        <v>47.08796043395995</v>
      </c>
      <c r="M304" s="337">
        <v>44.109533119201622</v>
      </c>
      <c r="N304" s="337">
        <v>47.838814036051417</v>
      </c>
      <c r="O304" s="337">
        <v>45.985354359944651</v>
      </c>
      <c r="P304" s="337">
        <v>46.67900848388669</v>
      </c>
      <c r="Q304" s="338">
        <v>48.48776222737628</v>
      </c>
    </row>
    <row r="305" spans="2:17" x14ac:dyDescent="0.25">
      <c r="B305" s="48">
        <v>3</v>
      </c>
      <c r="C305" s="49">
        <v>3</v>
      </c>
      <c r="D305" s="50" t="s">
        <v>193</v>
      </c>
      <c r="E305" s="336">
        <v>1.8665242761998748</v>
      </c>
      <c r="F305" s="337">
        <v>1.8724661721864597</v>
      </c>
      <c r="G305" s="337">
        <v>1.8815776314398269</v>
      </c>
      <c r="H305" s="337">
        <v>1.8714537602019308</v>
      </c>
      <c r="I305" s="337">
        <v>1.9699165181958054</v>
      </c>
      <c r="J305" s="337">
        <v>1.6144311744850015</v>
      </c>
      <c r="K305" s="337">
        <v>1.8187783811105367</v>
      </c>
      <c r="L305" s="337">
        <v>2.9228551956508766</v>
      </c>
      <c r="M305" s="337">
        <v>3.2154786646041975</v>
      </c>
      <c r="N305" s="337">
        <v>1.5682175902312567</v>
      </c>
      <c r="O305" s="337">
        <v>1.1190635100203905</v>
      </c>
      <c r="P305" s="337">
        <v>2.6041565700937115</v>
      </c>
      <c r="Q305" s="338">
        <v>1.8815236952217849</v>
      </c>
    </row>
    <row r="306" spans="2:17" x14ac:dyDescent="0.25">
      <c r="B306" s="48">
        <v>3</v>
      </c>
      <c r="C306" s="49">
        <v>3</v>
      </c>
      <c r="D306" s="50" t="s">
        <v>194</v>
      </c>
      <c r="E306" s="336">
        <v>-0.22391949000058473</v>
      </c>
      <c r="F306" s="337">
        <v>-0.22477679319315019</v>
      </c>
      <c r="G306" s="337">
        <v>-0.22591676134051705</v>
      </c>
      <c r="H306" s="337">
        <v>-0.22460565922699341</v>
      </c>
      <c r="I306" s="337">
        <v>-0.23976811051090849</v>
      </c>
      <c r="J306" s="337">
        <v>-0.21075267113727858</v>
      </c>
      <c r="K306" s="337">
        <v>-0.22541303623528486</v>
      </c>
      <c r="L306" s="337">
        <v>-0.36321311897331221</v>
      </c>
      <c r="M306" s="337">
        <v>-0.42277883316253484</v>
      </c>
      <c r="N306" s="337">
        <v>-0.20509906637640843</v>
      </c>
      <c r="O306" s="337">
        <v>-0.14855949250690323</v>
      </c>
      <c r="P306" s="337">
        <v>-0.32278193571628705</v>
      </c>
      <c r="Q306" s="338">
        <v>-0.23052155087322135</v>
      </c>
    </row>
    <row r="307" spans="2:17" x14ac:dyDescent="0.25">
      <c r="B307" s="48">
        <v>3</v>
      </c>
      <c r="C307" s="49">
        <v>3</v>
      </c>
      <c r="D307" s="50" t="s">
        <v>195</v>
      </c>
      <c r="E307" s="336">
        <v>4.2354607637667711E-3</v>
      </c>
      <c r="F307" s="337">
        <v>4.2603284514218971E-3</v>
      </c>
      <c r="G307" s="337">
        <v>4.2920413643422776E-3</v>
      </c>
      <c r="H307" s="337">
        <v>4.2551265915142297E-3</v>
      </c>
      <c r="I307" s="337">
        <v>4.7349804764861038E-3</v>
      </c>
      <c r="J307" s="337">
        <v>4.2628911269572559E-3</v>
      </c>
      <c r="K307" s="337">
        <v>4.4398953401495961E-3</v>
      </c>
      <c r="L307" s="337">
        <v>8.3753799595569899E-3</v>
      </c>
      <c r="M307" s="337">
        <v>1.0682668487694079E-2</v>
      </c>
      <c r="N307" s="337">
        <v>4.110292306498408E-3</v>
      </c>
      <c r="O307" s="337">
        <v>2.6106675095398904E-3</v>
      </c>
      <c r="P307" s="337">
        <v>7.1956285137304123E-3</v>
      </c>
      <c r="Q307" s="338">
        <v>4.5332226895878677E-3</v>
      </c>
    </row>
    <row r="308" spans="2:17" x14ac:dyDescent="0.25">
      <c r="B308" s="48">
        <v>4</v>
      </c>
      <c r="C308" s="49">
        <v>1</v>
      </c>
      <c r="D308" s="50" t="s">
        <v>192</v>
      </c>
      <c r="E308" s="336">
        <v>85.832800038655535</v>
      </c>
      <c r="F308" s="337">
        <v>92.540578460693354</v>
      </c>
      <c r="G308" s="337">
        <v>94.513066609700502</v>
      </c>
      <c r="H308" s="337">
        <v>94.482373428344715</v>
      </c>
      <c r="I308" s="337">
        <v>92.946547953287691</v>
      </c>
      <c r="J308" s="337">
        <v>87.554723230997666</v>
      </c>
      <c r="K308" s="337">
        <v>92.29482447306313</v>
      </c>
      <c r="L308" s="337">
        <v>94.648278935750255</v>
      </c>
      <c r="M308" s="337">
        <v>104.44223028818763</v>
      </c>
      <c r="N308" s="337">
        <v>87.798326365153002</v>
      </c>
      <c r="O308" s="337">
        <v>83.050694529215434</v>
      </c>
      <c r="P308" s="337">
        <v>88.858170700073231</v>
      </c>
      <c r="Q308" s="338">
        <v>92.311571414947451</v>
      </c>
    </row>
    <row r="309" spans="2:17" x14ac:dyDescent="0.25">
      <c r="B309" s="48">
        <v>4</v>
      </c>
      <c r="C309" s="49">
        <v>1</v>
      </c>
      <c r="D309" s="50" t="s">
        <v>193</v>
      </c>
      <c r="E309" s="336">
        <v>2.7640274980777932</v>
      </c>
      <c r="F309" s="337">
        <v>2.0289355424734312</v>
      </c>
      <c r="G309" s="337">
        <v>1.8039019772871288</v>
      </c>
      <c r="H309" s="337">
        <v>1.8112324942149445</v>
      </c>
      <c r="I309" s="337">
        <v>1.7822952948528228</v>
      </c>
      <c r="J309" s="337">
        <v>1.5279946794043269</v>
      </c>
      <c r="K309" s="337">
        <v>1.5719057681862512</v>
      </c>
      <c r="L309" s="337">
        <v>1.0704620353177241</v>
      </c>
      <c r="M309" s="337">
        <v>-2.7444531154335996</v>
      </c>
      <c r="N309" s="337">
        <v>1.4208792291506411</v>
      </c>
      <c r="O309" s="337">
        <v>1.6877910640690041</v>
      </c>
      <c r="P309" s="337">
        <v>1.8758566147982865</v>
      </c>
      <c r="Q309" s="338">
        <v>1.7115164561853493</v>
      </c>
    </row>
    <row r="310" spans="2:17" x14ac:dyDescent="0.25">
      <c r="B310" s="48">
        <v>4</v>
      </c>
      <c r="C310" s="49">
        <v>1</v>
      </c>
      <c r="D310" s="50" t="s">
        <v>194</v>
      </c>
      <c r="E310" s="336">
        <v>-0.72784154065005624</v>
      </c>
      <c r="F310" s="337">
        <v>-0.71811608890275647</v>
      </c>
      <c r="G310" s="337">
        <v>-0.7142340620080917</v>
      </c>
      <c r="H310" s="337">
        <v>-0.7147842359431702</v>
      </c>
      <c r="I310" s="337">
        <v>-0.70221024182015279</v>
      </c>
      <c r="J310" s="337">
        <v>-0.60888611297785467</v>
      </c>
      <c r="K310" s="337">
        <v>-0.66874065821543216</v>
      </c>
      <c r="L310" s="337">
        <v>-0.71609805847381558</v>
      </c>
      <c r="M310" s="337">
        <v>-0.4426631644055577</v>
      </c>
      <c r="N310" s="337">
        <v>-0.59866562756625141</v>
      </c>
      <c r="O310" s="337">
        <v>-0.57672030942423513</v>
      </c>
      <c r="P310" s="337">
        <v>-0.74447064077381808</v>
      </c>
      <c r="Q310" s="338">
        <v>-0.68749179073147126</v>
      </c>
    </row>
    <row r="311" spans="2:17" x14ac:dyDescent="0.25">
      <c r="B311" s="48">
        <v>4</v>
      </c>
      <c r="C311" s="49">
        <v>1</v>
      </c>
      <c r="D311" s="50" t="s">
        <v>195</v>
      </c>
      <c r="E311" s="336">
        <v>2.2840261922479194E-2</v>
      </c>
      <c r="F311" s="337">
        <v>2.3386577070454089E-2</v>
      </c>
      <c r="G311" s="337">
        <v>2.351821209908276E-2</v>
      </c>
      <c r="H311" s="337">
        <v>2.3531308633556847E-2</v>
      </c>
      <c r="I311" s="337">
        <v>2.3104237231897088E-2</v>
      </c>
      <c r="J311" s="337">
        <v>1.9690620593535657E-2</v>
      </c>
      <c r="K311" s="337">
        <v>2.202360150234222E-2</v>
      </c>
      <c r="L311" s="337">
        <v>2.5275894626685665E-2</v>
      </c>
      <c r="M311" s="337">
        <v>1.9946246945589441E-2</v>
      </c>
      <c r="N311" s="337">
        <v>1.9414379139139213E-2</v>
      </c>
      <c r="O311" s="337">
        <v>1.8213346843675069E-2</v>
      </c>
      <c r="P311" s="337">
        <v>2.537931438185213E-2</v>
      </c>
      <c r="Q311" s="338">
        <v>2.2643445659813851E-2</v>
      </c>
    </row>
    <row r="312" spans="2:17" x14ac:dyDescent="0.25">
      <c r="B312" s="48">
        <v>4</v>
      </c>
      <c r="C312" s="49">
        <v>2</v>
      </c>
      <c r="D312" s="50" t="s">
        <v>192</v>
      </c>
      <c r="E312" s="336">
        <v>66.893019739786723</v>
      </c>
      <c r="F312" s="337">
        <v>67.738194020589162</v>
      </c>
      <c r="G312" s="337">
        <v>68.046365356445278</v>
      </c>
      <c r="H312" s="337">
        <v>67.86921234130854</v>
      </c>
      <c r="I312" s="337">
        <v>67.813058344523071</v>
      </c>
      <c r="J312" s="337">
        <v>65.53397051493323</v>
      </c>
      <c r="K312" s="337">
        <v>66.569029362996361</v>
      </c>
      <c r="L312" s="337">
        <v>67.290371322631756</v>
      </c>
      <c r="M312" s="337">
        <v>64.386387379964134</v>
      </c>
      <c r="N312" s="337">
        <v>65.162361907958953</v>
      </c>
      <c r="O312" s="337">
        <v>61.234284845987908</v>
      </c>
      <c r="P312" s="337">
        <v>64.005513636271075</v>
      </c>
      <c r="Q312" s="338">
        <v>67.001216608683237</v>
      </c>
    </row>
    <row r="313" spans="2:17" x14ac:dyDescent="0.25">
      <c r="B313" s="48">
        <v>4</v>
      </c>
      <c r="C313" s="49">
        <v>2</v>
      </c>
      <c r="D313" s="50" t="s">
        <v>193</v>
      </c>
      <c r="E313" s="336">
        <v>3.9228392343884346</v>
      </c>
      <c r="F313" s="337">
        <v>3.9548608273059411</v>
      </c>
      <c r="G313" s="337">
        <v>3.9716069300043229</v>
      </c>
      <c r="H313" s="337">
        <v>3.965880312100817</v>
      </c>
      <c r="I313" s="337">
        <v>3.8959654783591362</v>
      </c>
      <c r="J313" s="337">
        <v>3.018172672393264</v>
      </c>
      <c r="K313" s="337">
        <v>3.6026960256587008</v>
      </c>
      <c r="L313" s="337">
        <v>4.5729048013131539</v>
      </c>
      <c r="M313" s="337">
        <v>3.999042815539676</v>
      </c>
      <c r="N313" s="337">
        <v>2.9587263771981962</v>
      </c>
      <c r="O313" s="337">
        <v>2.5516343150105598</v>
      </c>
      <c r="P313" s="337">
        <v>4.500704123238414</v>
      </c>
      <c r="Q313" s="338">
        <v>3.7832631154049294</v>
      </c>
    </row>
    <row r="314" spans="2:17" x14ac:dyDescent="0.25">
      <c r="B314" s="48">
        <v>4</v>
      </c>
      <c r="C314" s="49">
        <v>2</v>
      </c>
      <c r="D314" s="50" t="s">
        <v>194</v>
      </c>
      <c r="E314" s="336">
        <v>-0.64620647119197649</v>
      </c>
      <c r="F314" s="337">
        <v>-0.65978817117242061</v>
      </c>
      <c r="G314" s="337">
        <v>-0.66535479650075102</v>
      </c>
      <c r="H314" s="337">
        <v>-0.66262591246402736</v>
      </c>
      <c r="I314" s="337">
        <v>-0.66242124928739077</v>
      </c>
      <c r="J314" s="337">
        <v>-0.53933261824654632</v>
      </c>
      <c r="K314" s="337">
        <v>-0.61503647535275274</v>
      </c>
      <c r="L314" s="337">
        <v>-0.81378803997884697</v>
      </c>
      <c r="M314" s="337">
        <v>-0.79065086902716319</v>
      </c>
      <c r="N314" s="337">
        <v>-0.52850044134891438</v>
      </c>
      <c r="O314" s="337">
        <v>-0.44199200221152929</v>
      </c>
      <c r="P314" s="337">
        <v>-0.76449556895347326</v>
      </c>
      <c r="Q314" s="338">
        <v>-0.64260859810666926</v>
      </c>
    </row>
    <row r="315" spans="2:17" x14ac:dyDescent="0.25">
      <c r="B315" s="48">
        <v>4</v>
      </c>
      <c r="C315" s="49">
        <v>2</v>
      </c>
      <c r="D315" s="50" t="s">
        <v>195</v>
      </c>
      <c r="E315" s="336">
        <v>1.8109640967688488E-2</v>
      </c>
      <c r="F315" s="337">
        <v>1.861077672118076E-2</v>
      </c>
      <c r="G315" s="337">
        <v>1.8811752838780942E-2</v>
      </c>
      <c r="H315" s="337">
        <v>1.8710174945869872E-2</v>
      </c>
      <c r="I315" s="337">
        <v>1.8830139042336384E-2</v>
      </c>
      <c r="J315" s="337">
        <v>1.5120340579224852E-2</v>
      </c>
      <c r="K315" s="337">
        <v>1.7334139337813873E-2</v>
      </c>
      <c r="L315" s="337">
        <v>2.4696281184127616E-2</v>
      </c>
      <c r="M315" s="337">
        <v>2.5391150743533437E-2</v>
      </c>
      <c r="N315" s="337">
        <v>1.4769319332007218E-2</v>
      </c>
      <c r="O315" s="337">
        <v>1.1915899101115079E-2</v>
      </c>
      <c r="P315" s="337">
        <v>2.2786983150609678E-2</v>
      </c>
      <c r="Q315" s="338">
        <v>1.8242276720789506E-2</v>
      </c>
    </row>
    <row r="316" spans="2:17" x14ac:dyDescent="0.25">
      <c r="B316" s="48">
        <v>4</v>
      </c>
      <c r="C316" s="49">
        <v>3</v>
      </c>
      <c r="D316" s="50" t="s">
        <v>192</v>
      </c>
      <c r="E316" s="336">
        <v>48.96859614054361</v>
      </c>
      <c r="F316" s="337">
        <v>48.994790013631167</v>
      </c>
      <c r="G316" s="337">
        <v>49.016117858886709</v>
      </c>
      <c r="H316" s="337">
        <v>48.987968826293923</v>
      </c>
      <c r="I316" s="337">
        <v>48.816662089029926</v>
      </c>
      <c r="J316" s="337">
        <v>47.973871739705388</v>
      </c>
      <c r="K316" s="337">
        <v>48.43540763854979</v>
      </c>
      <c r="L316" s="337">
        <v>46.155177434285463</v>
      </c>
      <c r="M316" s="337">
        <v>42.826911226908322</v>
      </c>
      <c r="N316" s="337">
        <v>47.841176350911446</v>
      </c>
      <c r="O316" s="337">
        <v>45.987332026163728</v>
      </c>
      <c r="P316" s="337">
        <v>45.744565582275357</v>
      </c>
      <c r="Q316" s="338">
        <v>48.41779493713377</v>
      </c>
    </row>
    <row r="317" spans="2:17" x14ac:dyDescent="0.25">
      <c r="B317" s="48">
        <v>4</v>
      </c>
      <c r="C317" s="49">
        <v>3</v>
      </c>
      <c r="D317" s="50" t="s">
        <v>193</v>
      </c>
      <c r="E317" s="336">
        <v>1.8664777669780674</v>
      </c>
      <c r="F317" s="337">
        <v>1.8724178804754772</v>
      </c>
      <c r="G317" s="337">
        <v>1.8815301177848105</v>
      </c>
      <c r="H317" s="337">
        <v>1.8714026585973902</v>
      </c>
      <c r="I317" s="337">
        <v>1.9698876082295154</v>
      </c>
      <c r="J317" s="337">
        <v>1.6143286489384463</v>
      </c>
      <c r="K317" s="337">
        <v>1.8187188135160457</v>
      </c>
      <c r="L317" s="337">
        <v>3.4202135011218013</v>
      </c>
      <c r="M317" s="337">
        <v>3.9465448515491248</v>
      </c>
      <c r="N317" s="337">
        <v>1.5681070703448683</v>
      </c>
      <c r="O317" s="337">
        <v>1.118864483303496</v>
      </c>
      <c r="P317" s="337">
        <v>3.102293305000599</v>
      </c>
      <c r="Q317" s="338">
        <v>1.9209698863796498</v>
      </c>
    </row>
    <row r="318" spans="2:17" x14ac:dyDescent="0.25">
      <c r="B318" s="48">
        <v>4</v>
      </c>
      <c r="C318" s="49">
        <v>3</v>
      </c>
      <c r="D318" s="50" t="s">
        <v>194</v>
      </c>
      <c r="E318" s="336">
        <v>-0.22391004051084029</v>
      </c>
      <c r="F318" s="337">
        <v>-0.22476720309757703</v>
      </c>
      <c r="G318" s="337">
        <v>-0.22590729573389867</v>
      </c>
      <c r="H318" s="337">
        <v>-0.22459578514099141</v>
      </c>
      <c r="I318" s="337">
        <v>-0.23976155483361475</v>
      </c>
      <c r="J318" s="337">
        <v>-0.21074019445405998</v>
      </c>
      <c r="K318" s="337">
        <v>-0.22540361620051619</v>
      </c>
      <c r="L318" s="337">
        <v>-0.42861599688763391</v>
      </c>
      <c r="M318" s="337">
        <v>-0.52746815781493372</v>
      </c>
      <c r="N318" s="337">
        <v>-0.20508560989842278</v>
      </c>
      <c r="O318" s="337">
        <v>-0.14853504209807439</v>
      </c>
      <c r="P318" s="337">
        <v>-0.38828754313898001</v>
      </c>
      <c r="Q318" s="338">
        <v>-0.23587771228977089</v>
      </c>
    </row>
    <row r="319" spans="2:17" x14ac:dyDescent="0.25">
      <c r="B319" s="48">
        <v>4</v>
      </c>
      <c r="C319" s="49">
        <v>3</v>
      </c>
      <c r="D319" s="50" t="s">
        <v>195</v>
      </c>
      <c r="E319" s="336">
        <v>4.2350440406947586E-3</v>
      </c>
      <c r="F319" s="337">
        <v>4.2599074675671944E-3</v>
      </c>
      <c r="G319" s="337">
        <v>4.2916237150131499E-3</v>
      </c>
      <c r="H319" s="337">
        <v>4.254697549222702E-3</v>
      </c>
      <c r="I319" s="337">
        <v>4.7346558233704325E-3</v>
      </c>
      <c r="J319" s="337">
        <v>4.2624731997510023E-3</v>
      </c>
      <c r="K319" s="337">
        <v>4.4395134443447658E-3</v>
      </c>
      <c r="L319" s="337">
        <v>1.0759594371917184E-2</v>
      </c>
      <c r="M319" s="337">
        <v>1.4869745285268363E-2</v>
      </c>
      <c r="N319" s="337">
        <v>4.1098486293445974E-3</v>
      </c>
      <c r="O319" s="337">
        <v>2.6099380820688613E-3</v>
      </c>
      <c r="P319" s="337">
        <v>9.583646786148094E-3</v>
      </c>
      <c r="Q319" s="338">
        <v>4.7358521048005871E-3</v>
      </c>
    </row>
    <row r="320" spans="2:17" x14ac:dyDescent="0.25">
      <c r="B320" s="48">
        <v>5</v>
      </c>
      <c r="C320" s="49">
        <v>1</v>
      </c>
      <c r="D320" s="50" t="s">
        <v>192</v>
      </c>
      <c r="E320" s="336">
        <v>84.17998733520497</v>
      </c>
      <c r="F320" s="337">
        <v>90.883051045735598</v>
      </c>
      <c r="G320" s="337">
        <v>92.854277292887303</v>
      </c>
      <c r="H320" s="337">
        <v>92.823564910888592</v>
      </c>
      <c r="I320" s="337">
        <v>91.489868164062457</v>
      </c>
      <c r="J320" s="337">
        <v>86.138550567626851</v>
      </c>
      <c r="K320" s="337">
        <v>90.845428721109982</v>
      </c>
      <c r="L320" s="337">
        <v>102.79465866088864</v>
      </c>
      <c r="M320" s="337">
        <v>108.4154109954834</v>
      </c>
      <c r="N320" s="337">
        <v>86.385074106852144</v>
      </c>
      <c r="O320" s="337">
        <v>81.662831878662075</v>
      </c>
      <c r="P320" s="337">
        <v>94.51497014363602</v>
      </c>
      <c r="Q320" s="338">
        <v>91.271652575174912</v>
      </c>
    </row>
    <row r="321" spans="2:17" x14ac:dyDescent="0.25">
      <c r="B321" s="48">
        <v>5</v>
      </c>
      <c r="C321" s="49">
        <v>1</v>
      </c>
      <c r="D321" s="50" t="s">
        <v>193</v>
      </c>
      <c r="E321" s="336">
        <v>3.7462224360112772</v>
      </c>
      <c r="F321" s="337">
        <v>3.0134840152387956</v>
      </c>
      <c r="G321" s="337">
        <v>2.7890797639504625</v>
      </c>
      <c r="H321" s="337">
        <v>2.7964196897979736</v>
      </c>
      <c r="I321" s="337">
        <v>2.6736128910067825</v>
      </c>
      <c r="J321" s="337">
        <v>2.3992453443976514</v>
      </c>
      <c r="K321" s="337">
        <v>2.4596042188453326</v>
      </c>
      <c r="L321" s="337">
        <v>-0.52519199175710707</v>
      </c>
      <c r="M321" s="337">
        <v>-4.6835671564174692</v>
      </c>
      <c r="N321" s="337">
        <v>2.2906939418351286</v>
      </c>
      <c r="O321" s="337">
        <v>2.5450587609801727</v>
      </c>
      <c r="P321" s="337">
        <v>0.76706480739094007</v>
      </c>
      <c r="Q321" s="338">
        <v>2.4880788269873078</v>
      </c>
    </row>
    <row r="322" spans="2:17" x14ac:dyDescent="0.25">
      <c r="B322" s="48">
        <v>5</v>
      </c>
      <c r="C322" s="49">
        <v>1</v>
      </c>
      <c r="D322" s="50" t="s">
        <v>194</v>
      </c>
      <c r="E322" s="336">
        <v>-0.87625341148643443</v>
      </c>
      <c r="F322" s="337">
        <v>-0.86680189435020938</v>
      </c>
      <c r="G322" s="337">
        <v>-0.86299299360155401</v>
      </c>
      <c r="H322" s="337">
        <v>-0.86354422791576868</v>
      </c>
      <c r="I322" s="337">
        <v>-0.84152187889828434</v>
      </c>
      <c r="J322" s="337">
        <v>-0.74589314938703288</v>
      </c>
      <c r="K322" s="337">
        <v>-0.80763445923100641</v>
      </c>
      <c r="L322" s="337">
        <v>-0.64441394139003272</v>
      </c>
      <c r="M322" s="337">
        <v>-0.23354794651200556</v>
      </c>
      <c r="N322" s="337">
        <v>-0.73550999247944615</v>
      </c>
      <c r="O322" s="337">
        <v>-0.71213013475591591</v>
      </c>
      <c r="P322" s="337">
        <v>-0.70293578234585996</v>
      </c>
      <c r="Q322" s="338">
        <v>-0.81550696528597222</v>
      </c>
    </row>
    <row r="323" spans="2:17" x14ac:dyDescent="0.25">
      <c r="B323" s="48">
        <v>5</v>
      </c>
      <c r="C323" s="49">
        <v>1</v>
      </c>
      <c r="D323" s="50" t="s">
        <v>195</v>
      </c>
      <c r="E323" s="336">
        <v>2.9129530166412638E-2</v>
      </c>
      <c r="F323" s="337">
        <v>2.9683855400589397E-2</v>
      </c>
      <c r="G323" s="337">
        <v>2.9817622302573382E-2</v>
      </c>
      <c r="H323" s="337">
        <v>2.9830748014146344E-2</v>
      </c>
      <c r="I323" s="337">
        <v>2.9209650850333124E-2</v>
      </c>
      <c r="J323" s="337">
        <v>2.5730313121022121E-2</v>
      </c>
      <c r="K323" s="337">
        <v>2.8116979243316333E-2</v>
      </c>
      <c r="L323" s="337">
        <v>2.6076079526425582E-2</v>
      </c>
      <c r="M323" s="337">
        <v>1.5221002311232334E-2</v>
      </c>
      <c r="N323" s="337">
        <v>2.5449556996865016E-2</v>
      </c>
      <c r="O323" s="337">
        <v>2.4207973721051494E-2</v>
      </c>
      <c r="P323" s="337">
        <v>2.6777883972784536E-2</v>
      </c>
      <c r="Q323" s="338">
        <v>2.8390170570112762E-2</v>
      </c>
    </row>
    <row r="324" spans="2:17" x14ac:dyDescent="0.25">
      <c r="B324" s="48">
        <v>5</v>
      </c>
      <c r="C324" s="49">
        <v>2</v>
      </c>
      <c r="D324" s="50" t="s">
        <v>192</v>
      </c>
      <c r="E324" s="336">
        <v>65.272160593668559</v>
      </c>
      <c r="F324" s="337">
        <v>66.113456217447848</v>
      </c>
      <c r="G324" s="337">
        <v>66.42001317342114</v>
      </c>
      <c r="H324" s="337">
        <v>66.24365463256828</v>
      </c>
      <c r="I324" s="337">
        <v>66.386065419514921</v>
      </c>
      <c r="J324" s="337">
        <v>64.218513615926071</v>
      </c>
      <c r="K324" s="337">
        <v>65.17050984700515</v>
      </c>
      <c r="L324" s="337">
        <v>68.233993784586559</v>
      </c>
      <c r="M324" s="337">
        <v>68.362594223022441</v>
      </c>
      <c r="N324" s="337">
        <v>63.856798934936492</v>
      </c>
      <c r="O324" s="337">
        <v>60.037114842732677</v>
      </c>
      <c r="P324" s="337">
        <v>64.955539449055934</v>
      </c>
      <c r="Q324" s="338">
        <v>65.698231220245304</v>
      </c>
    </row>
    <row r="325" spans="2:17" x14ac:dyDescent="0.25">
      <c r="B325" s="48">
        <v>5</v>
      </c>
      <c r="C325" s="49">
        <v>2</v>
      </c>
      <c r="D325" s="50" t="s">
        <v>193</v>
      </c>
      <c r="E325" s="336">
        <v>4.8890683515737106</v>
      </c>
      <c r="F325" s="337">
        <v>4.9230259389217963</v>
      </c>
      <c r="G325" s="337">
        <v>4.940576821588806</v>
      </c>
      <c r="H325" s="337">
        <v>4.934453764902889</v>
      </c>
      <c r="I325" s="337">
        <v>4.7724497142279052</v>
      </c>
      <c r="J325" s="337">
        <v>3.8394536523737584</v>
      </c>
      <c r="K325" s="337">
        <v>4.4650352525451851</v>
      </c>
      <c r="L325" s="337">
        <v>4.2706969705031934</v>
      </c>
      <c r="M325" s="337">
        <v>2.0582101902669101</v>
      </c>
      <c r="N325" s="337">
        <v>3.7751222486725822</v>
      </c>
      <c r="O325" s="337">
        <v>3.31449387475514</v>
      </c>
      <c r="P325" s="337">
        <v>4.1949106051927627</v>
      </c>
      <c r="Q325" s="338">
        <v>4.5912124101858245</v>
      </c>
    </row>
    <row r="326" spans="2:17" x14ac:dyDescent="0.25">
      <c r="B326" s="48">
        <v>5</v>
      </c>
      <c r="C326" s="49">
        <v>2</v>
      </c>
      <c r="D326" s="50" t="s">
        <v>194</v>
      </c>
      <c r="E326" s="336">
        <v>-0.79275700651404635</v>
      </c>
      <c r="F326" s="337">
        <v>-0.80656400704995301</v>
      </c>
      <c r="G326" s="337">
        <v>-0.81222408579224115</v>
      </c>
      <c r="H326" s="337">
        <v>-0.80944908526671988</v>
      </c>
      <c r="I326" s="337">
        <v>-0.80000355804994749</v>
      </c>
      <c r="J326" s="337">
        <v>-0.67058525052104079</v>
      </c>
      <c r="K326" s="337">
        <v>-0.75098613036540418</v>
      </c>
      <c r="L326" s="337">
        <v>-0.81476633254186914</v>
      </c>
      <c r="M326" s="337">
        <v>-0.58130397552099056</v>
      </c>
      <c r="N326" s="337">
        <v>-0.6591954042305771</v>
      </c>
      <c r="O326" s="337">
        <v>-0.56657159189522266</v>
      </c>
      <c r="P326" s="337">
        <v>-0.7649970799337199</v>
      </c>
      <c r="Q326" s="338">
        <v>-0.77092440523467809</v>
      </c>
    </row>
    <row r="327" spans="2:17" x14ac:dyDescent="0.25">
      <c r="B327" s="48">
        <v>5</v>
      </c>
      <c r="C327" s="49">
        <v>2</v>
      </c>
      <c r="D327" s="50" t="s">
        <v>195</v>
      </c>
      <c r="E327" s="336">
        <v>2.4344318859690236E-2</v>
      </c>
      <c r="F327" s="337">
        <v>2.4852040856960904E-2</v>
      </c>
      <c r="G327" s="337">
        <v>2.5055738225313023E-2</v>
      </c>
      <c r="H327" s="337">
        <v>2.4952812998815455E-2</v>
      </c>
      <c r="I327" s="337">
        <v>2.4884833137286975E-2</v>
      </c>
      <c r="J327" s="337">
        <v>2.0995074867183362E-2</v>
      </c>
      <c r="K327" s="337">
        <v>2.334182393949168E-2</v>
      </c>
      <c r="L327" s="337">
        <v>2.678172312323775E-2</v>
      </c>
      <c r="M327" s="337">
        <v>2.0658139674906251E-2</v>
      </c>
      <c r="N327" s="337">
        <v>2.0628336241010042E-2</v>
      </c>
      <c r="O327" s="337">
        <v>1.7602337360752625E-2</v>
      </c>
      <c r="P327" s="337">
        <v>2.4856615177679231E-2</v>
      </c>
      <c r="Q327" s="338">
        <v>2.3962131248672754E-2</v>
      </c>
    </row>
    <row r="328" spans="2:17" x14ac:dyDescent="0.25">
      <c r="B328" s="48">
        <v>5</v>
      </c>
      <c r="C328" s="49">
        <v>3</v>
      </c>
      <c r="D328" s="50" t="s">
        <v>192</v>
      </c>
      <c r="E328" s="336">
        <v>47.663558832804341</v>
      </c>
      <c r="F328" s="337">
        <v>47.6881294250488</v>
      </c>
      <c r="G328" s="337">
        <v>47.707260513305641</v>
      </c>
      <c r="H328" s="337">
        <v>47.681581624348929</v>
      </c>
      <c r="I328" s="337">
        <v>47.676565170288058</v>
      </c>
      <c r="J328" s="337">
        <v>47.201749038696263</v>
      </c>
      <c r="K328" s="337">
        <v>47.411359786987276</v>
      </c>
      <c r="L328" s="337">
        <v>47.222432327270468</v>
      </c>
      <c r="M328" s="337">
        <v>46.861168924967423</v>
      </c>
      <c r="N328" s="337">
        <v>47.090495427449518</v>
      </c>
      <c r="O328" s="337">
        <v>45.652584966023745</v>
      </c>
      <c r="P328" s="337">
        <v>46.854565048217744</v>
      </c>
      <c r="Q328" s="338">
        <v>47.47245678838091</v>
      </c>
    </row>
    <row r="329" spans="2:17" x14ac:dyDescent="0.25">
      <c r="B329" s="48">
        <v>5</v>
      </c>
      <c r="C329" s="49">
        <v>3</v>
      </c>
      <c r="D329" s="50" t="s">
        <v>193</v>
      </c>
      <c r="E329" s="336">
        <v>2.675096351413095</v>
      </c>
      <c r="F329" s="337">
        <v>2.6818452374177526</v>
      </c>
      <c r="G329" s="337">
        <v>2.6920502799003794</v>
      </c>
      <c r="H329" s="337">
        <v>2.680693411512165</v>
      </c>
      <c r="I329" s="337">
        <v>2.703178451333573</v>
      </c>
      <c r="J329" s="337">
        <v>2.1666422931371834</v>
      </c>
      <c r="K329" s="337">
        <v>2.4946759501074176</v>
      </c>
      <c r="L329" s="337">
        <v>3.0485377148685382</v>
      </c>
      <c r="M329" s="337">
        <v>1.9727584739572497</v>
      </c>
      <c r="N329" s="337">
        <v>2.1098695342264779</v>
      </c>
      <c r="O329" s="337">
        <v>1.4445684654544144</v>
      </c>
      <c r="P329" s="337">
        <v>2.706733824026712</v>
      </c>
      <c r="Q329" s="338">
        <v>2.5499727284528624</v>
      </c>
    </row>
    <row r="330" spans="2:17" x14ac:dyDescent="0.25">
      <c r="B330" s="48">
        <v>5</v>
      </c>
      <c r="C330" s="49">
        <v>3</v>
      </c>
      <c r="D330" s="50" t="s">
        <v>194</v>
      </c>
      <c r="E330" s="336">
        <v>-0.35212292926850625</v>
      </c>
      <c r="F330" s="337">
        <v>-0.35307393207416715</v>
      </c>
      <c r="G330" s="337">
        <v>-0.35434047658960349</v>
      </c>
      <c r="H330" s="337">
        <v>-0.35288658508887699</v>
      </c>
      <c r="I330" s="337">
        <v>-0.36068010885954505</v>
      </c>
      <c r="J330" s="337">
        <v>-0.31114010877542619</v>
      </c>
      <c r="K330" s="337">
        <v>-0.33976803348336793</v>
      </c>
      <c r="L330" s="337">
        <v>-0.42032658470260598</v>
      </c>
      <c r="M330" s="337">
        <v>-0.31368066492058527</v>
      </c>
      <c r="N330" s="337">
        <v>-0.30428820945722018</v>
      </c>
      <c r="O330" s="337">
        <v>-0.22144787961786486</v>
      </c>
      <c r="P330" s="337">
        <v>-0.37682903174198101</v>
      </c>
      <c r="Q330" s="338">
        <v>-0.34332772874609935</v>
      </c>
    </row>
    <row r="331" spans="2:17" x14ac:dyDescent="0.25">
      <c r="B331" s="48">
        <v>5</v>
      </c>
      <c r="C331" s="49">
        <v>3</v>
      </c>
      <c r="D331" s="50" t="s">
        <v>195</v>
      </c>
      <c r="E331" s="336">
        <v>9.9338002230830395E-3</v>
      </c>
      <c r="F331" s="337">
        <v>9.9613926812670787E-3</v>
      </c>
      <c r="G331" s="337">
        <v>9.9967677369077138E-3</v>
      </c>
      <c r="H331" s="337">
        <v>9.9557152809611506E-3</v>
      </c>
      <c r="I331" s="337">
        <v>1.0302168228131651E-2</v>
      </c>
      <c r="J331" s="337">
        <v>9.2592387581019991E-3</v>
      </c>
      <c r="K331" s="337">
        <v>9.8217052364868232E-3</v>
      </c>
      <c r="L331" s="337">
        <v>1.2536993300905531E-2</v>
      </c>
      <c r="M331" s="337">
        <v>9.9879079024367736E-3</v>
      </c>
      <c r="N331" s="337">
        <v>9.0732569831605287E-3</v>
      </c>
      <c r="O331" s="337">
        <v>6.7817972163961519E-3</v>
      </c>
      <c r="P331" s="337">
        <v>1.1256108380327343E-2</v>
      </c>
      <c r="Q331" s="338">
        <v>9.8467291392554095E-3</v>
      </c>
    </row>
    <row r="332" spans="2:17" x14ac:dyDescent="0.25">
      <c r="B332" s="48">
        <v>6</v>
      </c>
      <c r="C332" s="49">
        <v>1</v>
      </c>
      <c r="D332" s="50" t="s">
        <v>192</v>
      </c>
      <c r="E332" s="336">
        <v>84.17998733520497</v>
      </c>
      <c r="F332" s="337">
        <v>90.883051045735598</v>
      </c>
      <c r="G332" s="337">
        <v>92.854277292887303</v>
      </c>
      <c r="H332" s="337">
        <v>92.823564910888592</v>
      </c>
      <c r="I332" s="337">
        <v>91.489868164062457</v>
      </c>
      <c r="J332" s="337">
        <v>86.138550567626851</v>
      </c>
      <c r="K332" s="337">
        <v>90.845428721109982</v>
      </c>
      <c r="L332" s="337">
        <v>102.79465866088864</v>
      </c>
      <c r="M332" s="337">
        <v>108.4154109954834</v>
      </c>
      <c r="N332" s="337">
        <v>86.385074106852144</v>
      </c>
      <c r="O332" s="337">
        <v>81.662831878662075</v>
      </c>
      <c r="P332" s="337">
        <v>94.51497014363602</v>
      </c>
      <c r="Q332" s="338">
        <v>91.271652575174912</v>
      </c>
    </row>
    <row r="333" spans="2:17" x14ac:dyDescent="0.25">
      <c r="B333" s="48">
        <v>6</v>
      </c>
      <c r="C333" s="49">
        <v>1</v>
      </c>
      <c r="D333" s="50" t="s">
        <v>193</v>
      </c>
      <c r="E333" s="336">
        <v>3.7462224360112772</v>
      </c>
      <c r="F333" s="337">
        <v>3.0134840152387956</v>
      </c>
      <c r="G333" s="337">
        <v>2.7890797639504625</v>
      </c>
      <c r="H333" s="337">
        <v>2.7964196897979736</v>
      </c>
      <c r="I333" s="337">
        <v>2.6736128910067825</v>
      </c>
      <c r="J333" s="337">
        <v>2.3992453443976514</v>
      </c>
      <c r="K333" s="337">
        <v>2.4596042188453326</v>
      </c>
      <c r="L333" s="337">
        <v>-0.52519199175710707</v>
      </c>
      <c r="M333" s="337">
        <v>-4.6835671564174692</v>
      </c>
      <c r="N333" s="337">
        <v>2.2906939418351286</v>
      </c>
      <c r="O333" s="337">
        <v>2.5450587609801727</v>
      </c>
      <c r="P333" s="337">
        <v>0.76706480739094007</v>
      </c>
      <c r="Q333" s="338">
        <v>2.4880788269873078</v>
      </c>
    </row>
    <row r="334" spans="2:17" x14ac:dyDescent="0.25">
      <c r="B334" s="48">
        <v>6</v>
      </c>
      <c r="C334" s="49">
        <v>1</v>
      </c>
      <c r="D334" s="50" t="s">
        <v>194</v>
      </c>
      <c r="E334" s="336">
        <v>-0.87625341148643443</v>
      </c>
      <c r="F334" s="337">
        <v>-0.86680189435020938</v>
      </c>
      <c r="G334" s="337">
        <v>-0.86299299360155401</v>
      </c>
      <c r="H334" s="337">
        <v>-0.86354422791576868</v>
      </c>
      <c r="I334" s="337">
        <v>-0.84152187889828434</v>
      </c>
      <c r="J334" s="337">
        <v>-0.74589314938703288</v>
      </c>
      <c r="K334" s="337">
        <v>-0.80763445923100641</v>
      </c>
      <c r="L334" s="337">
        <v>-0.64441394139003272</v>
      </c>
      <c r="M334" s="337">
        <v>-0.23354794651200556</v>
      </c>
      <c r="N334" s="337">
        <v>-0.73550999247944615</v>
      </c>
      <c r="O334" s="337">
        <v>-0.71213013475591591</v>
      </c>
      <c r="P334" s="337">
        <v>-0.70293578234585996</v>
      </c>
      <c r="Q334" s="338">
        <v>-0.81550696528597222</v>
      </c>
    </row>
    <row r="335" spans="2:17" x14ac:dyDescent="0.25">
      <c r="B335" s="48">
        <v>6</v>
      </c>
      <c r="C335" s="49">
        <v>1</v>
      </c>
      <c r="D335" s="50" t="s">
        <v>195</v>
      </c>
      <c r="E335" s="336">
        <v>2.9129530166412638E-2</v>
      </c>
      <c r="F335" s="337">
        <v>2.9683855400589397E-2</v>
      </c>
      <c r="G335" s="337">
        <v>2.9817622302573382E-2</v>
      </c>
      <c r="H335" s="337">
        <v>2.9830748014146344E-2</v>
      </c>
      <c r="I335" s="337">
        <v>2.9209650850333124E-2</v>
      </c>
      <c r="J335" s="337">
        <v>2.5730313121022121E-2</v>
      </c>
      <c r="K335" s="337">
        <v>2.8116979243316333E-2</v>
      </c>
      <c r="L335" s="337">
        <v>2.6076079526425582E-2</v>
      </c>
      <c r="M335" s="337">
        <v>1.5221002311232334E-2</v>
      </c>
      <c r="N335" s="337">
        <v>2.5449556996865016E-2</v>
      </c>
      <c r="O335" s="337">
        <v>2.4207973721051494E-2</v>
      </c>
      <c r="P335" s="337">
        <v>2.6777883972784536E-2</v>
      </c>
      <c r="Q335" s="338">
        <v>2.8390170570112762E-2</v>
      </c>
    </row>
    <row r="336" spans="2:17" x14ac:dyDescent="0.25">
      <c r="B336" s="48">
        <v>6</v>
      </c>
      <c r="C336" s="49">
        <v>2</v>
      </c>
      <c r="D336" s="50" t="s">
        <v>192</v>
      </c>
      <c r="E336" s="336">
        <v>65.272160593668559</v>
      </c>
      <c r="F336" s="337">
        <v>66.113456217447848</v>
      </c>
      <c r="G336" s="337">
        <v>66.42001317342114</v>
      </c>
      <c r="H336" s="337">
        <v>66.24365463256828</v>
      </c>
      <c r="I336" s="337">
        <v>66.386065419514921</v>
      </c>
      <c r="J336" s="337">
        <v>64.218513615926071</v>
      </c>
      <c r="K336" s="337">
        <v>65.17050984700515</v>
      </c>
      <c r="L336" s="337">
        <v>68.233993784586559</v>
      </c>
      <c r="M336" s="337">
        <v>68.362594223022441</v>
      </c>
      <c r="N336" s="337">
        <v>63.856798934936492</v>
      </c>
      <c r="O336" s="337">
        <v>60.037114842732677</v>
      </c>
      <c r="P336" s="337">
        <v>64.955539449055934</v>
      </c>
      <c r="Q336" s="338">
        <v>65.698231220245304</v>
      </c>
    </row>
    <row r="337" spans="2:17" x14ac:dyDescent="0.25">
      <c r="B337" s="48">
        <v>6</v>
      </c>
      <c r="C337" s="49">
        <v>2</v>
      </c>
      <c r="D337" s="50" t="s">
        <v>193</v>
      </c>
      <c r="E337" s="336">
        <v>4.8890683515737106</v>
      </c>
      <c r="F337" s="337">
        <v>4.9230259389217963</v>
      </c>
      <c r="G337" s="337">
        <v>4.940576821588806</v>
      </c>
      <c r="H337" s="337">
        <v>4.934453764902889</v>
      </c>
      <c r="I337" s="337">
        <v>4.7724497142279052</v>
      </c>
      <c r="J337" s="337">
        <v>3.8394536523737584</v>
      </c>
      <c r="K337" s="337">
        <v>4.4650352525451851</v>
      </c>
      <c r="L337" s="337">
        <v>4.2706969705031934</v>
      </c>
      <c r="M337" s="337">
        <v>2.0582101902669101</v>
      </c>
      <c r="N337" s="337">
        <v>3.7751222486725822</v>
      </c>
      <c r="O337" s="337">
        <v>3.31449387475514</v>
      </c>
      <c r="P337" s="337">
        <v>4.1949106051927627</v>
      </c>
      <c r="Q337" s="338">
        <v>4.5912124101858245</v>
      </c>
    </row>
    <row r="338" spans="2:17" x14ac:dyDescent="0.25">
      <c r="B338" s="48">
        <v>6</v>
      </c>
      <c r="C338" s="49">
        <v>2</v>
      </c>
      <c r="D338" s="50" t="s">
        <v>194</v>
      </c>
      <c r="E338" s="336">
        <v>-0.79275700651404635</v>
      </c>
      <c r="F338" s="337">
        <v>-0.80656400704995301</v>
      </c>
      <c r="G338" s="337">
        <v>-0.81222408579224115</v>
      </c>
      <c r="H338" s="337">
        <v>-0.80944908526671988</v>
      </c>
      <c r="I338" s="337">
        <v>-0.80000355804994749</v>
      </c>
      <c r="J338" s="337">
        <v>-0.67058525052104079</v>
      </c>
      <c r="K338" s="337">
        <v>-0.75098613036540418</v>
      </c>
      <c r="L338" s="337">
        <v>-0.81476633254186914</v>
      </c>
      <c r="M338" s="337">
        <v>-0.58130397552099056</v>
      </c>
      <c r="N338" s="337">
        <v>-0.6591954042305771</v>
      </c>
      <c r="O338" s="337">
        <v>-0.56657159189522266</v>
      </c>
      <c r="P338" s="337">
        <v>-0.7649970799337199</v>
      </c>
      <c r="Q338" s="338">
        <v>-0.77092440523467809</v>
      </c>
    </row>
    <row r="339" spans="2:17" x14ac:dyDescent="0.25">
      <c r="B339" s="48">
        <v>6</v>
      </c>
      <c r="C339" s="49">
        <v>2</v>
      </c>
      <c r="D339" s="50" t="s">
        <v>195</v>
      </c>
      <c r="E339" s="336">
        <v>2.4344318859690236E-2</v>
      </c>
      <c r="F339" s="337">
        <v>2.4852040856960904E-2</v>
      </c>
      <c r="G339" s="337">
        <v>2.5055738225313023E-2</v>
      </c>
      <c r="H339" s="337">
        <v>2.4952812998815455E-2</v>
      </c>
      <c r="I339" s="337">
        <v>2.4884833137286975E-2</v>
      </c>
      <c r="J339" s="337">
        <v>2.0995074867183362E-2</v>
      </c>
      <c r="K339" s="337">
        <v>2.334182393949168E-2</v>
      </c>
      <c r="L339" s="337">
        <v>2.678172312323775E-2</v>
      </c>
      <c r="M339" s="337">
        <v>2.0658139674906251E-2</v>
      </c>
      <c r="N339" s="337">
        <v>2.0628336241010042E-2</v>
      </c>
      <c r="O339" s="337">
        <v>1.7602337360752625E-2</v>
      </c>
      <c r="P339" s="337">
        <v>2.4856615177679231E-2</v>
      </c>
      <c r="Q339" s="338">
        <v>2.3962131248672754E-2</v>
      </c>
    </row>
    <row r="340" spans="2:17" x14ac:dyDescent="0.25">
      <c r="B340" s="48">
        <v>6</v>
      </c>
      <c r="C340" s="49">
        <v>3</v>
      </c>
      <c r="D340" s="50" t="s">
        <v>192</v>
      </c>
      <c r="E340" s="336">
        <v>47.663558832804341</v>
      </c>
      <c r="F340" s="337">
        <v>47.6881294250488</v>
      </c>
      <c r="G340" s="337">
        <v>47.707260513305641</v>
      </c>
      <c r="H340" s="337">
        <v>47.681581624348929</v>
      </c>
      <c r="I340" s="337">
        <v>47.676565170288058</v>
      </c>
      <c r="J340" s="337">
        <v>47.201749038696263</v>
      </c>
      <c r="K340" s="337">
        <v>47.411359786987276</v>
      </c>
      <c r="L340" s="337">
        <v>47.222432327270468</v>
      </c>
      <c r="M340" s="337">
        <v>46.861168924967423</v>
      </c>
      <c r="N340" s="337">
        <v>47.090495427449518</v>
      </c>
      <c r="O340" s="337">
        <v>45.652584966023745</v>
      </c>
      <c r="P340" s="337">
        <v>46.854565048217744</v>
      </c>
      <c r="Q340" s="338">
        <v>47.47245678838091</v>
      </c>
    </row>
    <row r="341" spans="2:17" x14ac:dyDescent="0.25">
      <c r="B341" s="48">
        <v>6</v>
      </c>
      <c r="C341" s="49">
        <v>3</v>
      </c>
      <c r="D341" s="50" t="s">
        <v>193</v>
      </c>
      <c r="E341" s="336">
        <v>2.675096351413095</v>
      </c>
      <c r="F341" s="337">
        <v>2.6818452374177526</v>
      </c>
      <c r="G341" s="337">
        <v>2.6920502799003794</v>
      </c>
      <c r="H341" s="337">
        <v>2.680693411512165</v>
      </c>
      <c r="I341" s="337">
        <v>2.703178451333573</v>
      </c>
      <c r="J341" s="337">
        <v>2.1666422931371834</v>
      </c>
      <c r="K341" s="337">
        <v>2.4946759501074176</v>
      </c>
      <c r="L341" s="337">
        <v>3.0485377148685382</v>
      </c>
      <c r="M341" s="337">
        <v>1.9727584739572497</v>
      </c>
      <c r="N341" s="337">
        <v>2.1098695342264779</v>
      </c>
      <c r="O341" s="337">
        <v>1.4445684654544144</v>
      </c>
      <c r="P341" s="337">
        <v>2.706733824026712</v>
      </c>
      <c r="Q341" s="338">
        <v>2.5499727284528624</v>
      </c>
    </row>
    <row r="342" spans="2:17" x14ac:dyDescent="0.25">
      <c r="B342" s="48">
        <v>6</v>
      </c>
      <c r="C342" s="49">
        <v>3</v>
      </c>
      <c r="D342" s="50" t="s">
        <v>194</v>
      </c>
      <c r="E342" s="336">
        <v>-0.35212292926850625</v>
      </c>
      <c r="F342" s="337">
        <v>-0.35307393207416715</v>
      </c>
      <c r="G342" s="337">
        <v>-0.35434047658960349</v>
      </c>
      <c r="H342" s="337">
        <v>-0.35288658508887699</v>
      </c>
      <c r="I342" s="337">
        <v>-0.36068010885954505</v>
      </c>
      <c r="J342" s="337">
        <v>-0.31114010877542619</v>
      </c>
      <c r="K342" s="337">
        <v>-0.33976803348336793</v>
      </c>
      <c r="L342" s="337">
        <v>-0.42032658470260598</v>
      </c>
      <c r="M342" s="337">
        <v>-0.31368066492058527</v>
      </c>
      <c r="N342" s="337">
        <v>-0.30428820945722018</v>
      </c>
      <c r="O342" s="337">
        <v>-0.22144787961786486</v>
      </c>
      <c r="P342" s="337">
        <v>-0.37682903174198101</v>
      </c>
      <c r="Q342" s="338">
        <v>-0.34332772874609935</v>
      </c>
    </row>
    <row r="343" spans="2:17" x14ac:dyDescent="0.25">
      <c r="B343" s="48">
        <v>6</v>
      </c>
      <c r="C343" s="49">
        <v>3</v>
      </c>
      <c r="D343" s="50" t="s">
        <v>195</v>
      </c>
      <c r="E343" s="336">
        <v>9.9338002230830395E-3</v>
      </c>
      <c r="F343" s="337">
        <v>9.9613926812670787E-3</v>
      </c>
      <c r="G343" s="337">
        <v>9.9967677369077138E-3</v>
      </c>
      <c r="H343" s="337">
        <v>9.9557152809611506E-3</v>
      </c>
      <c r="I343" s="337">
        <v>1.0302168228131651E-2</v>
      </c>
      <c r="J343" s="337">
        <v>9.2592387581019991E-3</v>
      </c>
      <c r="K343" s="337">
        <v>9.8217052364868232E-3</v>
      </c>
      <c r="L343" s="337">
        <v>1.2536993300905531E-2</v>
      </c>
      <c r="M343" s="337">
        <v>9.9879079024367736E-3</v>
      </c>
      <c r="N343" s="337">
        <v>9.0732569831605287E-3</v>
      </c>
      <c r="O343" s="337">
        <v>6.7817972163961519E-3</v>
      </c>
      <c r="P343" s="337">
        <v>1.1256108380327343E-2</v>
      </c>
      <c r="Q343" s="338">
        <v>9.8467291392554095E-3</v>
      </c>
    </row>
    <row r="344" spans="2:17" x14ac:dyDescent="0.25">
      <c r="B344" s="48">
        <v>7</v>
      </c>
      <c r="C344" s="49">
        <v>1</v>
      </c>
      <c r="D344" s="50" t="s">
        <v>192</v>
      </c>
      <c r="E344" s="336">
        <v>84.17998733520497</v>
      </c>
      <c r="F344" s="337">
        <v>90.883051045735598</v>
      </c>
      <c r="G344" s="337">
        <v>92.854277292887303</v>
      </c>
      <c r="H344" s="337">
        <v>92.823564910888592</v>
      </c>
      <c r="I344" s="337">
        <v>91.489868164062457</v>
      </c>
      <c r="J344" s="337">
        <v>86.138550567626851</v>
      </c>
      <c r="K344" s="337">
        <v>90.845428721109982</v>
      </c>
      <c r="L344" s="337">
        <v>102.79465866088864</v>
      </c>
      <c r="M344" s="337">
        <v>108.4154109954834</v>
      </c>
      <c r="N344" s="337">
        <v>86.385074106852144</v>
      </c>
      <c r="O344" s="337">
        <v>81.662831878662075</v>
      </c>
      <c r="P344" s="337">
        <v>94.51497014363602</v>
      </c>
      <c r="Q344" s="338">
        <v>91.271652575174912</v>
      </c>
    </row>
    <row r="345" spans="2:17" x14ac:dyDescent="0.25">
      <c r="B345" s="48">
        <v>7</v>
      </c>
      <c r="C345" s="49">
        <v>1</v>
      </c>
      <c r="D345" s="50" t="s">
        <v>193</v>
      </c>
      <c r="E345" s="336">
        <v>3.7462224360112772</v>
      </c>
      <c r="F345" s="337">
        <v>3.0134840152387956</v>
      </c>
      <c r="G345" s="337">
        <v>2.7890797639504625</v>
      </c>
      <c r="H345" s="337">
        <v>2.7964196897979736</v>
      </c>
      <c r="I345" s="337">
        <v>2.6736128910067825</v>
      </c>
      <c r="J345" s="337">
        <v>2.3992453443976514</v>
      </c>
      <c r="K345" s="337">
        <v>2.4596042188453326</v>
      </c>
      <c r="L345" s="337">
        <v>-0.52519199175710707</v>
      </c>
      <c r="M345" s="337">
        <v>-4.6835671564174692</v>
      </c>
      <c r="N345" s="337">
        <v>2.2906939418351286</v>
      </c>
      <c r="O345" s="337">
        <v>2.5450587609801727</v>
      </c>
      <c r="P345" s="337">
        <v>0.76706480739094007</v>
      </c>
      <c r="Q345" s="338">
        <v>2.4880788269873078</v>
      </c>
    </row>
    <row r="346" spans="2:17" x14ac:dyDescent="0.25">
      <c r="B346" s="48">
        <v>7</v>
      </c>
      <c r="C346" s="49">
        <v>1</v>
      </c>
      <c r="D346" s="50" t="s">
        <v>194</v>
      </c>
      <c r="E346" s="336">
        <v>-0.87625341148643443</v>
      </c>
      <c r="F346" s="337">
        <v>-0.86680189435020938</v>
      </c>
      <c r="G346" s="337">
        <v>-0.86299299360155401</v>
      </c>
      <c r="H346" s="337">
        <v>-0.86354422791576868</v>
      </c>
      <c r="I346" s="337">
        <v>-0.84152187889828434</v>
      </c>
      <c r="J346" s="337">
        <v>-0.74589314938703288</v>
      </c>
      <c r="K346" s="337">
        <v>-0.80763445923100641</v>
      </c>
      <c r="L346" s="337">
        <v>-0.64441394139003272</v>
      </c>
      <c r="M346" s="337">
        <v>-0.23354794651200556</v>
      </c>
      <c r="N346" s="337">
        <v>-0.73550999247944615</v>
      </c>
      <c r="O346" s="337">
        <v>-0.71213013475591591</v>
      </c>
      <c r="P346" s="337">
        <v>-0.70293578234585996</v>
      </c>
      <c r="Q346" s="338">
        <v>-0.81550696528597222</v>
      </c>
    </row>
    <row r="347" spans="2:17" x14ac:dyDescent="0.25">
      <c r="B347" s="48">
        <v>7</v>
      </c>
      <c r="C347" s="49">
        <v>1</v>
      </c>
      <c r="D347" s="50" t="s">
        <v>195</v>
      </c>
      <c r="E347" s="336">
        <v>2.9129530166412638E-2</v>
      </c>
      <c r="F347" s="337">
        <v>2.9683855400589397E-2</v>
      </c>
      <c r="G347" s="337">
        <v>2.9817622302573382E-2</v>
      </c>
      <c r="H347" s="337">
        <v>2.9830748014146344E-2</v>
      </c>
      <c r="I347" s="337">
        <v>2.9209650850333124E-2</v>
      </c>
      <c r="J347" s="337">
        <v>2.5730313121022121E-2</v>
      </c>
      <c r="K347" s="337">
        <v>2.8116979243316333E-2</v>
      </c>
      <c r="L347" s="337">
        <v>2.6076079526425582E-2</v>
      </c>
      <c r="M347" s="337">
        <v>1.5221002311232334E-2</v>
      </c>
      <c r="N347" s="337">
        <v>2.5449556996865016E-2</v>
      </c>
      <c r="O347" s="337">
        <v>2.4207973721051494E-2</v>
      </c>
      <c r="P347" s="337">
        <v>2.6777883972784536E-2</v>
      </c>
      <c r="Q347" s="338">
        <v>2.8390170570112762E-2</v>
      </c>
    </row>
    <row r="348" spans="2:17" x14ac:dyDescent="0.25">
      <c r="B348" s="48">
        <v>7</v>
      </c>
      <c r="C348" s="49">
        <v>2</v>
      </c>
      <c r="D348" s="50" t="s">
        <v>192</v>
      </c>
      <c r="E348" s="336">
        <v>65.272160593668559</v>
      </c>
      <c r="F348" s="337">
        <v>66.113456217447848</v>
      </c>
      <c r="G348" s="337">
        <v>66.42001317342114</v>
      </c>
      <c r="H348" s="337">
        <v>66.24365463256828</v>
      </c>
      <c r="I348" s="337">
        <v>66.386065419514921</v>
      </c>
      <c r="J348" s="337">
        <v>64.218513615926071</v>
      </c>
      <c r="K348" s="337">
        <v>65.17050984700515</v>
      </c>
      <c r="L348" s="337">
        <v>68.233993784586559</v>
      </c>
      <c r="M348" s="337">
        <v>68.362594223022441</v>
      </c>
      <c r="N348" s="337">
        <v>63.856798934936492</v>
      </c>
      <c r="O348" s="337">
        <v>60.037114842732677</v>
      </c>
      <c r="P348" s="337">
        <v>64.955539449055934</v>
      </c>
      <c r="Q348" s="338">
        <v>65.698231220245304</v>
      </c>
    </row>
    <row r="349" spans="2:17" x14ac:dyDescent="0.25">
      <c r="B349" s="48">
        <v>7</v>
      </c>
      <c r="C349" s="49">
        <v>2</v>
      </c>
      <c r="D349" s="50" t="s">
        <v>193</v>
      </c>
      <c r="E349" s="336">
        <v>4.8890683515737106</v>
      </c>
      <c r="F349" s="337">
        <v>4.9230259389217963</v>
      </c>
      <c r="G349" s="337">
        <v>4.940576821588806</v>
      </c>
      <c r="H349" s="337">
        <v>4.934453764902889</v>
      </c>
      <c r="I349" s="337">
        <v>4.7724497142279052</v>
      </c>
      <c r="J349" s="337">
        <v>3.8394536523737584</v>
      </c>
      <c r="K349" s="337">
        <v>4.4650352525451851</v>
      </c>
      <c r="L349" s="337">
        <v>4.2706969705031934</v>
      </c>
      <c r="M349" s="337">
        <v>2.0582101902669101</v>
      </c>
      <c r="N349" s="337">
        <v>3.7751222486725822</v>
      </c>
      <c r="O349" s="337">
        <v>3.31449387475514</v>
      </c>
      <c r="P349" s="337">
        <v>4.1949106051927627</v>
      </c>
      <c r="Q349" s="338">
        <v>4.5912124101858245</v>
      </c>
    </row>
    <row r="350" spans="2:17" x14ac:dyDescent="0.25">
      <c r="B350" s="48">
        <v>7</v>
      </c>
      <c r="C350" s="49">
        <v>2</v>
      </c>
      <c r="D350" s="50" t="s">
        <v>194</v>
      </c>
      <c r="E350" s="336">
        <v>-0.79275700651404635</v>
      </c>
      <c r="F350" s="337">
        <v>-0.80656400704995301</v>
      </c>
      <c r="G350" s="337">
        <v>-0.81222408579224115</v>
      </c>
      <c r="H350" s="337">
        <v>-0.80944908526671988</v>
      </c>
      <c r="I350" s="337">
        <v>-0.80000355804994749</v>
      </c>
      <c r="J350" s="337">
        <v>-0.67058525052104079</v>
      </c>
      <c r="K350" s="337">
        <v>-0.75098613036540418</v>
      </c>
      <c r="L350" s="337">
        <v>-0.81476633254186914</v>
      </c>
      <c r="M350" s="337">
        <v>-0.58130397552099056</v>
      </c>
      <c r="N350" s="337">
        <v>-0.6591954042305771</v>
      </c>
      <c r="O350" s="337">
        <v>-0.56657159189522266</v>
      </c>
      <c r="P350" s="337">
        <v>-0.7649970799337199</v>
      </c>
      <c r="Q350" s="338">
        <v>-0.77092440523467809</v>
      </c>
    </row>
    <row r="351" spans="2:17" x14ac:dyDescent="0.25">
      <c r="B351" s="48">
        <v>7</v>
      </c>
      <c r="C351" s="49">
        <v>2</v>
      </c>
      <c r="D351" s="50" t="s">
        <v>195</v>
      </c>
      <c r="E351" s="336">
        <v>2.4344318859690236E-2</v>
      </c>
      <c r="F351" s="337">
        <v>2.4852040856960904E-2</v>
      </c>
      <c r="G351" s="337">
        <v>2.5055738225313023E-2</v>
      </c>
      <c r="H351" s="337">
        <v>2.4952812998815455E-2</v>
      </c>
      <c r="I351" s="337">
        <v>2.4884833137286975E-2</v>
      </c>
      <c r="J351" s="337">
        <v>2.0995074867183362E-2</v>
      </c>
      <c r="K351" s="337">
        <v>2.334182393949168E-2</v>
      </c>
      <c r="L351" s="337">
        <v>2.678172312323775E-2</v>
      </c>
      <c r="M351" s="337">
        <v>2.0658139674906251E-2</v>
      </c>
      <c r="N351" s="337">
        <v>2.0628336241010042E-2</v>
      </c>
      <c r="O351" s="337">
        <v>1.7602337360752625E-2</v>
      </c>
      <c r="P351" s="337">
        <v>2.4856615177679231E-2</v>
      </c>
      <c r="Q351" s="338">
        <v>2.3962131248672754E-2</v>
      </c>
    </row>
    <row r="352" spans="2:17" x14ac:dyDescent="0.25">
      <c r="B352" s="48">
        <v>7</v>
      </c>
      <c r="C352" s="49">
        <v>3</v>
      </c>
      <c r="D352" s="50" t="s">
        <v>192</v>
      </c>
      <c r="E352" s="336">
        <v>47.663558832804341</v>
      </c>
      <c r="F352" s="337">
        <v>47.6881294250488</v>
      </c>
      <c r="G352" s="337">
        <v>47.707260513305641</v>
      </c>
      <c r="H352" s="337">
        <v>47.681581624348929</v>
      </c>
      <c r="I352" s="337">
        <v>47.676565170288058</v>
      </c>
      <c r="J352" s="337">
        <v>47.201749038696263</v>
      </c>
      <c r="K352" s="337">
        <v>47.411359786987276</v>
      </c>
      <c r="L352" s="337">
        <v>47.222432327270468</v>
      </c>
      <c r="M352" s="337">
        <v>46.861168924967423</v>
      </c>
      <c r="N352" s="337">
        <v>47.090495427449518</v>
      </c>
      <c r="O352" s="337">
        <v>45.652584966023745</v>
      </c>
      <c r="P352" s="337">
        <v>46.854565048217744</v>
      </c>
      <c r="Q352" s="338">
        <v>47.47245678838091</v>
      </c>
    </row>
    <row r="353" spans="2:17" x14ac:dyDescent="0.25">
      <c r="B353" s="48">
        <v>7</v>
      </c>
      <c r="C353" s="49">
        <v>3</v>
      </c>
      <c r="D353" s="50" t="s">
        <v>193</v>
      </c>
      <c r="E353" s="336">
        <v>2.675096351413095</v>
      </c>
      <c r="F353" s="337">
        <v>2.6818452374177526</v>
      </c>
      <c r="G353" s="337">
        <v>2.6920502799003794</v>
      </c>
      <c r="H353" s="337">
        <v>2.680693411512165</v>
      </c>
      <c r="I353" s="337">
        <v>2.703178451333573</v>
      </c>
      <c r="J353" s="337">
        <v>2.1666422931371834</v>
      </c>
      <c r="K353" s="337">
        <v>2.4946759501074176</v>
      </c>
      <c r="L353" s="337">
        <v>3.0485377148685382</v>
      </c>
      <c r="M353" s="337">
        <v>1.9727584739572497</v>
      </c>
      <c r="N353" s="337">
        <v>2.1098695342264779</v>
      </c>
      <c r="O353" s="337">
        <v>1.4445684654544144</v>
      </c>
      <c r="P353" s="337">
        <v>2.706733824026712</v>
      </c>
      <c r="Q353" s="338">
        <v>2.5499727284528624</v>
      </c>
    </row>
    <row r="354" spans="2:17" x14ac:dyDescent="0.25">
      <c r="B354" s="48">
        <v>7</v>
      </c>
      <c r="C354" s="49">
        <v>3</v>
      </c>
      <c r="D354" s="50" t="s">
        <v>194</v>
      </c>
      <c r="E354" s="336">
        <v>-0.35212292926850625</v>
      </c>
      <c r="F354" s="337">
        <v>-0.35307393207416715</v>
      </c>
      <c r="G354" s="337">
        <v>-0.35434047658960349</v>
      </c>
      <c r="H354" s="337">
        <v>-0.35288658508887699</v>
      </c>
      <c r="I354" s="337">
        <v>-0.36068010885954505</v>
      </c>
      <c r="J354" s="337">
        <v>-0.31114010877542619</v>
      </c>
      <c r="K354" s="337">
        <v>-0.33976803348336793</v>
      </c>
      <c r="L354" s="337">
        <v>-0.42032658470260598</v>
      </c>
      <c r="M354" s="337">
        <v>-0.31368066492058527</v>
      </c>
      <c r="N354" s="337">
        <v>-0.30428820945722018</v>
      </c>
      <c r="O354" s="337">
        <v>-0.22144787961786486</v>
      </c>
      <c r="P354" s="337">
        <v>-0.37682903174198101</v>
      </c>
      <c r="Q354" s="338">
        <v>-0.34332772874609935</v>
      </c>
    </row>
    <row r="355" spans="2:17" x14ac:dyDescent="0.25">
      <c r="B355" s="62">
        <v>7</v>
      </c>
      <c r="C355" s="63">
        <v>3</v>
      </c>
      <c r="D355" s="128" t="s">
        <v>195</v>
      </c>
      <c r="E355" s="339">
        <v>9.9338002230830395E-3</v>
      </c>
      <c r="F355" s="340">
        <v>9.9613926812670787E-3</v>
      </c>
      <c r="G355" s="340">
        <v>9.9967677369077138E-3</v>
      </c>
      <c r="H355" s="340">
        <v>9.9557152809611506E-3</v>
      </c>
      <c r="I355" s="340">
        <v>1.0302168228131651E-2</v>
      </c>
      <c r="J355" s="340">
        <v>9.2592387581019991E-3</v>
      </c>
      <c r="K355" s="340">
        <v>9.8217052364868232E-3</v>
      </c>
      <c r="L355" s="340">
        <v>1.2536993300905531E-2</v>
      </c>
      <c r="M355" s="340">
        <v>9.9879079024367736E-3</v>
      </c>
      <c r="N355" s="340">
        <v>9.0732569831605287E-3</v>
      </c>
      <c r="O355" s="340">
        <v>6.7817972163961519E-3</v>
      </c>
      <c r="P355" s="340">
        <v>1.1256108380327343E-2</v>
      </c>
      <c r="Q355" s="341">
        <v>9.8467291392554095E-3</v>
      </c>
    </row>
    <row r="358" spans="2:17" x14ac:dyDescent="0.25">
      <c r="B358" s="209" t="s">
        <v>478</v>
      </c>
    </row>
    <row r="360" spans="2:17" x14ac:dyDescent="0.25">
      <c r="B360" s="87" t="s">
        <v>473</v>
      </c>
    </row>
    <row r="361" spans="2:17" x14ac:dyDescent="0.25">
      <c r="B361" s="89" t="s">
        <v>33</v>
      </c>
      <c r="C361" s="69" t="s">
        <v>472</v>
      </c>
      <c r="D361" s="69" t="s">
        <v>753</v>
      </c>
      <c r="E361" s="12" t="s">
        <v>835</v>
      </c>
      <c r="F361" s="13"/>
      <c r="G361" s="13"/>
      <c r="H361" s="13"/>
      <c r="I361" s="14"/>
    </row>
    <row r="362" spans="2:17" x14ac:dyDescent="0.25">
      <c r="B362" s="91" t="s">
        <v>0</v>
      </c>
      <c r="C362" s="71" t="s">
        <v>772</v>
      </c>
      <c r="D362" s="71" t="s">
        <v>486</v>
      </c>
      <c r="E362" s="68" t="s">
        <v>470</v>
      </c>
      <c r="F362" s="58" t="s">
        <v>471</v>
      </c>
      <c r="G362" s="58" t="s">
        <v>188</v>
      </c>
      <c r="H362" s="58" t="s">
        <v>189</v>
      </c>
      <c r="I362" s="64" t="s">
        <v>190</v>
      </c>
    </row>
    <row r="363" spans="2:17" x14ac:dyDescent="0.25">
      <c r="B363" s="171" t="s">
        <v>463</v>
      </c>
      <c r="C363" s="150">
        <v>1</v>
      </c>
      <c r="D363" s="229">
        <v>0.02</v>
      </c>
      <c r="E363" s="179"/>
      <c r="F363" s="112"/>
      <c r="G363" s="112"/>
      <c r="H363" s="112"/>
      <c r="I363" s="111"/>
    </row>
    <row r="364" spans="2:17" x14ac:dyDescent="0.25">
      <c r="B364" s="171" t="s">
        <v>464</v>
      </c>
      <c r="C364" s="143">
        <v>3</v>
      </c>
      <c r="D364" s="230"/>
      <c r="E364" s="155">
        <v>1</v>
      </c>
      <c r="F364" s="134">
        <v>1</v>
      </c>
      <c r="G364" s="134">
        <v>134</v>
      </c>
      <c r="H364" s="134">
        <v>0.79469999999999996</v>
      </c>
      <c r="I364" s="135">
        <v>5.4000000000000003E-3</v>
      </c>
    </row>
    <row r="365" spans="2:17" x14ac:dyDescent="0.25">
      <c r="B365" s="171" t="s">
        <v>465</v>
      </c>
      <c r="C365" s="143">
        <v>3</v>
      </c>
      <c r="D365" s="230"/>
      <c r="E365" s="155">
        <v>1</v>
      </c>
      <c r="F365" s="134">
        <v>1</v>
      </c>
      <c r="G365" s="134">
        <v>134</v>
      </c>
      <c r="H365" s="134">
        <v>0.79469999999999996</v>
      </c>
      <c r="I365" s="135">
        <v>5.4000000000000003E-3</v>
      </c>
    </row>
    <row r="366" spans="2:17" x14ac:dyDescent="0.25">
      <c r="B366" s="171" t="s">
        <v>72</v>
      </c>
      <c r="C366" s="145">
        <v>1</v>
      </c>
      <c r="D366" s="230">
        <v>0.1</v>
      </c>
      <c r="E366" s="113"/>
      <c r="F366" s="39"/>
      <c r="G366" s="39"/>
      <c r="H366" s="39"/>
      <c r="I366" s="110"/>
    </row>
    <row r="367" spans="2:17" x14ac:dyDescent="0.25">
      <c r="B367" s="171" t="s">
        <v>157</v>
      </c>
      <c r="C367" s="145">
        <v>1</v>
      </c>
      <c r="D367" s="230">
        <v>0.1</v>
      </c>
      <c r="E367" s="113"/>
      <c r="F367" s="39"/>
      <c r="G367" s="39"/>
      <c r="H367" s="39"/>
      <c r="I367" s="110"/>
    </row>
    <row r="368" spans="2:17" x14ac:dyDescent="0.25">
      <c r="B368" s="171" t="s">
        <v>466</v>
      </c>
      <c r="C368" s="145">
        <v>1</v>
      </c>
      <c r="D368" s="230">
        <v>0.05</v>
      </c>
      <c r="E368" s="113"/>
      <c r="F368" s="39"/>
      <c r="G368" s="39"/>
      <c r="H368" s="39"/>
      <c r="I368" s="110"/>
    </row>
    <row r="369" spans="2:9" x14ac:dyDescent="0.25">
      <c r="B369" s="91" t="s">
        <v>468</v>
      </c>
      <c r="C369" s="146">
        <v>1</v>
      </c>
      <c r="D369" s="231">
        <v>0.05</v>
      </c>
      <c r="E369" s="228"/>
      <c r="F369" s="61"/>
      <c r="G369" s="61"/>
      <c r="H369" s="61"/>
      <c r="I369" s="114"/>
    </row>
    <row r="372" spans="2:9" x14ac:dyDescent="0.25">
      <c r="B372" s="209" t="s">
        <v>479</v>
      </c>
    </row>
    <row r="374" spans="2:9" x14ac:dyDescent="0.25">
      <c r="B374" s="81" t="s">
        <v>295</v>
      </c>
    </row>
    <row r="375" spans="2:9" x14ac:dyDescent="0.25">
      <c r="B375" s="69" t="s">
        <v>33</v>
      </c>
      <c r="C375" s="25" t="s">
        <v>30</v>
      </c>
      <c r="D375" s="25" t="s">
        <v>6</v>
      </c>
      <c r="E375" s="66" t="s">
        <v>775</v>
      </c>
      <c r="F375" s="66" t="s">
        <v>775</v>
      </c>
      <c r="G375" s="205" t="s">
        <v>777</v>
      </c>
      <c r="H375" s="14"/>
      <c r="I375" s="28" t="s">
        <v>773</v>
      </c>
    </row>
    <row r="376" spans="2:9" x14ac:dyDescent="0.25">
      <c r="B376" s="71" t="s">
        <v>0</v>
      </c>
      <c r="C376" s="40" t="s">
        <v>34</v>
      </c>
      <c r="D376" s="40" t="s">
        <v>34</v>
      </c>
      <c r="E376" s="68" t="s">
        <v>774</v>
      </c>
      <c r="F376" s="68" t="s">
        <v>776</v>
      </c>
      <c r="G376" s="71" t="s">
        <v>224</v>
      </c>
      <c r="H376" s="71" t="s">
        <v>225</v>
      </c>
      <c r="I376" s="71" t="s">
        <v>460</v>
      </c>
    </row>
    <row r="377" spans="2:9" x14ac:dyDescent="0.25">
      <c r="B377" s="67">
        <v>1</v>
      </c>
      <c r="C377" s="66">
        <v>1</v>
      </c>
      <c r="D377" s="28">
        <v>1</v>
      </c>
      <c r="E377" s="132">
        <v>10</v>
      </c>
      <c r="F377" s="160">
        <v>2</v>
      </c>
      <c r="G377" s="160"/>
      <c r="H377" s="133"/>
      <c r="I377" s="206">
        <v>1</v>
      </c>
    </row>
    <row r="378" spans="2:9" x14ac:dyDescent="0.25">
      <c r="B378" s="67">
        <v>1</v>
      </c>
      <c r="C378" s="67">
        <v>1</v>
      </c>
      <c r="D378" s="44">
        <v>2</v>
      </c>
      <c r="E378" s="134">
        <v>10</v>
      </c>
      <c r="F378" s="143">
        <v>2</v>
      </c>
      <c r="G378" s="143"/>
      <c r="H378" s="135"/>
      <c r="I378" s="207">
        <v>1</v>
      </c>
    </row>
    <row r="379" spans="2:9" x14ac:dyDescent="0.25">
      <c r="B379" s="67">
        <v>1</v>
      </c>
      <c r="C379" s="67">
        <v>1</v>
      </c>
      <c r="D379" s="44">
        <v>3</v>
      </c>
      <c r="E379" s="134">
        <v>10</v>
      </c>
      <c r="F379" s="143">
        <v>2</v>
      </c>
      <c r="G379" s="143">
        <v>2</v>
      </c>
      <c r="H379" s="135">
        <v>1</v>
      </c>
      <c r="I379" s="207">
        <v>1</v>
      </c>
    </row>
    <row r="380" spans="2:9" x14ac:dyDescent="0.25">
      <c r="B380" s="67">
        <v>1</v>
      </c>
      <c r="C380" s="67">
        <v>1</v>
      </c>
      <c r="D380" s="44">
        <v>4</v>
      </c>
      <c r="E380" s="134">
        <v>10</v>
      </c>
      <c r="F380" s="143">
        <v>2</v>
      </c>
      <c r="G380" s="143">
        <v>2</v>
      </c>
      <c r="H380" s="135">
        <v>1</v>
      </c>
      <c r="I380" s="207">
        <v>1</v>
      </c>
    </row>
    <row r="381" spans="2:9" x14ac:dyDescent="0.25">
      <c r="B381" s="67">
        <v>1</v>
      </c>
      <c r="C381" s="68">
        <v>1</v>
      </c>
      <c r="D381" s="64">
        <v>5</v>
      </c>
      <c r="E381" s="136">
        <v>10</v>
      </c>
      <c r="F381" s="158">
        <v>2</v>
      </c>
      <c r="G381" s="158">
        <v>2</v>
      </c>
      <c r="H381" s="137">
        <v>1</v>
      </c>
      <c r="I381" s="208">
        <v>1</v>
      </c>
    </row>
    <row r="382" spans="2:9" x14ac:dyDescent="0.25">
      <c r="B382" s="67">
        <v>1</v>
      </c>
      <c r="C382" s="66">
        <v>2</v>
      </c>
      <c r="D382" s="28">
        <v>1</v>
      </c>
      <c r="E382" s="132">
        <v>10</v>
      </c>
      <c r="F382" s="160">
        <v>2</v>
      </c>
      <c r="G382" s="160"/>
      <c r="H382" s="133"/>
      <c r="I382" s="206">
        <v>1</v>
      </c>
    </row>
    <row r="383" spans="2:9" x14ac:dyDescent="0.25">
      <c r="B383" s="67">
        <v>1</v>
      </c>
      <c r="C383" s="67">
        <v>2</v>
      </c>
      <c r="D383" s="44">
        <v>2</v>
      </c>
      <c r="E383" s="134">
        <v>10</v>
      </c>
      <c r="F383" s="143">
        <v>2</v>
      </c>
      <c r="G383" s="143">
        <v>2</v>
      </c>
      <c r="H383" s="135">
        <v>1</v>
      </c>
      <c r="I383" s="207">
        <v>1</v>
      </c>
    </row>
    <row r="384" spans="2:9" x14ac:dyDescent="0.25">
      <c r="B384" s="67">
        <v>1</v>
      </c>
      <c r="C384" s="67">
        <v>2</v>
      </c>
      <c r="D384" s="44">
        <v>3</v>
      </c>
      <c r="E384" s="134">
        <v>10</v>
      </c>
      <c r="F384" s="143">
        <v>2</v>
      </c>
      <c r="G384" s="143">
        <v>2</v>
      </c>
      <c r="H384" s="135">
        <v>1</v>
      </c>
      <c r="I384" s="207">
        <v>1</v>
      </c>
    </row>
    <row r="385" spans="2:9" x14ac:dyDescent="0.25">
      <c r="B385" s="67">
        <v>1</v>
      </c>
      <c r="C385" s="67">
        <v>2</v>
      </c>
      <c r="D385" s="44">
        <v>4</v>
      </c>
      <c r="E385" s="134">
        <v>10</v>
      </c>
      <c r="F385" s="143">
        <v>2</v>
      </c>
      <c r="G385" s="143">
        <v>2</v>
      </c>
      <c r="H385" s="135">
        <v>1</v>
      </c>
      <c r="I385" s="207">
        <v>1</v>
      </c>
    </row>
    <row r="386" spans="2:9" x14ac:dyDescent="0.25">
      <c r="B386" s="67">
        <v>1</v>
      </c>
      <c r="C386" s="68">
        <v>2</v>
      </c>
      <c r="D386" s="64">
        <v>5</v>
      </c>
      <c r="E386" s="136">
        <v>10</v>
      </c>
      <c r="F386" s="158">
        <v>2</v>
      </c>
      <c r="G386" s="158">
        <v>2</v>
      </c>
      <c r="H386" s="137">
        <v>1</v>
      </c>
      <c r="I386" s="208">
        <v>1</v>
      </c>
    </row>
    <row r="387" spans="2:9" x14ac:dyDescent="0.25">
      <c r="B387" s="67">
        <v>1</v>
      </c>
      <c r="C387" s="67">
        <v>3</v>
      </c>
      <c r="D387" s="44">
        <v>1</v>
      </c>
      <c r="E387" s="132">
        <v>10</v>
      </c>
      <c r="F387" s="160">
        <v>2</v>
      </c>
      <c r="G387" s="160"/>
      <c r="H387" s="133"/>
      <c r="I387" s="206">
        <v>1</v>
      </c>
    </row>
    <row r="388" spans="2:9" x14ac:dyDescent="0.25">
      <c r="B388" s="67">
        <v>1</v>
      </c>
      <c r="C388" s="67">
        <v>3</v>
      </c>
      <c r="D388" s="44">
        <v>2</v>
      </c>
      <c r="E388" s="134">
        <v>10</v>
      </c>
      <c r="F388" s="143">
        <v>2</v>
      </c>
      <c r="G388" s="143">
        <v>2</v>
      </c>
      <c r="H388" s="135">
        <v>1</v>
      </c>
      <c r="I388" s="207">
        <v>1</v>
      </c>
    </row>
    <row r="389" spans="2:9" x14ac:dyDescent="0.25">
      <c r="B389" s="67">
        <v>1</v>
      </c>
      <c r="C389" s="67">
        <v>3</v>
      </c>
      <c r="D389" s="44">
        <v>3</v>
      </c>
      <c r="E389" s="134">
        <v>10</v>
      </c>
      <c r="F389" s="143">
        <v>2</v>
      </c>
      <c r="G389" s="143">
        <v>2</v>
      </c>
      <c r="H389" s="135">
        <v>1</v>
      </c>
      <c r="I389" s="207">
        <v>1</v>
      </c>
    </row>
    <row r="390" spans="2:9" x14ac:dyDescent="0.25">
      <c r="B390" s="67">
        <v>1</v>
      </c>
      <c r="C390" s="67">
        <v>3</v>
      </c>
      <c r="D390" s="44">
        <v>4</v>
      </c>
      <c r="E390" s="134">
        <v>10</v>
      </c>
      <c r="F390" s="143">
        <v>2</v>
      </c>
      <c r="G390" s="143">
        <v>2</v>
      </c>
      <c r="H390" s="135">
        <v>1</v>
      </c>
      <c r="I390" s="207">
        <v>1</v>
      </c>
    </row>
    <row r="391" spans="2:9" x14ac:dyDescent="0.25">
      <c r="B391" s="67">
        <v>1</v>
      </c>
      <c r="C391" s="67">
        <v>3</v>
      </c>
      <c r="D391" s="44">
        <v>5</v>
      </c>
      <c r="E391" s="136">
        <v>10</v>
      </c>
      <c r="F391" s="158">
        <v>2</v>
      </c>
      <c r="G391" s="158">
        <v>2</v>
      </c>
      <c r="H391" s="137">
        <v>1</v>
      </c>
      <c r="I391" s="208">
        <v>1</v>
      </c>
    </row>
    <row r="392" spans="2:9" x14ac:dyDescent="0.25">
      <c r="B392" s="67">
        <v>1</v>
      </c>
      <c r="C392" s="66">
        <v>4</v>
      </c>
      <c r="D392" s="28">
        <v>1</v>
      </c>
      <c r="E392" s="132">
        <v>10</v>
      </c>
      <c r="F392" s="160">
        <v>2</v>
      </c>
      <c r="G392" s="160"/>
      <c r="H392" s="133"/>
      <c r="I392" s="206">
        <v>1</v>
      </c>
    </row>
    <row r="393" spans="2:9" x14ac:dyDescent="0.25">
      <c r="B393" s="67">
        <v>1</v>
      </c>
      <c r="C393" s="67">
        <v>4</v>
      </c>
      <c r="D393" s="44">
        <v>2</v>
      </c>
      <c r="E393" s="134">
        <v>10</v>
      </c>
      <c r="F393" s="143">
        <v>2</v>
      </c>
      <c r="G393" s="143">
        <v>2</v>
      </c>
      <c r="H393" s="135">
        <v>1</v>
      </c>
      <c r="I393" s="207">
        <v>1</v>
      </c>
    </row>
    <row r="394" spans="2:9" x14ac:dyDescent="0.25">
      <c r="B394" s="67">
        <v>1</v>
      </c>
      <c r="C394" s="67">
        <v>4</v>
      </c>
      <c r="D394" s="44">
        <v>3</v>
      </c>
      <c r="E394" s="134">
        <v>10</v>
      </c>
      <c r="F394" s="143">
        <v>2</v>
      </c>
      <c r="G394" s="143">
        <v>2</v>
      </c>
      <c r="H394" s="135">
        <v>1</v>
      </c>
      <c r="I394" s="207">
        <v>1</v>
      </c>
    </row>
    <row r="395" spans="2:9" x14ac:dyDescent="0.25">
      <c r="B395" s="67">
        <v>1</v>
      </c>
      <c r="C395" s="67">
        <v>4</v>
      </c>
      <c r="D395" s="44">
        <v>4</v>
      </c>
      <c r="E395" s="134">
        <v>10</v>
      </c>
      <c r="F395" s="143">
        <v>2</v>
      </c>
      <c r="G395" s="143">
        <v>2</v>
      </c>
      <c r="H395" s="135">
        <v>1</v>
      </c>
      <c r="I395" s="207">
        <v>1</v>
      </c>
    </row>
    <row r="396" spans="2:9" x14ac:dyDescent="0.25">
      <c r="B396" s="67">
        <v>1</v>
      </c>
      <c r="C396" s="68">
        <v>4</v>
      </c>
      <c r="D396" s="64">
        <v>5</v>
      </c>
      <c r="E396" s="136">
        <v>10</v>
      </c>
      <c r="F396" s="158">
        <v>2</v>
      </c>
      <c r="G396" s="158">
        <v>2</v>
      </c>
      <c r="H396" s="137">
        <v>1</v>
      </c>
      <c r="I396" s="208">
        <v>1</v>
      </c>
    </row>
    <row r="397" spans="2:9" x14ac:dyDescent="0.25">
      <c r="B397" s="67">
        <v>1</v>
      </c>
      <c r="C397" s="67">
        <v>5</v>
      </c>
      <c r="D397" s="44">
        <v>1</v>
      </c>
      <c r="E397" s="132">
        <v>10</v>
      </c>
      <c r="F397" s="160">
        <v>2</v>
      </c>
      <c r="G397" s="160"/>
      <c r="H397" s="133"/>
      <c r="I397" s="206">
        <v>1</v>
      </c>
    </row>
    <row r="398" spans="2:9" x14ac:dyDescent="0.25">
      <c r="B398" s="67">
        <v>1</v>
      </c>
      <c r="C398" s="67">
        <v>5</v>
      </c>
      <c r="D398" s="44">
        <v>2</v>
      </c>
      <c r="E398" s="134">
        <v>10</v>
      </c>
      <c r="F398" s="143">
        <v>2</v>
      </c>
      <c r="G398" s="143">
        <v>2</v>
      </c>
      <c r="H398" s="135">
        <v>1</v>
      </c>
      <c r="I398" s="207">
        <v>1</v>
      </c>
    </row>
    <row r="399" spans="2:9" x14ac:dyDescent="0.25">
      <c r="B399" s="67">
        <v>1</v>
      </c>
      <c r="C399" s="67">
        <v>5</v>
      </c>
      <c r="D399" s="44">
        <v>3</v>
      </c>
      <c r="E399" s="134">
        <v>10</v>
      </c>
      <c r="F399" s="143">
        <v>2</v>
      </c>
      <c r="G399" s="143">
        <v>2</v>
      </c>
      <c r="H399" s="135">
        <v>1</v>
      </c>
      <c r="I399" s="207">
        <v>1</v>
      </c>
    </row>
    <row r="400" spans="2:9" x14ac:dyDescent="0.25">
      <c r="B400" s="67">
        <v>1</v>
      </c>
      <c r="C400" s="67">
        <v>5</v>
      </c>
      <c r="D400" s="44">
        <v>4</v>
      </c>
      <c r="E400" s="134">
        <v>10</v>
      </c>
      <c r="F400" s="143">
        <v>2</v>
      </c>
      <c r="G400" s="143">
        <v>2</v>
      </c>
      <c r="H400" s="135">
        <v>1</v>
      </c>
      <c r="I400" s="207">
        <v>1</v>
      </c>
    </row>
    <row r="401" spans="2:9" x14ac:dyDescent="0.25">
      <c r="B401" s="70">
        <v>1</v>
      </c>
      <c r="C401" s="68">
        <v>5</v>
      </c>
      <c r="D401" s="64">
        <v>5</v>
      </c>
      <c r="E401" s="136">
        <v>10</v>
      </c>
      <c r="F401" s="158">
        <v>2</v>
      </c>
      <c r="G401" s="158">
        <v>2</v>
      </c>
      <c r="H401" s="137">
        <v>1</v>
      </c>
      <c r="I401" s="208">
        <v>1</v>
      </c>
    </row>
    <row r="402" spans="2:9" x14ac:dyDescent="0.25">
      <c r="B402" s="67">
        <v>1</v>
      </c>
      <c r="C402" s="66">
        <v>6</v>
      </c>
      <c r="D402" s="28">
        <v>1</v>
      </c>
      <c r="E402" s="132">
        <v>10</v>
      </c>
      <c r="F402" s="160">
        <v>2</v>
      </c>
      <c r="G402" s="160"/>
      <c r="H402" s="133"/>
      <c r="I402" s="206">
        <v>1</v>
      </c>
    </row>
    <row r="403" spans="2:9" x14ac:dyDescent="0.25">
      <c r="B403" s="67">
        <v>1</v>
      </c>
      <c r="C403" s="67">
        <v>6</v>
      </c>
      <c r="D403" s="44">
        <v>2</v>
      </c>
      <c r="E403" s="134">
        <v>10</v>
      </c>
      <c r="F403" s="143">
        <v>2</v>
      </c>
      <c r="G403" s="143">
        <v>2</v>
      </c>
      <c r="H403" s="135">
        <v>1</v>
      </c>
      <c r="I403" s="207">
        <v>1</v>
      </c>
    </row>
    <row r="404" spans="2:9" x14ac:dyDescent="0.25">
      <c r="B404" s="67">
        <v>1</v>
      </c>
      <c r="C404" s="67">
        <v>6</v>
      </c>
      <c r="D404" s="44">
        <v>3</v>
      </c>
      <c r="E404" s="134">
        <v>10</v>
      </c>
      <c r="F404" s="143">
        <v>2</v>
      </c>
      <c r="G404" s="143">
        <v>2</v>
      </c>
      <c r="H404" s="135">
        <v>1</v>
      </c>
      <c r="I404" s="207">
        <v>1</v>
      </c>
    </row>
    <row r="405" spans="2:9" x14ac:dyDescent="0.25">
      <c r="B405" s="67">
        <v>1</v>
      </c>
      <c r="C405" s="67">
        <v>6</v>
      </c>
      <c r="D405" s="44">
        <v>4</v>
      </c>
      <c r="E405" s="134">
        <v>10</v>
      </c>
      <c r="F405" s="143">
        <v>2</v>
      </c>
      <c r="G405" s="143">
        <v>2</v>
      </c>
      <c r="H405" s="135">
        <v>1</v>
      </c>
      <c r="I405" s="207">
        <v>1</v>
      </c>
    </row>
    <row r="406" spans="2:9" x14ac:dyDescent="0.25">
      <c r="B406" s="67">
        <v>1</v>
      </c>
      <c r="C406" s="68">
        <v>6</v>
      </c>
      <c r="D406" s="64">
        <v>5</v>
      </c>
      <c r="E406" s="136">
        <v>10</v>
      </c>
      <c r="F406" s="158">
        <v>2</v>
      </c>
      <c r="G406" s="158">
        <v>2</v>
      </c>
      <c r="H406" s="137">
        <v>1</v>
      </c>
      <c r="I406" s="208">
        <v>1</v>
      </c>
    </row>
    <row r="407" spans="2:9" x14ac:dyDescent="0.25">
      <c r="B407" s="67">
        <v>1</v>
      </c>
      <c r="C407" s="66">
        <v>7</v>
      </c>
      <c r="D407" s="28">
        <v>1</v>
      </c>
      <c r="E407" s="132">
        <v>10</v>
      </c>
      <c r="F407" s="160">
        <v>2</v>
      </c>
      <c r="G407" s="160"/>
      <c r="H407" s="133"/>
      <c r="I407" s="206">
        <v>1</v>
      </c>
    </row>
    <row r="408" spans="2:9" x14ac:dyDescent="0.25">
      <c r="B408" s="67">
        <v>1</v>
      </c>
      <c r="C408" s="67">
        <v>7</v>
      </c>
      <c r="D408" s="44">
        <v>2</v>
      </c>
      <c r="E408" s="134">
        <v>10</v>
      </c>
      <c r="F408" s="143">
        <v>2</v>
      </c>
      <c r="G408" s="143">
        <v>2</v>
      </c>
      <c r="H408" s="135">
        <v>1</v>
      </c>
      <c r="I408" s="207">
        <v>1</v>
      </c>
    </row>
    <row r="409" spans="2:9" x14ac:dyDescent="0.25">
      <c r="B409" s="67">
        <v>1</v>
      </c>
      <c r="C409" s="67">
        <v>7</v>
      </c>
      <c r="D409" s="44">
        <v>3</v>
      </c>
      <c r="E409" s="134">
        <v>10</v>
      </c>
      <c r="F409" s="143">
        <v>2</v>
      </c>
      <c r="G409" s="143">
        <v>2</v>
      </c>
      <c r="H409" s="135">
        <v>1</v>
      </c>
      <c r="I409" s="207">
        <v>1</v>
      </c>
    </row>
    <row r="410" spans="2:9" x14ac:dyDescent="0.25">
      <c r="B410" s="67">
        <v>1</v>
      </c>
      <c r="C410" s="67">
        <v>7</v>
      </c>
      <c r="D410" s="44">
        <v>4</v>
      </c>
      <c r="E410" s="134">
        <v>10</v>
      </c>
      <c r="F410" s="143">
        <v>2</v>
      </c>
      <c r="G410" s="143">
        <v>2</v>
      </c>
      <c r="H410" s="135">
        <v>1</v>
      </c>
      <c r="I410" s="207">
        <v>1</v>
      </c>
    </row>
    <row r="411" spans="2:9" x14ac:dyDescent="0.25">
      <c r="B411" s="67">
        <v>1</v>
      </c>
      <c r="C411" s="68">
        <v>7</v>
      </c>
      <c r="D411" s="64">
        <v>5</v>
      </c>
      <c r="E411" s="136">
        <v>10</v>
      </c>
      <c r="F411" s="158">
        <v>2</v>
      </c>
      <c r="G411" s="158">
        <v>2</v>
      </c>
      <c r="H411" s="137">
        <v>1</v>
      </c>
      <c r="I411" s="208">
        <v>1</v>
      </c>
    </row>
    <row r="412" spans="2:9" x14ac:dyDescent="0.25">
      <c r="B412" s="67">
        <v>1</v>
      </c>
      <c r="C412" s="67">
        <v>8</v>
      </c>
      <c r="D412" s="44">
        <v>1</v>
      </c>
      <c r="E412" s="132">
        <v>10</v>
      </c>
      <c r="F412" s="160">
        <v>2</v>
      </c>
      <c r="G412" s="160"/>
      <c r="H412" s="133"/>
      <c r="I412" s="206">
        <v>1</v>
      </c>
    </row>
    <row r="413" spans="2:9" x14ac:dyDescent="0.25">
      <c r="B413" s="67">
        <v>1</v>
      </c>
      <c r="C413" s="67">
        <v>8</v>
      </c>
      <c r="D413" s="44">
        <v>2</v>
      </c>
      <c r="E413" s="134">
        <v>10</v>
      </c>
      <c r="F413" s="143">
        <v>2</v>
      </c>
      <c r="G413" s="143">
        <v>2</v>
      </c>
      <c r="H413" s="135">
        <v>1</v>
      </c>
      <c r="I413" s="207">
        <v>1</v>
      </c>
    </row>
    <row r="414" spans="2:9" x14ac:dyDescent="0.25">
      <c r="B414" s="67">
        <v>1</v>
      </c>
      <c r="C414" s="67">
        <v>8</v>
      </c>
      <c r="D414" s="44">
        <v>3</v>
      </c>
      <c r="E414" s="134">
        <v>10</v>
      </c>
      <c r="F414" s="143">
        <v>2</v>
      </c>
      <c r="G414" s="143">
        <v>2</v>
      </c>
      <c r="H414" s="135">
        <v>1</v>
      </c>
      <c r="I414" s="207">
        <v>1</v>
      </c>
    </row>
    <row r="415" spans="2:9" x14ac:dyDescent="0.25">
      <c r="B415" s="67">
        <v>1</v>
      </c>
      <c r="C415" s="67">
        <v>8</v>
      </c>
      <c r="D415" s="44">
        <v>4</v>
      </c>
      <c r="E415" s="134">
        <v>10</v>
      </c>
      <c r="F415" s="143">
        <v>2</v>
      </c>
      <c r="G415" s="143">
        <v>2</v>
      </c>
      <c r="H415" s="135">
        <v>1</v>
      </c>
      <c r="I415" s="207">
        <v>1</v>
      </c>
    </row>
    <row r="416" spans="2:9" x14ac:dyDescent="0.25">
      <c r="B416" s="67">
        <v>1</v>
      </c>
      <c r="C416" s="67">
        <v>8</v>
      </c>
      <c r="D416" s="44">
        <v>5</v>
      </c>
      <c r="E416" s="136">
        <v>10</v>
      </c>
      <c r="F416" s="158">
        <v>2</v>
      </c>
      <c r="G416" s="158">
        <v>2</v>
      </c>
      <c r="H416" s="137">
        <v>1</v>
      </c>
      <c r="I416" s="208">
        <v>1</v>
      </c>
    </row>
    <row r="417" spans="2:9" x14ac:dyDescent="0.25">
      <c r="B417" s="67">
        <v>1</v>
      </c>
      <c r="C417" s="66">
        <v>9</v>
      </c>
      <c r="D417" s="28">
        <v>1</v>
      </c>
      <c r="E417" s="132">
        <v>10</v>
      </c>
      <c r="F417" s="160">
        <v>2</v>
      </c>
      <c r="G417" s="160"/>
      <c r="H417" s="133"/>
      <c r="I417" s="206">
        <v>1</v>
      </c>
    </row>
    <row r="418" spans="2:9" x14ac:dyDescent="0.25">
      <c r="B418" s="67">
        <v>1</v>
      </c>
      <c r="C418" s="67">
        <v>9</v>
      </c>
      <c r="D418" s="44">
        <v>2</v>
      </c>
      <c r="E418" s="134">
        <v>10</v>
      </c>
      <c r="F418" s="143">
        <v>2</v>
      </c>
      <c r="G418" s="143">
        <v>2</v>
      </c>
      <c r="H418" s="135">
        <v>1</v>
      </c>
      <c r="I418" s="207">
        <v>1</v>
      </c>
    </row>
    <row r="419" spans="2:9" x14ac:dyDescent="0.25">
      <c r="B419" s="67">
        <v>1</v>
      </c>
      <c r="C419" s="67">
        <v>9</v>
      </c>
      <c r="D419" s="44">
        <v>3</v>
      </c>
      <c r="E419" s="134">
        <v>10</v>
      </c>
      <c r="F419" s="143">
        <v>2</v>
      </c>
      <c r="G419" s="143">
        <v>2</v>
      </c>
      <c r="H419" s="135">
        <v>1</v>
      </c>
      <c r="I419" s="207">
        <v>1</v>
      </c>
    </row>
    <row r="420" spans="2:9" x14ac:dyDescent="0.25">
      <c r="B420" s="67">
        <v>1</v>
      </c>
      <c r="C420" s="67">
        <v>9</v>
      </c>
      <c r="D420" s="44">
        <v>4</v>
      </c>
      <c r="E420" s="134">
        <v>10</v>
      </c>
      <c r="F420" s="143">
        <v>2</v>
      </c>
      <c r="G420" s="143">
        <v>2</v>
      </c>
      <c r="H420" s="135">
        <v>1</v>
      </c>
      <c r="I420" s="207">
        <v>1</v>
      </c>
    </row>
    <row r="421" spans="2:9" x14ac:dyDescent="0.25">
      <c r="B421" s="67">
        <v>1</v>
      </c>
      <c r="C421" s="68">
        <v>9</v>
      </c>
      <c r="D421" s="64">
        <v>5</v>
      </c>
      <c r="E421" s="136">
        <v>10</v>
      </c>
      <c r="F421" s="158">
        <v>2</v>
      </c>
      <c r="G421" s="158">
        <v>2</v>
      </c>
      <c r="H421" s="137">
        <v>1</v>
      </c>
      <c r="I421" s="208">
        <v>1</v>
      </c>
    </row>
    <row r="422" spans="2:9" x14ac:dyDescent="0.25">
      <c r="B422" s="67">
        <v>1</v>
      </c>
      <c r="C422" s="67">
        <v>10</v>
      </c>
      <c r="D422" s="44">
        <v>1</v>
      </c>
      <c r="E422" s="132">
        <v>10</v>
      </c>
      <c r="F422" s="160">
        <v>2</v>
      </c>
      <c r="G422" s="160"/>
      <c r="H422" s="133"/>
      <c r="I422" s="206">
        <v>1</v>
      </c>
    </row>
    <row r="423" spans="2:9" x14ac:dyDescent="0.25">
      <c r="B423" s="67">
        <v>1</v>
      </c>
      <c r="C423" s="67">
        <v>10</v>
      </c>
      <c r="D423" s="44">
        <v>2</v>
      </c>
      <c r="E423" s="134">
        <v>10</v>
      </c>
      <c r="F423" s="143">
        <v>2</v>
      </c>
      <c r="G423" s="143">
        <v>2</v>
      </c>
      <c r="H423" s="135">
        <v>1</v>
      </c>
      <c r="I423" s="207">
        <v>1</v>
      </c>
    </row>
    <row r="424" spans="2:9" x14ac:dyDescent="0.25">
      <c r="B424" s="67">
        <v>1</v>
      </c>
      <c r="C424" s="67">
        <v>10</v>
      </c>
      <c r="D424" s="44">
        <v>3</v>
      </c>
      <c r="E424" s="134">
        <v>10</v>
      </c>
      <c r="F424" s="143">
        <v>2</v>
      </c>
      <c r="G424" s="143">
        <v>2</v>
      </c>
      <c r="H424" s="135">
        <v>1</v>
      </c>
      <c r="I424" s="207">
        <v>1</v>
      </c>
    </row>
    <row r="425" spans="2:9" x14ac:dyDescent="0.25">
      <c r="B425" s="67">
        <v>1</v>
      </c>
      <c r="C425" s="67">
        <v>10</v>
      </c>
      <c r="D425" s="44">
        <v>4</v>
      </c>
      <c r="E425" s="134">
        <v>10</v>
      </c>
      <c r="F425" s="143">
        <v>2</v>
      </c>
      <c r="G425" s="143">
        <v>2</v>
      </c>
      <c r="H425" s="135">
        <v>1</v>
      </c>
      <c r="I425" s="207">
        <v>1</v>
      </c>
    </row>
    <row r="426" spans="2:9" x14ac:dyDescent="0.25">
      <c r="B426" s="68">
        <v>1</v>
      </c>
      <c r="C426" s="68">
        <v>10</v>
      </c>
      <c r="D426" s="64">
        <v>5</v>
      </c>
      <c r="E426" s="136">
        <v>10</v>
      </c>
      <c r="F426" s="158">
        <v>2</v>
      </c>
      <c r="G426" s="158">
        <v>2</v>
      </c>
      <c r="H426" s="137">
        <v>1</v>
      </c>
      <c r="I426" s="208">
        <v>1</v>
      </c>
    </row>
    <row r="427" spans="2:9" x14ac:dyDescent="0.25">
      <c r="B427" s="67">
        <v>2</v>
      </c>
      <c r="C427" s="66">
        <v>1</v>
      </c>
      <c r="D427" s="28">
        <v>1</v>
      </c>
      <c r="E427" s="132">
        <v>10</v>
      </c>
      <c r="F427" s="160">
        <v>11</v>
      </c>
      <c r="G427" s="160"/>
      <c r="H427" s="133"/>
      <c r="I427" s="206">
        <v>1</v>
      </c>
    </row>
    <row r="428" spans="2:9" x14ac:dyDescent="0.25">
      <c r="B428" s="67">
        <v>2</v>
      </c>
      <c r="C428" s="67">
        <v>1</v>
      </c>
      <c r="D428" s="44">
        <v>2</v>
      </c>
      <c r="E428" s="134">
        <v>10</v>
      </c>
      <c r="F428" s="143">
        <v>11</v>
      </c>
      <c r="G428" s="143">
        <v>5</v>
      </c>
      <c r="H428" s="135">
        <v>4</v>
      </c>
      <c r="I428" s="207">
        <v>1</v>
      </c>
    </row>
    <row r="429" spans="2:9" x14ac:dyDescent="0.25">
      <c r="B429" s="67">
        <v>2</v>
      </c>
      <c r="C429" s="67">
        <v>1</v>
      </c>
      <c r="D429" s="44">
        <v>3</v>
      </c>
      <c r="E429" s="134">
        <v>10</v>
      </c>
      <c r="F429" s="143">
        <v>11</v>
      </c>
      <c r="G429" s="143">
        <v>6</v>
      </c>
      <c r="H429" s="135">
        <v>5</v>
      </c>
      <c r="I429" s="207">
        <v>1</v>
      </c>
    </row>
    <row r="430" spans="2:9" x14ac:dyDescent="0.25">
      <c r="B430" s="67">
        <v>2</v>
      </c>
      <c r="C430" s="67">
        <v>1</v>
      </c>
      <c r="D430" s="44">
        <v>4</v>
      </c>
      <c r="E430" s="134">
        <v>10</v>
      </c>
      <c r="F430" s="143">
        <v>11</v>
      </c>
      <c r="G430" s="143">
        <v>11</v>
      </c>
      <c r="H430" s="135">
        <v>6</v>
      </c>
      <c r="I430" s="207">
        <v>1</v>
      </c>
    </row>
    <row r="431" spans="2:9" x14ac:dyDescent="0.25">
      <c r="B431" s="67">
        <v>2</v>
      </c>
      <c r="C431" s="68">
        <v>1</v>
      </c>
      <c r="D431" s="64">
        <v>5</v>
      </c>
      <c r="E431" s="136">
        <v>10</v>
      </c>
      <c r="F431" s="158">
        <v>11</v>
      </c>
      <c r="G431" s="158">
        <v>11</v>
      </c>
      <c r="H431" s="137"/>
      <c r="I431" s="208">
        <v>1</v>
      </c>
    </row>
    <row r="432" spans="2:9" x14ac:dyDescent="0.25">
      <c r="B432" s="67">
        <v>2</v>
      </c>
      <c r="C432" s="66">
        <v>2</v>
      </c>
      <c r="D432" s="28">
        <v>1</v>
      </c>
      <c r="E432" s="132">
        <v>10</v>
      </c>
      <c r="F432" s="160">
        <v>10</v>
      </c>
      <c r="G432" s="160"/>
      <c r="H432" s="133"/>
      <c r="I432" s="206">
        <v>1</v>
      </c>
    </row>
    <row r="433" spans="2:9" x14ac:dyDescent="0.25">
      <c r="B433" s="67">
        <v>2</v>
      </c>
      <c r="C433" s="67">
        <v>2</v>
      </c>
      <c r="D433" s="44">
        <v>2</v>
      </c>
      <c r="E433" s="134">
        <v>10</v>
      </c>
      <c r="F433" s="143">
        <v>10</v>
      </c>
      <c r="G433" s="143">
        <v>5</v>
      </c>
      <c r="H433" s="135">
        <v>4</v>
      </c>
      <c r="I433" s="207">
        <v>1</v>
      </c>
    </row>
    <row r="434" spans="2:9" x14ac:dyDescent="0.25">
      <c r="B434" s="67">
        <v>2</v>
      </c>
      <c r="C434" s="67">
        <v>2</v>
      </c>
      <c r="D434" s="44">
        <v>3</v>
      </c>
      <c r="E434" s="134">
        <v>10</v>
      </c>
      <c r="F434" s="143">
        <v>10</v>
      </c>
      <c r="G434" s="143">
        <v>5</v>
      </c>
      <c r="H434" s="135">
        <v>4</v>
      </c>
      <c r="I434" s="207">
        <v>1</v>
      </c>
    </row>
    <row r="435" spans="2:9" x14ac:dyDescent="0.25">
      <c r="B435" s="67">
        <v>2</v>
      </c>
      <c r="C435" s="67">
        <v>2</v>
      </c>
      <c r="D435" s="44">
        <v>4</v>
      </c>
      <c r="E435" s="134">
        <v>10</v>
      </c>
      <c r="F435" s="143">
        <v>10</v>
      </c>
      <c r="G435" s="143">
        <v>10</v>
      </c>
      <c r="H435" s="135">
        <v>6</v>
      </c>
      <c r="I435" s="207">
        <v>1</v>
      </c>
    </row>
    <row r="436" spans="2:9" x14ac:dyDescent="0.25">
      <c r="B436" s="67">
        <v>2</v>
      </c>
      <c r="C436" s="68">
        <v>2</v>
      </c>
      <c r="D436" s="64">
        <v>5</v>
      </c>
      <c r="E436" s="136">
        <v>10</v>
      </c>
      <c r="F436" s="158">
        <v>10</v>
      </c>
      <c r="G436" s="158">
        <v>10</v>
      </c>
      <c r="H436" s="137"/>
      <c r="I436" s="208">
        <v>1</v>
      </c>
    </row>
    <row r="437" spans="2:9" x14ac:dyDescent="0.25">
      <c r="B437" s="67">
        <v>2</v>
      </c>
      <c r="C437" s="67">
        <v>3</v>
      </c>
      <c r="D437" s="44">
        <v>1</v>
      </c>
      <c r="E437" s="132">
        <v>10</v>
      </c>
      <c r="F437" s="160">
        <v>9</v>
      </c>
      <c r="G437" s="160"/>
      <c r="H437" s="133"/>
      <c r="I437" s="206">
        <v>1</v>
      </c>
    </row>
    <row r="438" spans="2:9" x14ac:dyDescent="0.25">
      <c r="B438" s="67">
        <v>2</v>
      </c>
      <c r="C438" s="67">
        <v>3</v>
      </c>
      <c r="D438" s="44">
        <v>2</v>
      </c>
      <c r="E438" s="134">
        <v>10</v>
      </c>
      <c r="F438" s="143">
        <v>9</v>
      </c>
      <c r="G438" s="143">
        <v>5</v>
      </c>
      <c r="H438" s="135">
        <v>4</v>
      </c>
      <c r="I438" s="207">
        <v>1</v>
      </c>
    </row>
    <row r="439" spans="2:9" x14ac:dyDescent="0.25">
      <c r="B439" s="67">
        <v>2</v>
      </c>
      <c r="C439" s="67">
        <v>3</v>
      </c>
      <c r="D439" s="44">
        <v>3</v>
      </c>
      <c r="E439" s="134">
        <v>10</v>
      </c>
      <c r="F439" s="143">
        <v>9</v>
      </c>
      <c r="G439" s="143">
        <v>5</v>
      </c>
      <c r="H439" s="135">
        <v>4</v>
      </c>
      <c r="I439" s="207">
        <v>1</v>
      </c>
    </row>
    <row r="440" spans="2:9" x14ac:dyDescent="0.25">
      <c r="B440" s="67">
        <v>2</v>
      </c>
      <c r="C440" s="67">
        <v>3</v>
      </c>
      <c r="D440" s="44">
        <v>4</v>
      </c>
      <c r="E440" s="134">
        <v>10</v>
      </c>
      <c r="F440" s="143">
        <v>9</v>
      </c>
      <c r="G440" s="143">
        <v>9</v>
      </c>
      <c r="H440" s="135">
        <v>6</v>
      </c>
      <c r="I440" s="207">
        <v>1</v>
      </c>
    </row>
    <row r="441" spans="2:9" x14ac:dyDescent="0.25">
      <c r="B441" s="67">
        <v>2</v>
      </c>
      <c r="C441" s="67">
        <v>3</v>
      </c>
      <c r="D441" s="44">
        <v>5</v>
      </c>
      <c r="E441" s="136">
        <v>10</v>
      </c>
      <c r="F441" s="158">
        <v>9</v>
      </c>
      <c r="G441" s="158">
        <v>9</v>
      </c>
      <c r="H441" s="137"/>
      <c r="I441" s="208">
        <v>1</v>
      </c>
    </row>
    <row r="442" spans="2:9" x14ac:dyDescent="0.25">
      <c r="B442" s="67">
        <v>2</v>
      </c>
      <c r="C442" s="66">
        <v>4</v>
      </c>
      <c r="D442" s="28">
        <v>1</v>
      </c>
      <c r="E442" s="132">
        <v>10</v>
      </c>
      <c r="F442" s="160">
        <v>8</v>
      </c>
      <c r="G442" s="160"/>
      <c r="H442" s="133"/>
      <c r="I442" s="206">
        <v>1</v>
      </c>
    </row>
    <row r="443" spans="2:9" x14ac:dyDescent="0.25">
      <c r="B443" s="67">
        <v>2</v>
      </c>
      <c r="C443" s="67">
        <v>4</v>
      </c>
      <c r="D443" s="44">
        <v>2</v>
      </c>
      <c r="E443" s="134">
        <v>10</v>
      </c>
      <c r="F443" s="143">
        <v>8</v>
      </c>
      <c r="G443" s="143">
        <v>5</v>
      </c>
      <c r="H443" s="135">
        <v>4</v>
      </c>
      <c r="I443" s="207">
        <v>1</v>
      </c>
    </row>
    <row r="444" spans="2:9" x14ac:dyDescent="0.25">
      <c r="B444" s="67">
        <v>2</v>
      </c>
      <c r="C444" s="67">
        <v>4</v>
      </c>
      <c r="D444" s="44">
        <v>3</v>
      </c>
      <c r="E444" s="134">
        <v>10</v>
      </c>
      <c r="F444" s="143">
        <v>8</v>
      </c>
      <c r="G444" s="143">
        <v>5</v>
      </c>
      <c r="H444" s="135">
        <v>4</v>
      </c>
      <c r="I444" s="207">
        <v>1</v>
      </c>
    </row>
    <row r="445" spans="2:9" x14ac:dyDescent="0.25">
      <c r="B445" s="67">
        <v>2</v>
      </c>
      <c r="C445" s="67">
        <v>4</v>
      </c>
      <c r="D445" s="44">
        <v>4</v>
      </c>
      <c r="E445" s="134">
        <v>10</v>
      </c>
      <c r="F445" s="143">
        <v>8</v>
      </c>
      <c r="G445" s="143">
        <v>8</v>
      </c>
      <c r="H445" s="135">
        <v>6</v>
      </c>
      <c r="I445" s="207">
        <v>1</v>
      </c>
    </row>
    <row r="446" spans="2:9" x14ac:dyDescent="0.25">
      <c r="B446" s="67">
        <v>2</v>
      </c>
      <c r="C446" s="68">
        <v>4</v>
      </c>
      <c r="D446" s="64">
        <v>5</v>
      </c>
      <c r="E446" s="136">
        <v>10</v>
      </c>
      <c r="F446" s="158">
        <v>8</v>
      </c>
      <c r="G446" s="158">
        <v>8</v>
      </c>
      <c r="H446" s="137"/>
      <c r="I446" s="208">
        <v>1</v>
      </c>
    </row>
    <row r="447" spans="2:9" x14ac:dyDescent="0.25">
      <c r="B447" s="67">
        <v>2</v>
      </c>
      <c r="C447" s="67">
        <v>5</v>
      </c>
      <c r="D447" s="44">
        <v>1</v>
      </c>
      <c r="E447" s="132">
        <v>10</v>
      </c>
      <c r="F447" s="160">
        <v>7</v>
      </c>
      <c r="G447" s="160"/>
      <c r="H447" s="133"/>
      <c r="I447" s="206">
        <v>1</v>
      </c>
    </row>
    <row r="448" spans="2:9" x14ac:dyDescent="0.25">
      <c r="B448" s="67">
        <v>2</v>
      </c>
      <c r="C448" s="67">
        <v>5</v>
      </c>
      <c r="D448" s="44">
        <v>2</v>
      </c>
      <c r="E448" s="134">
        <v>10</v>
      </c>
      <c r="F448" s="143">
        <v>7</v>
      </c>
      <c r="G448" s="143">
        <v>5</v>
      </c>
      <c r="H448" s="135">
        <v>4</v>
      </c>
      <c r="I448" s="207">
        <v>1</v>
      </c>
    </row>
    <row r="449" spans="2:9" x14ac:dyDescent="0.25">
      <c r="B449" s="67">
        <v>2</v>
      </c>
      <c r="C449" s="67">
        <v>5</v>
      </c>
      <c r="D449" s="44">
        <v>3</v>
      </c>
      <c r="E449" s="134">
        <v>10</v>
      </c>
      <c r="F449" s="143">
        <v>7</v>
      </c>
      <c r="G449" s="143">
        <v>5</v>
      </c>
      <c r="H449" s="135">
        <v>4</v>
      </c>
      <c r="I449" s="207">
        <v>1</v>
      </c>
    </row>
    <row r="450" spans="2:9" x14ac:dyDescent="0.25">
      <c r="B450" s="67">
        <v>2</v>
      </c>
      <c r="C450" s="67">
        <v>5</v>
      </c>
      <c r="D450" s="44">
        <v>4</v>
      </c>
      <c r="E450" s="134">
        <v>10</v>
      </c>
      <c r="F450" s="143">
        <v>7</v>
      </c>
      <c r="G450" s="143">
        <v>7</v>
      </c>
      <c r="H450" s="135">
        <v>6</v>
      </c>
      <c r="I450" s="207">
        <v>1</v>
      </c>
    </row>
    <row r="451" spans="2:9" x14ac:dyDescent="0.25">
      <c r="B451" s="70">
        <v>2</v>
      </c>
      <c r="C451" s="68">
        <v>5</v>
      </c>
      <c r="D451" s="64">
        <v>5</v>
      </c>
      <c r="E451" s="136">
        <v>10</v>
      </c>
      <c r="F451" s="158">
        <v>7</v>
      </c>
      <c r="G451" s="158">
        <v>7</v>
      </c>
      <c r="H451" s="137"/>
      <c r="I451" s="208">
        <v>1</v>
      </c>
    </row>
    <row r="452" spans="2:9" x14ac:dyDescent="0.25">
      <c r="B452" s="67">
        <v>2</v>
      </c>
      <c r="C452" s="66">
        <v>6</v>
      </c>
      <c r="D452" s="28">
        <v>1</v>
      </c>
      <c r="E452" s="132">
        <v>10</v>
      </c>
      <c r="F452" s="160">
        <v>7</v>
      </c>
      <c r="G452" s="160"/>
      <c r="H452" s="133"/>
      <c r="I452" s="206">
        <v>1</v>
      </c>
    </row>
    <row r="453" spans="2:9" x14ac:dyDescent="0.25">
      <c r="B453" s="67">
        <v>2</v>
      </c>
      <c r="C453" s="67">
        <v>6</v>
      </c>
      <c r="D453" s="44">
        <v>2</v>
      </c>
      <c r="E453" s="134">
        <v>10</v>
      </c>
      <c r="F453" s="143">
        <v>7</v>
      </c>
      <c r="G453" s="143">
        <v>5</v>
      </c>
      <c r="H453" s="135">
        <v>4</v>
      </c>
      <c r="I453" s="207">
        <v>1</v>
      </c>
    </row>
    <row r="454" spans="2:9" x14ac:dyDescent="0.25">
      <c r="B454" s="67">
        <v>2</v>
      </c>
      <c r="C454" s="67">
        <v>6</v>
      </c>
      <c r="D454" s="44">
        <v>3</v>
      </c>
      <c r="E454" s="134">
        <v>10</v>
      </c>
      <c r="F454" s="143">
        <v>7</v>
      </c>
      <c r="G454" s="143">
        <v>5</v>
      </c>
      <c r="H454" s="135">
        <v>4</v>
      </c>
      <c r="I454" s="207">
        <v>1</v>
      </c>
    </row>
    <row r="455" spans="2:9" x14ac:dyDescent="0.25">
      <c r="B455" s="67">
        <v>2</v>
      </c>
      <c r="C455" s="67">
        <v>6</v>
      </c>
      <c r="D455" s="44">
        <v>4</v>
      </c>
      <c r="E455" s="134">
        <v>10</v>
      </c>
      <c r="F455" s="143">
        <v>7</v>
      </c>
      <c r="G455" s="143">
        <v>7</v>
      </c>
      <c r="H455" s="135">
        <v>6</v>
      </c>
      <c r="I455" s="207">
        <v>1</v>
      </c>
    </row>
    <row r="456" spans="2:9" x14ac:dyDescent="0.25">
      <c r="B456" s="67">
        <v>2</v>
      </c>
      <c r="C456" s="68">
        <v>6</v>
      </c>
      <c r="D456" s="64">
        <v>5</v>
      </c>
      <c r="E456" s="136">
        <v>10</v>
      </c>
      <c r="F456" s="158">
        <v>7</v>
      </c>
      <c r="G456" s="158">
        <v>7</v>
      </c>
      <c r="H456" s="137"/>
      <c r="I456" s="208">
        <v>1</v>
      </c>
    </row>
    <row r="457" spans="2:9" x14ac:dyDescent="0.25">
      <c r="B457" s="67">
        <v>2</v>
      </c>
      <c r="C457" s="66">
        <v>7</v>
      </c>
      <c r="D457" s="28">
        <v>1</v>
      </c>
      <c r="E457" s="132">
        <v>10</v>
      </c>
      <c r="F457" s="160">
        <v>7</v>
      </c>
      <c r="G457" s="160"/>
      <c r="H457" s="133"/>
      <c r="I457" s="206">
        <v>1</v>
      </c>
    </row>
    <row r="458" spans="2:9" x14ac:dyDescent="0.25">
      <c r="B458" s="67">
        <v>2</v>
      </c>
      <c r="C458" s="67">
        <v>7</v>
      </c>
      <c r="D458" s="44">
        <v>2</v>
      </c>
      <c r="E458" s="134">
        <v>10</v>
      </c>
      <c r="F458" s="143">
        <v>7</v>
      </c>
      <c r="G458" s="143">
        <v>5</v>
      </c>
      <c r="H458" s="135">
        <v>4</v>
      </c>
      <c r="I458" s="207">
        <v>1</v>
      </c>
    </row>
    <row r="459" spans="2:9" x14ac:dyDescent="0.25">
      <c r="B459" s="67">
        <v>2</v>
      </c>
      <c r="C459" s="67">
        <v>7</v>
      </c>
      <c r="D459" s="44">
        <v>3</v>
      </c>
      <c r="E459" s="134">
        <v>10</v>
      </c>
      <c r="F459" s="143">
        <v>7</v>
      </c>
      <c r="G459" s="143">
        <v>5</v>
      </c>
      <c r="H459" s="135">
        <v>4</v>
      </c>
      <c r="I459" s="207">
        <v>1</v>
      </c>
    </row>
    <row r="460" spans="2:9" x14ac:dyDescent="0.25">
      <c r="B460" s="67">
        <v>2</v>
      </c>
      <c r="C460" s="67">
        <v>7</v>
      </c>
      <c r="D460" s="44">
        <v>4</v>
      </c>
      <c r="E460" s="134">
        <v>10</v>
      </c>
      <c r="F460" s="143">
        <v>7</v>
      </c>
      <c r="G460" s="143">
        <v>7</v>
      </c>
      <c r="H460" s="135">
        <v>6</v>
      </c>
      <c r="I460" s="207">
        <v>1</v>
      </c>
    </row>
    <row r="461" spans="2:9" x14ac:dyDescent="0.25">
      <c r="B461" s="67">
        <v>2</v>
      </c>
      <c r="C461" s="68">
        <v>7</v>
      </c>
      <c r="D461" s="64">
        <v>5</v>
      </c>
      <c r="E461" s="136">
        <v>10</v>
      </c>
      <c r="F461" s="158">
        <v>7</v>
      </c>
      <c r="G461" s="158">
        <v>7</v>
      </c>
      <c r="H461" s="137"/>
      <c r="I461" s="208">
        <v>1</v>
      </c>
    </row>
    <row r="462" spans="2:9" x14ac:dyDescent="0.25">
      <c r="B462" s="67">
        <v>2</v>
      </c>
      <c r="C462" s="67">
        <v>8</v>
      </c>
      <c r="D462" s="44">
        <v>1</v>
      </c>
      <c r="E462" s="132">
        <v>10</v>
      </c>
      <c r="F462" s="160">
        <v>7</v>
      </c>
      <c r="G462" s="160"/>
      <c r="H462" s="133"/>
      <c r="I462" s="206">
        <v>1</v>
      </c>
    </row>
    <row r="463" spans="2:9" x14ac:dyDescent="0.25">
      <c r="B463" s="67">
        <v>2</v>
      </c>
      <c r="C463" s="67">
        <v>8</v>
      </c>
      <c r="D463" s="44">
        <v>2</v>
      </c>
      <c r="E463" s="134">
        <v>10</v>
      </c>
      <c r="F463" s="143">
        <v>7</v>
      </c>
      <c r="G463" s="143">
        <v>5</v>
      </c>
      <c r="H463" s="135">
        <v>4</v>
      </c>
      <c r="I463" s="207">
        <v>1</v>
      </c>
    </row>
    <row r="464" spans="2:9" x14ac:dyDescent="0.25">
      <c r="B464" s="67">
        <v>2</v>
      </c>
      <c r="C464" s="67">
        <v>8</v>
      </c>
      <c r="D464" s="44">
        <v>3</v>
      </c>
      <c r="E464" s="134">
        <v>10</v>
      </c>
      <c r="F464" s="143">
        <v>7</v>
      </c>
      <c r="G464" s="143">
        <v>5</v>
      </c>
      <c r="H464" s="135">
        <v>4</v>
      </c>
      <c r="I464" s="207">
        <v>1</v>
      </c>
    </row>
    <row r="465" spans="2:9" x14ac:dyDescent="0.25">
      <c r="B465" s="67">
        <v>2</v>
      </c>
      <c r="C465" s="67">
        <v>8</v>
      </c>
      <c r="D465" s="44">
        <v>4</v>
      </c>
      <c r="E465" s="134">
        <v>10</v>
      </c>
      <c r="F465" s="143">
        <v>7</v>
      </c>
      <c r="G465" s="143">
        <v>7</v>
      </c>
      <c r="H465" s="135">
        <v>6</v>
      </c>
      <c r="I465" s="207">
        <v>1</v>
      </c>
    </row>
    <row r="466" spans="2:9" x14ac:dyDescent="0.25">
      <c r="B466" s="67">
        <v>2</v>
      </c>
      <c r="C466" s="67">
        <v>8</v>
      </c>
      <c r="D466" s="44">
        <v>5</v>
      </c>
      <c r="E466" s="136">
        <v>10</v>
      </c>
      <c r="F466" s="158">
        <v>7</v>
      </c>
      <c r="G466" s="158">
        <v>7</v>
      </c>
      <c r="H466" s="137"/>
      <c r="I466" s="208">
        <v>1</v>
      </c>
    </row>
    <row r="467" spans="2:9" x14ac:dyDescent="0.25">
      <c r="B467" s="67">
        <v>2</v>
      </c>
      <c r="C467" s="66">
        <v>9</v>
      </c>
      <c r="D467" s="28">
        <v>1</v>
      </c>
      <c r="E467" s="132">
        <v>10</v>
      </c>
      <c r="F467" s="160">
        <v>7</v>
      </c>
      <c r="G467" s="160"/>
      <c r="H467" s="133"/>
      <c r="I467" s="206">
        <v>1</v>
      </c>
    </row>
    <row r="468" spans="2:9" x14ac:dyDescent="0.25">
      <c r="B468" s="67">
        <v>2</v>
      </c>
      <c r="C468" s="67">
        <v>9</v>
      </c>
      <c r="D468" s="44">
        <v>2</v>
      </c>
      <c r="E468" s="134">
        <v>10</v>
      </c>
      <c r="F468" s="143">
        <v>7</v>
      </c>
      <c r="G468" s="143">
        <v>5</v>
      </c>
      <c r="H468" s="135">
        <v>4</v>
      </c>
      <c r="I468" s="207">
        <v>1</v>
      </c>
    </row>
    <row r="469" spans="2:9" x14ac:dyDescent="0.25">
      <c r="B469" s="67">
        <v>2</v>
      </c>
      <c r="C469" s="67">
        <v>9</v>
      </c>
      <c r="D469" s="44">
        <v>3</v>
      </c>
      <c r="E469" s="134">
        <v>10</v>
      </c>
      <c r="F469" s="143">
        <v>7</v>
      </c>
      <c r="G469" s="143">
        <v>5</v>
      </c>
      <c r="H469" s="135">
        <v>4</v>
      </c>
      <c r="I469" s="207">
        <v>1</v>
      </c>
    </row>
    <row r="470" spans="2:9" x14ac:dyDescent="0.25">
      <c r="B470" s="67">
        <v>2</v>
      </c>
      <c r="C470" s="67">
        <v>9</v>
      </c>
      <c r="D470" s="44">
        <v>4</v>
      </c>
      <c r="E470" s="134">
        <v>10</v>
      </c>
      <c r="F470" s="143">
        <v>7</v>
      </c>
      <c r="G470" s="143">
        <v>7</v>
      </c>
      <c r="H470" s="135">
        <v>6</v>
      </c>
      <c r="I470" s="207">
        <v>1</v>
      </c>
    </row>
    <row r="471" spans="2:9" x14ac:dyDescent="0.25">
      <c r="B471" s="67">
        <v>2</v>
      </c>
      <c r="C471" s="68">
        <v>9</v>
      </c>
      <c r="D471" s="64">
        <v>5</v>
      </c>
      <c r="E471" s="136">
        <v>10</v>
      </c>
      <c r="F471" s="158">
        <v>7</v>
      </c>
      <c r="G471" s="158">
        <v>7</v>
      </c>
      <c r="H471" s="137"/>
      <c r="I471" s="208">
        <v>1</v>
      </c>
    </row>
    <row r="472" spans="2:9" x14ac:dyDescent="0.25">
      <c r="B472" s="67">
        <v>2</v>
      </c>
      <c r="C472" s="67">
        <v>10</v>
      </c>
      <c r="D472" s="44">
        <v>1</v>
      </c>
      <c r="E472" s="132">
        <v>10</v>
      </c>
      <c r="F472" s="160">
        <v>7</v>
      </c>
      <c r="G472" s="160"/>
      <c r="H472" s="133"/>
      <c r="I472" s="206">
        <v>1</v>
      </c>
    </row>
    <row r="473" spans="2:9" x14ac:dyDescent="0.25">
      <c r="B473" s="67">
        <v>2</v>
      </c>
      <c r="C473" s="67">
        <v>10</v>
      </c>
      <c r="D473" s="44">
        <v>2</v>
      </c>
      <c r="E473" s="134">
        <v>10</v>
      </c>
      <c r="F473" s="143">
        <v>7</v>
      </c>
      <c r="G473" s="143">
        <v>5</v>
      </c>
      <c r="H473" s="135">
        <v>4</v>
      </c>
      <c r="I473" s="207">
        <v>1</v>
      </c>
    </row>
    <row r="474" spans="2:9" x14ac:dyDescent="0.25">
      <c r="B474" s="67">
        <v>2</v>
      </c>
      <c r="C474" s="67">
        <v>10</v>
      </c>
      <c r="D474" s="44">
        <v>3</v>
      </c>
      <c r="E474" s="134">
        <v>10</v>
      </c>
      <c r="F474" s="143">
        <v>7</v>
      </c>
      <c r="G474" s="143">
        <v>5</v>
      </c>
      <c r="H474" s="135">
        <v>4</v>
      </c>
      <c r="I474" s="207">
        <v>1</v>
      </c>
    </row>
    <row r="475" spans="2:9" x14ac:dyDescent="0.25">
      <c r="B475" s="67">
        <v>2</v>
      </c>
      <c r="C475" s="67">
        <v>10</v>
      </c>
      <c r="D475" s="44">
        <v>4</v>
      </c>
      <c r="E475" s="134">
        <v>10</v>
      </c>
      <c r="F475" s="143">
        <v>7</v>
      </c>
      <c r="G475" s="143">
        <v>7</v>
      </c>
      <c r="H475" s="135">
        <v>6</v>
      </c>
      <c r="I475" s="207">
        <v>1</v>
      </c>
    </row>
    <row r="476" spans="2:9" x14ac:dyDescent="0.25">
      <c r="B476" s="68">
        <v>2</v>
      </c>
      <c r="C476" s="68">
        <v>10</v>
      </c>
      <c r="D476" s="64">
        <v>5</v>
      </c>
      <c r="E476" s="136">
        <v>10</v>
      </c>
      <c r="F476" s="158">
        <v>7</v>
      </c>
      <c r="G476" s="158">
        <v>7</v>
      </c>
      <c r="H476" s="137"/>
      <c r="I476" s="208">
        <v>1</v>
      </c>
    </row>
    <row r="477" spans="2:9" x14ac:dyDescent="0.25">
      <c r="B477" s="67">
        <v>3</v>
      </c>
      <c r="C477" s="66">
        <v>1</v>
      </c>
      <c r="D477" s="28">
        <v>1</v>
      </c>
      <c r="E477" s="132">
        <v>10</v>
      </c>
      <c r="F477" s="160">
        <v>11</v>
      </c>
      <c r="G477" s="160"/>
      <c r="H477" s="133"/>
      <c r="I477" s="206">
        <v>1</v>
      </c>
    </row>
    <row r="478" spans="2:9" x14ac:dyDescent="0.25">
      <c r="B478" s="67">
        <v>3</v>
      </c>
      <c r="C478" s="67">
        <v>1</v>
      </c>
      <c r="D478" s="44">
        <v>2</v>
      </c>
      <c r="E478" s="134">
        <v>10</v>
      </c>
      <c r="F478" s="143">
        <v>11</v>
      </c>
      <c r="G478" s="143">
        <v>4</v>
      </c>
      <c r="H478" s="135">
        <v>3</v>
      </c>
      <c r="I478" s="207">
        <v>1</v>
      </c>
    </row>
    <row r="479" spans="2:9" x14ac:dyDescent="0.25">
      <c r="B479" s="67">
        <v>3</v>
      </c>
      <c r="C479" s="67">
        <v>1</v>
      </c>
      <c r="D479" s="44">
        <v>3</v>
      </c>
      <c r="E479" s="134">
        <v>10</v>
      </c>
      <c r="F479" s="143">
        <v>11</v>
      </c>
      <c r="G479" s="143">
        <v>5</v>
      </c>
      <c r="H479" s="135">
        <v>4</v>
      </c>
      <c r="I479" s="207">
        <v>1</v>
      </c>
    </row>
    <row r="480" spans="2:9" x14ac:dyDescent="0.25">
      <c r="B480" s="67">
        <v>3</v>
      </c>
      <c r="C480" s="67">
        <v>1</v>
      </c>
      <c r="D480" s="44">
        <v>4</v>
      </c>
      <c r="E480" s="134">
        <v>10</v>
      </c>
      <c r="F480" s="143">
        <v>11</v>
      </c>
      <c r="G480" s="143">
        <v>11</v>
      </c>
      <c r="H480" s="135">
        <v>5</v>
      </c>
      <c r="I480" s="207">
        <v>1</v>
      </c>
    </row>
    <row r="481" spans="2:9" x14ac:dyDescent="0.25">
      <c r="B481" s="67">
        <v>3</v>
      </c>
      <c r="C481" s="68">
        <v>1</v>
      </c>
      <c r="D481" s="64">
        <v>5</v>
      </c>
      <c r="E481" s="136">
        <v>10</v>
      </c>
      <c r="F481" s="158">
        <v>11</v>
      </c>
      <c r="G481" s="158">
        <v>11</v>
      </c>
      <c r="H481" s="137"/>
      <c r="I481" s="208">
        <v>1</v>
      </c>
    </row>
    <row r="482" spans="2:9" x14ac:dyDescent="0.25">
      <c r="B482" s="67">
        <v>3</v>
      </c>
      <c r="C482" s="66">
        <v>2</v>
      </c>
      <c r="D482" s="28">
        <v>1</v>
      </c>
      <c r="E482" s="132">
        <v>10</v>
      </c>
      <c r="F482" s="160">
        <v>10</v>
      </c>
      <c r="G482" s="160"/>
      <c r="H482" s="133"/>
      <c r="I482" s="206">
        <v>1</v>
      </c>
    </row>
    <row r="483" spans="2:9" x14ac:dyDescent="0.25">
      <c r="B483" s="67">
        <v>3</v>
      </c>
      <c r="C483" s="67">
        <v>2</v>
      </c>
      <c r="D483" s="44">
        <v>2</v>
      </c>
      <c r="E483" s="134">
        <v>10</v>
      </c>
      <c r="F483" s="143">
        <v>10</v>
      </c>
      <c r="G483" s="143">
        <v>4</v>
      </c>
      <c r="H483" s="135">
        <v>3</v>
      </c>
      <c r="I483" s="207">
        <v>1</v>
      </c>
    </row>
    <row r="484" spans="2:9" x14ac:dyDescent="0.25">
      <c r="B484" s="67">
        <v>3</v>
      </c>
      <c r="C484" s="67">
        <v>2</v>
      </c>
      <c r="D484" s="44">
        <v>3</v>
      </c>
      <c r="E484" s="134">
        <v>10</v>
      </c>
      <c r="F484" s="143">
        <v>10</v>
      </c>
      <c r="G484" s="143">
        <v>5</v>
      </c>
      <c r="H484" s="135">
        <v>4</v>
      </c>
      <c r="I484" s="207">
        <v>1</v>
      </c>
    </row>
    <row r="485" spans="2:9" x14ac:dyDescent="0.25">
      <c r="B485" s="67">
        <v>3</v>
      </c>
      <c r="C485" s="67">
        <v>2</v>
      </c>
      <c r="D485" s="44">
        <v>4</v>
      </c>
      <c r="E485" s="134">
        <v>10</v>
      </c>
      <c r="F485" s="143">
        <v>10</v>
      </c>
      <c r="G485" s="143">
        <v>10</v>
      </c>
      <c r="H485" s="135">
        <v>5</v>
      </c>
      <c r="I485" s="207">
        <v>1</v>
      </c>
    </row>
    <row r="486" spans="2:9" x14ac:dyDescent="0.25">
      <c r="B486" s="67">
        <v>3</v>
      </c>
      <c r="C486" s="68">
        <v>2</v>
      </c>
      <c r="D486" s="64">
        <v>5</v>
      </c>
      <c r="E486" s="136">
        <v>10</v>
      </c>
      <c r="F486" s="158">
        <v>10</v>
      </c>
      <c r="G486" s="158">
        <v>10</v>
      </c>
      <c r="H486" s="137"/>
      <c r="I486" s="208">
        <v>1</v>
      </c>
    </row>
    <row r="487" spans="2:9" x14ac:dyDescent="0.25">
      <c r="B487" s="67">
        <v>3</v>
      </c>
      <c r="C487" s="67">
        <v>3</v>
      </c>
      <c r="D487" s="44">
        <v>1</v>
      </c>
      <c r="E487" s="132">
        <v>10</v>
      </c>
      <c r="F487" s="160">
        <v>9</v>
      </c>
      <c r="G487" s="160"/>
      <c r="H487" s="133"/>
      <c r="I487" s="206">
        <v>1</v>
      </c>
    </row>
    <row r="488" spans="2:9" x14ac:dyDescent="0.25">
      <c r="B488" s="67">
        <v>3</v>
      </c>
      <c r="C488" s="67">
        <v>3</v>
      </c>
      <c r="D488" s="44">
        <v>2</v>
      </c>
      <c r="E488" s="134">
        <v>10</v>
      </c>
      <c r="F488" s="143">
        <v>9</v>
      </c>
      <c r="G488" s="143">
        <v>4</v>
      </c>
      <c r="H488" s="135">
        <v>3</v>
      </c>
      <c r="I488" s="207">
        <v>1</v>
      </c>
    </row>
    <row r="489" spans="2:9" x14ac:dyDescent="0.25">
      <c r="B489" s="67">
        <v>3</v>
      </c>
      <c r="C489" s="67">
        <v>3</v>
      </c>
      <c r="D489" s="44">
        <v>3</v>
      </c>
      <c r="E489" s="134">
        <v>10</v>
      </c>
      <c r="F489" s="143">
        <v>9</v>
      </c>
      <c r="G489" s="143">
        <v>5</v>
      </c>
      <c r="H489" s="135">
        <v>4</v>
      </c>
      <c r="I489" s="207">
        <v>1</v>
      </c>
    </row>
    <row r="490" spans="2:9" x14ac:dyDescent="0.25">
      <c r="B490" s="67">
        <v>3</v>
      </c>
      <c r="C490" s="67">
        <v>3</v>
      </c>
      <c r="D490" s="44">
        <v>4</v>
      </c>
      <c r="E490" s="134">
        <v>10</v>
      </c>
      <c r="F490" s="143">
        <v>9</v>
      </c>
      <c r="G490" s="143">
        <v>9</v>
      </c>
      <c r="H490" s="135">
        <v>5</v>
      </c>
      <c r="I490" s="207">
        <v>1</v>
      </c>
    </row>
    <row r="491" spans="2:9" x14ac:dyDescent="0.25">
      <c r="B491" s="67">
        <v>3</v>
      </c>
      <c r="C491" s="67">
        <v>3</v>
      </c>
      <c r="D491" s="44">
        <v>5</v>
      </c>
      <c r="E491" s="136">
        <v>10</v>
      </c>
      <c r="F491" s="158">
        <v>9</v>
      </c>
      <c r="G491" s="158">
        <v>9</v>
      </c>
      <c r="H491" s="137"/>
      <c r="I491" s="208">
        <v>1</v>
      </c>
    </row>
    <row r="492" spans="2:9" x14ac:dyDescent="0.25">
      <c r="B492" s="67">
        <v>3</v>
      </c>
      <c r="C492" s="66">
        <v>4</v>
      </c>
      <c r="D492" s="28">
        <v>1</v>
      </c>
      <c r="E492" s="132">
        <v>10</v>
      </c>
      <c r="F492" s="160">
        <v>8</v>
      </c>
      <c r="G492" s="160"/>
      <c r="H492" s="133"/>
      <c r="I492" s="206">
        <v>1</v>
      </c>
    </row>
    <row r="493" spans="2:9" x14ac:dyDescent="0.25">
      <c r="B493" s="67">
        <v>3</v>
      </c>
      <c r="C493" s="67">
        <v>4</v>
      </c>
      <c r="D493" s="44">
        <v>2</v>
      </c>
      <c r="E493" s="134">
        <v>10</v>
      </c>
      <c r="F493" s="143">
        <v>8</v>
      </c>
      <c r="G493" s="143">
        <v>4</v>
      </c>
      <c r="H493" s="135">
        <v>3</v>
      </c>
      <c r="I493" s="207">
        <v>1</v>
      </c>
    </row>
    <row r="494" spans="2:9" x14ac:dyDescent="0.25">
      <c r="B494" s="67">
        <v>3</v>
      </c>
      <c r="C494" s="67">
        <v>4</v>
      </c>
      <c r="D494" s="44">
        <v>3</v>
      </c>
      <c r="E494" s="134">
        <v>10</v>
      </c>
      <c r="F494" s="143">
        <v>8</v>
      </c>
      <c r="G494" s="143">
        <v>5</v>
      </c>
      <c r="H494" s="135">
        <v>4</v>
      </c>
      <c r="I494" s="207">
        <v>1</v>
      </c>
    </row>
    <row r="495" spans="2:9" x14ac:dyDescent="0.25">
      <c r="B495" s="67">
        <v>3</v>
      </c>
      <c r="C495" s="67">
        <v>4</v>
      </c>
      <c r="D495" s="44">
        <v>4</v>
      </c>
      <c r="E495" s="134">
        <v>10</v>
      </c>
      <c r="F495" s="143">
        <v>8</v>
      </c>
      <c r="G495" s="143">
        <v>8</v>
      </c>
      <c r="H495" s="135">
        <v>5</v>
      </c>
      <c r="I495" s="207">
        <v>1</v>
      </c>
    </row>
    <row r="496" spans="2:9" x14ac:dyDescent="0.25">
      <c r="B496" s="67">
        <v>3</v>
      </c>
      <c r="C496" s="68">
        <v>4</v>
      </c>
      <c r="D496" s="64">
        <v>5</v>
      </c>
      <c r="E496" s="136">
        <v>10</v>
      </c>
      <c r="F496" s="158">
        <v>8</v>
      </c>
      <c r="G496" s="158">
        <v>8</v>
      </c>
      <c r="H496" s="137"/>
      <c r="I496" s="208">
        <v>1</v>
      </c>
    </row>
    <row r="497" spans="2:9" x14ac:dyDescent="0.25">
      <c r="B497" s="67">
        <v>3</v>
      </c>
      <c r="C497" s="67">
        <v>5</v>
      </c>
      <c r="D497" s="44">
        <v>1</v>
      </c>
      <c r="E497" s="132">
        <v>10</v>
      </c>
      <c r="F497" s="160">
        <v>7</v>
      </c>
      <c r="G497" s="160"/>
      <c r="H497" s="133"/>
      <c r="I497" s="206">
        <v>1</v>
      </c>
    </row>
    <row r="498" spans="2:9" x14ac:dyDescent="0.25">
      <c r="B498" s="67">
        <v>3</v>
      </c>
      <c r="C498" s="67">
        <v>5</v>
      </c>
      <c r="D498" s="44">
        <v>2</v>
      </c>
      <c r="E498" s="134">
        <v>10</v>
      </c>
      <c r="F498" s="143">
        <v>7</v>
      </c>
      <c r="G498" s="143">
        <v>4</v>
      </c>
      <c r="H498" s="135">
        <v>3</v>
      </c>
      <c r="I498" s="207">
        <v>1</v>
      </c>
    </row>
    <row r="499" spans="2:9" x14ac:dyDescent="0.25">
      <c r="B499" s="67">
        <v>3</v>
      </c>
      <c r="C499" s="67">
        <v>5</v>
      </c>
      <c r="D499" s="44">
        <v>3</v>
      </c>
      <c r="E499" s="134">
        <v>10</v>
      </c>
      <c r="F499" s="143">
        <v>7</v>
      </c>
      <c r="G499" s="143">
        <v>5</v>
      </c>
      <c r="H499" s="135">
        <v>4</v>
      </c>
      <c r="I499" s="207">
        <v>1</v>
      </c>
    </row>
    <row r="500" spans="2:9" x14ac:dyDescent="0.25">
      <c r="B500" s="67">
        <v>3</v>
      </c>
      <c r="C500" s="67">
        <v>5</v>
      </c>
      <c r="D500" s="44">
        <v>4</v>
      </c>
      <c r="E500" s="134">
        <v>10</v>
      </c>
      <c r="F500" s="143">
        <v>7</v>
      </c>
      <c r="G500" s="143">
        <v>7</v>
      </c>
      <c r="H500" s="135">
        <v>5</v>
      </c>
      <c r="I500" s="207">
        <v>1</v>
      </c>
    </row>
    <row r="501" spans="2:9" x14ac:dyDescent="0.25">
      <c r="B501" s="70">
        <v>3</v>
      </c>
      <c r="C501" s="68">
        <v>5</v>
      </c>
      <c r="D501" s="64">
        <v>5</v>
      </c>
      <c r="E501" s="136">
        <v>10</v>
      </c>
      <c r="F501" s="158">
        <v>7</v>
      </c>
      <c r="G501" s="158">
        <v>7</v>
      </c>
      <c r="H501" s="137"/>
      <c r="I501" s="208">
        <v>1</v>
      </c>
    </row>
    <row r="502" spans="2:9" x14ac:dyDescent="0.25">
      <c r="B502" s="67">
        <v>3</v>
      </c>
      <c r="C502" s="66">
        <v>6</v>
      </c>
      <c r="D502" s="28">
        <v>1</v>
      </c>
      <c r="E502" s="132">
        <v>10</v>
      </c>
      <c r="F502" s="160">
        <v>7</v>
      </c>
      <c r="G502" s="160"/>
      <c r="H502" s="133"/>
      <c r="I502" s="206">
        <v>1</v>
      </c>
    </row>
    <row r="503" spans="2:9" x14ac:dyDescent="0.25">
      <c r="B503" s="67">
        <v>3</v>
      </c>
      <c r="C503" s="67">
        <v>6</v>
      </c>
      <c r="D503" s="44">
        <v>2</v>
      </c>
      <c r="E503" s="134">
        <v>10</v>
      </c>
      <c r="F503" s="143">
        <v>7</v>
      </c>
      <c r="G503" s="143">
        <v>4</v>
      </c>
      <c r="H503" s="135">
        <v>3</v>
      </c>
      <c r="I503" s="207">
        <v>1</v>
      </c>
    </row>
    <row r="504" spans="2:9" x14ac:dyDescent="0.25">
      <c r="B504" s="67">
        <v>3</v>
      </c>
      <c r="C504" s="67">
        <v>6</v>
      </c>
      <c r="D504" s="44">
        <v>3</v>
      </c>
      <c r="E504" s="134">
        <v>10</v>
      </c>
      <c r="F504" s="143">
        <v>7</v>
      </c>
      <c r="G504" s="143">
        <v>5</v>
      </c>
      <c r="H504" s="135">
        <v>4</v>
      </c>
      <c r="I504" s="207">
        <v>1</v>
      </c>
    </row>
    <row r="505" spans="2:9" x14ac:dyDescent="0.25">
      <c r="B505" s="67">
        <v>3</v>
      </c>
      <c r="C505" s="67">
        <v>6</v>
      </c>
      <c r="D505" s="44">
        <v>4</v>
      </c>
      <c r="E505" s="134">
        <v>10</v>
      </c>
      <c r="F505" s="143">
        <v>7</v>
      </c>
      <c r="G505" s="143">
        <v>7</v>
      </c>
      <c r="H505" s="135">
        <v>5</v>
      </c>
      <c r="I505" s="207">
        <v>1</v>
      </c>
    </row>
    <row r="506" spans="2:9" x14ac:dyDescent="0.25">
      <c r="B506" s="67">
        <v>3</v>
      </c>
      <c r="C506" s="68">
        <v>6</v>
      </c>
      <c r="D506" s="64">
        <v>5</v>
      </c>
      <c r="E506" s="136">
        <v>10</v>
      </c>
      <c r="F506" s="158">
        <v>7</v>
      </c>
      <c r="G506" s="158">
        <v>7</v>
      </c>
      <c r="H506" s="137"/>
      <c r="I506" s="208">
        <v>1</v>
      </c>
    </row>
    <row r="507" spans="2:9" x14ac:dyDescent="0.25">
      <c r="B507" s="67">
        <v>3</v>
      </c>
      <c r="C507" s="66">
        <v>7</v>
      </c>
      <c r="D507" s="28">
        <v>1</v>
      </c>
      <c r="E507" s="132">
        <v>10</v>
      </c>
      <c r="F507" s="160">
        <v>7</v>
      </c>
      <c r="G507" s="160"/>
      <c r="H507" s="133"/>
      <c r="I507" s="206">
        <v>1</v>
      </c>
    </row>
    <row r="508" spans="2:9" x14ac:dyDescent="0.25">
      <c r="B508" s="67">
        <v>3</v>
      </c>
      <c r="C508" s="67">
        <v>7</v>
      </c>
      <c r="D508" s="44">
        <v>2</v>
      </c>
      <c r="E508" s="134">
        <v>10</v>
      </c>
      <c r="F508" s="143">
        <v>7</v>
      </c>
      <c r="G508" s="143">
        <v>4</v>
      </c>
      <c r="H508" s="135">
        <v>3</v>
      </c>
      <c r="I508" s="207">
        <v>1</v>
      </c>
    </row>
    <row r="509" spans="2:9" x14ac:dyDescent="0.25">
      <c r="B509" s="67">
        <v>3</v>
      </c>
      <c r="C509" s="67">
        <v>7</v>
      </c>
      <c r="D509" s="44">
        <v>3</v>
      </c>
      <c r="E509" s="134">
        <v>10</v>
      </c>
      <c r="F509" s="143">
        <v>7</v>
      </c>
      <c r="G509" s="143">
        <v>5</v>
      </c>
      <c r="H509" s="135">
        <v>4</v>
      </c>
      <c r="I509" s="207">
        <v>1</v>
      </c>
    </row>
    <row r="510" spans="2:9" x14ac:dyDescent="0.25">
      <c r="B510" s="67">
        <v>3</v>
      </c>
      <c r="C510" s="67">
        <v>7</v>
      </c>
      <c r="D510" s="44">
        <v>4</v>
      </c>
      <c r="E510" s="134">
        <v>10</v>
      </c>
      <c r="F510" s="143">
        <v>7</v>
      </c>
      <c r="G510" s="143">
        <v>7</v>
      </c>
      <c r="H510" s="135">
        <v>5</v>
      </c>
      <c r="I510" s="207">
        <v>1</v>
      </c>
    </row>
    <row r="511" spans="2:9" x14ac:dyDescent="0.25">
      <c r="B511" s="67">
        <v>3</v>
      </c>
      <c r="C511" s="68">
        <v>7</v>
      </c>
      <c r="D511" s="64">
        <v>5</v>
      </c>
      <c r="E511" s="136">
        <v>10</v>
      </c>
      <c r="F511" s="158">
        <v>7</v>
      </c>
      <c r="G511" s="158">
        <v>7</v>
      </c>
      <c r="H511" s="137"/>
      <c r="I511" s="208">
        <v>1</v>
      </c>
    </row>
    <row r="512" spans="2:9" x14ac:dyDescent="0.25">
      <c r="B512" s="67">
        <v>3</v>
      </c>
      <c r="C512" s="67">
        <v>8</v>
      </c>
      <c r="D512" s="44">
        <v>1</v>
      </c>
      <c r="E512" s="132">
        <v>10</v>
      </c>
      <c r="F512" s="160">
        <v>7</v>
      </c>
      <c r="G512" s="160"/>
      <c r="H512" s="133"/>
      <c r="I512" s="206">
        <v>1</v>
      </c>
    </row>
    <row r="513" spans="2:9" x14ac:dyDescent="0.25">
      <c r="B513" s="67">
        <v>3</v>
      </c>
      <c r="C513" s="67">
        <v>8</v>
      </c>
      <c r="D513" s="44">
        <v>2</v>
      </c>
      <c r="E513" s="134">
        <v>10</v>
      </c>
      <c r="F513" s="143">
        <v>7</v>
      </c>
      <c r="G513" s="143">
        <v>4</v>
      </c>
      <c r="H513" s="135">
        <v>3</v>
      </c>
      <c r="I513" s="207">
        <v>1</v>
      </c>
    </row>
    <row r="514" spans="2:9" x14ac:dyDescent="0.25">
      <c r="B514" s="67">
        <v>3</v>
      </c>
      <c r="C514" s="67">
        <v>8</v>
      </c>
      <c r="D514" s="44">
        <v>3</v>
      </c>
      <c r="E514" s="134">
        <v>10</v>
      </c>
      <c r="F514" s="143">
        <v>7</v>
      </c>
      <c r="G514" s="143">
        <v>5</v>
      </c>
      <c r="H514" s="135">
        <v>4</v>
      </c>
      <c r="I514" s="207">
        <v>1</v>
      </c>
    </row>
    <row r="515" spans="2:9" x14ac:dyDescent="0.25">
      <c r="B515" s="67">
        <v>3</v>
      </c>
      <c r="C515" s="67">
        <v>8</v>
      </c>
      <c r="D515" s="44">
        <v>4</v>
      </c>
      <c r="E515" s="134">
        <v>10</v>
      </c>
      <c r="F515" s="143">
        <v>7</v>
      </c>
      <c r="G515" s="143">
        <v>7</v>
      </c>
      <c r="H515" s="135">
        <v>5</v>
      </c>
      <c r="I515" s="207">
        <v>1</v>
      </c>
    </row>
    <row r="516" spans="2:9" x14ac:dyDescent="0.25">
      <c r="B516" s="67">
        <v>3</v>
      </c>
      <c r="C516" s="67">
        <v>8</v>
      </c>
      <c r="D516" s="44">
        <v>5</v>
      </c>
      <c r="E516" s="136">
        <v>10</v>
      </c>
      <c r="F516" s="158">
        <v>7</v>
      </c>
      <c r="G516" s="158">
        <v>7</v>
      </c>
      <c r="H516" s="137"/>
      <c r="I516" s="208">
        <v>1</v>
      </c>
    </row>
    <row r="517" spans="2:9" x14ac:dyDescent="0.25">
      <c r="B517" s="67">
        <v>3</v>
      </c>
      <c r="C517" s="66">
        <v>9</v>
      </c>
      <c r="D517" s="28">
        <v>1</v>
      </c>
      <c r="E517" s="132">
        <v>10</v>
      </c>
      <c r="F517" s="160">
        <v>7</v>
      </c>
      <c r="G517" s="160"/>
      <c r="H517" s="133"/>
      <c r="I517" s="206">
        <v>1</v>
      </c>
    </row>
    <row r="518" spans="2:9" x14ac:dyDescent="0.25">
      <c r="B518" s="67">
        <v>3</v>
      </c>
      <c r="C518" s="67">
        <v>9</v>
      </c>
      <c r="D518" s="44">
        <v>2</v>
      </c>
      <c r="E518" s="134">
        <v>10</v>
      </c>
      <c r="F518" s="143">
        <v>7</v>
      </c>
      <c r="G518" s="143">
        <v>4</v>
      </c>
      <c r="H518" s="135">
        <v>3</v>
      </c>
      <c r="I518" s="207">
        <v>1</v>
      </c>
    </row>
    <row r="519" spans="2:9" x14ac:dyDescent="0.25">
      <c r="B519" s="67">
        <v>3</v>
      </c>
      <c r="C519" s="67">
        <v>9</v>
      </c>
      <c r="D519" s="44">
        <v>3</v>
      </c>
      <c r="E519" s="134">
        <v>10</v>
      </c>
      <c r="F519" s="143">
        <v>7</v>
      </c>
      <c r="G519" s="143">
        <v>5</v>
      </c>
      <c r="H519" s="135">
        <v>4</v>
      </c>
      <c r="I519" s="207">
        <v>1</v>
      </c>
    </row>
    <row r="520" spans="2:9" x14ac:dyDescent="0.25">
      <c r="B520" s="67">
        <v>3</v>
      </c>
      <c r="C520" s="67">
        <v>9</v>
      </c>
      <c r="D520" s="44">
        <v>4</v>
      </c>
      <c r="E520" s="134">
        <v>10</v>
      </c>
      <c r="F520" s="143">
        <v>7</v>
      </c>
      <c r="G520" s="143">
        <v>7</v>
      </c>
      <c r="H520" s="135">
        <v>5</v>
      </c>
      <c r="I520" s="207">
        <v>1</v>
      </c>
    </row>
    <row r="521" spans="2:9" x14ac:dyDescent="0.25">
      <c r="B521" s="67">
        <v>3</v>
      </c>
      <c r="C521" s="68">
        <v>9</v>
      </c>
      <c r="D521" s="64">
        <v>5</v>
      </c>
      <c r="E521" s="136">
        <v>10</v>
      </c>
      <c r="F521" s="158">
        <v>7</v>
      </c>
      <c r="G521" s="158">
        <v>7</v>
      </c>
      <c r="H521" s="137"/>
      <c r="I521" s="208">
        <v>1</v>
      </c>
    </row>
    <row r="522" spans="2:9" x14ac:dyDescent="0.25">
      <c r="B522" s="67">
        <v>3</v>
      </c>
      <c r="C522" s="67">
        <v>10</v>
      </c>
      <c r="D522" s="44">
        <v>1</v>
      </c>
      <c r="E522" s="132">
        <v>10</v>
      </c>
      <c r="F522" s="160">
        <v>7</v>
      </c>
      <c r="G522" s="160"/>
      <c r="H522" s="133"/>
      <c r="I522" s="206">
        <v>1</v>
      </c>
    </row>
    <row r="523" spans="2:9" x14ac:dyDescent="0.25">
      <c r="B523" s="67">
        <v>3</v>
      </c>
      <c r="C523" s="67">
        <v>10</v>
      </c>
      <c r="D523" s="44">
        <v>2</v>
      </c>
      <c r="E523" s="134">
        <v>10</v>
      </c>
      <c r="F523" s="143">
        <v>7</v>
      </c>
      <c r="G523" s="143">
        <v>4</v>
      </c>
      <c r="H523" s="135">
        <v>3</v>
      </c>
      <c r="I523" s="207">
        <v>1</v>
      </c>
    </row>
    <row r="524" spans="2:9" x14ac:dyDescent="0.25">
      <c r="B524" s="67">
        <v>3</v>
      </c>
      <c r="C524" s="67">
        <v>10</v>
      </c>
      <c r="D524" s="44">
        <v>3</v>
      </c>
      <c r="E524" s="134">
        <v>10</v>
      </c>
      <c r="F524" s="143">
        <v>7</v>
      </c>
      <c r="G524" s="143">
        <v>5</v>
      </c>
      <c r="H524" s="135">
        <v>4</v>
      </c>
      <c r="I524" s="207">
        <v>1</v>
      </c>
    </row>
    <row r="525" spans="2:9" x14ac:dyDescent="0.25">
      <c r="B525" s="67">
        <v>3</v>
      </c>
      <c r="C525" s="67">
        <v>10</v>
      </c>
      <c r="D525" s="44">
        <v>4</v>
      </c>
      <c r="E525" s="134">
        <v>10</v>
      </c>
      <c r="F525" s="143">
        <v>7</v>
      </c>
      <c r="G525" s="143">
        <v>7</v>
      </c>
      <c r="H525" s="135">
        <v>5</v>
      </c>
      <c r="I525" s="207">
        <v>1</v>
      </c>
    </row>
    <row r="526" spans="2:9" x14ac:dyDescent="0.25">
      <c r="B526" s="68">
        <v>3</v>
      </c>
      <c r="C526" s="68">
        <v>10</v>
      </c>
      <c r="D526" s="64">
        <v>5</v>
      </c>
      <c r="E526" s="136">
        <v>10</v>
      </c>
      <c r="F526" s="158">
        <v>7</v>
      </c>
      <c r="G526" s="158">
        <v>7</v>
      </c>
      <c r="H526" s="137"/>
      <c r="I526" s="208">
        <v>1</v>
      </c>
    </row>
    <row r="527" spans="2:9" x14ac:dyDescent="0.25">
      <c r="B527" s="67">
        <v>4</v>
      </c>
      <c r="C527" s="66">
        <v>1</v>
      </c>
      <c r="D527" s="28">
        <v>1</v>
      </c>
      <c r="E527" s="132">
        <v>10</v>
      </c>
      <c r="F527" s="160">
        <v>13</v>
      </c>
      <c r="G527" s="160"/>
      <c r="H527" s="133"/>
      <c r="I527" s="206">
        <v>1</v>
      </c>
    </row>
    <row r="528" spans="2:9" x14ac:dyDescent="0.25">
      <c r="B528" s="67">
        <v>4</v>
      </c>
      <c r="C528" s="67">
        <v>1</v>
      </c>
      <c r="D528" s="44">
        <v>2</v>
      </c>
      <c r="E528" s="134">
        <v>10</v>
      </c>
      <c r="F528" s="143">
        <v>13</v>
      </c>
      <c r="G528" s="143">
        <v>12</v>
      </c>
      <c r="H528" s="135"/>
      <c r="I528" s="207">
        <v>1</v>
      </c>
    </row>
    <row r="529" spans="2:9" x14ac:dyDescent="0.25">
      <c r="B529" s="67">
        <v>4</v>
      </c>
      <c r="C529" s="67">
        <v>1</v>
      </c>
      <c r="D529" s="44">
        <v>3</v>
      </c>
      <c r="E529" s="134">
        <v>10</v>
      </c>
      <c r="F529" s="143">
        <v>13</v>
      </c>
      <c r="G529" s="143">
        <v>13</v>
      </c>
      <c r="H529" s="135">
        <v>12</v>
      </c>
      <c r="I529" s="207">
        <v>1</v>
      </c>
    </row>
    <row r="530" spans="2:9" x14ac:dyDescent="0.25">
      <c r="B530" s="67">
        <v>4</v>
      </c>
      <c r="C530" s="67">
        <v>1</v>
      </c>
      <c r="D530" s="44">
        <v>4</v>
      </c>
      <c r="E530" s="134">
        <v>10</v>
      </c>
      <c r="F530" s="143">
        <v>13</v>
      </c>
      <c r="G530" s="143">
        <v>24</v>
      </c>
      <c r="H530" s="135">
        <v>13</v>
      </c>
      <c r="I530" s="207">
        <v>1</v>
      </c>
    </row>
    <row r="531" spans="2:9" x14ac:dyDescent="0.25">
      <c r="B531" s="67">
        <v>4</v>
      </c>
      <c r="C531" s="68">
        <v>1</v>
      </c>
      <c r="D531" s="64">
        <v>5</v>
      </c>
      <c r="E531" s="136">
        <v>10</v>
      </c>
      <c r="F531" s="158">
        <v>13</v>
      </c>
      <c r="G531" s="158">
        <v>24</v>
      </c>
      <c r="H531" s="137">
        <v>13</v>
      </c>
      <c r="I531" s="208">
        <v>1</v>
      </c>
    </row>
    <row r="532" spans="2:9" x14ac:dyDescent="0.25">
      <c r="B532" s="67">
        <v>4</v>
      </c>
      <c r="C532" s="66">
        <v>2</v>
      </c>
      <c r="D532" s="28">
        <v>1</v>
      </c>
      <c r="E532" s="132">
        <v>10</v>
      </c>
      <c r="F532" s="160">
        <v>13</v>
      </c>
      <c r="G532" s="160"/>
      <c r="H532" s="133"/>
      <c r="I532" s="206">
        <v>1</v>
      </c>
    </row>
    <row r="533" spans="2:9" x14ac:dyDescent="0.25">
      <c r="B533" s="67">
        <v>4</v>
      </c>
      <c r="C533" s="67">
        <v>2</v>
      </c>
      <c r="D533" s="44">
        <v>2</v>
      </c>
      <c r="E533" s="134">
        <v>10</v>
      </c>
      <c r="F533" s="143">
        <v>13</v>
      </c>
      <c r="G533" s="143">
        <v>12</v>
      </c>
      <c r="H533" s="135"/>
      <c r="I533" s="207">
        <v>1</v>
      </c>
    </row>
    <row r="534" spans="2:9" x14ac:dyDescent="0.25">
      <c r="B534" s="67">
        <v>4</v>
      </c>
      <c r="C534" s="67">
        <v>2</v>
      </c>
      <c r="D534" s="44">
        <v>3</v>
      </c>
      <c r="E534" s="134">
        <v>10</v>
      </c>
      <c r="F534" s="143">
        <v>13</v>
      </c>
      <c r="G534" s="143">
        <v>13</v>
      </c>
      <c r="H534" s="135">
        <v>12</v>
      </c>
      <c r="I534" s="207">
        <v>1</v>
      </c>
    </row>
    <row r="535" spans="2:9" x14ac:dyDescent="0.25">
      <c r="B535" s="67">
        <v>4</v>
      </c>
      <c r="C535" s="67">
        <v>2</v>
      </c>
      <c r="D535" s="44">
        <v>4</v>
      </c>
      <c r="E535" s="134">
        <v>10</v>
      </c>
      <c r="F535" s="143">
        <v>13</v>
      </c>
      <c r="G535" s="143">
        <v>24</v>
      </c>
      <c r="H535" s="135">
        <v>13</v>
      </c>
      <c r="I535" s="207">
        <v>1</v>
      </c>
    </row>
    <row r="536" spans="2:9" x14ac:dyDescent="0.25">
      <c r="B536" s="67">
        <v>4</v>
      </c>
      <c r="C536" s="68">
        <v>2</v>
      </c>
      <c r="D536" s="64">
        <v>5</v>
      </c>
      <c r="E536" s="136">
        <v>10</v>
      </c>
      <c r="F536" s="158">
        <v>13</v>
      </c>
      <c r="G536" s="158">
        <v>24</v>
      </c>
      <c r="H536" s="137">
        <v>13</v>
      </c>
      <c r="I536" s="208">
        <v>1</v>
      </c>
    </row>
    <row r="537" spans="2:9" x14ac:dyDescent="0.25">
      <c r="B537" s="67">
        <v>4</v>
      </c>
      <c r="C537" s="67">
        <v>3</v>
      </c>
      <c r="D537" s="44">
        <v>1</v>
      </c>
      <c r="E537" s="132">
        <v>10</v>
      </c>
      <c r="F537" s="160">
        <v>13</v>
      </c>
      <c r="G537" s="160"/>
      <c r="H537" s="133"/>
      <c r="I537" s="206">
        <v>1</v>
      </c>
    </row>
    <row r="538" spans="2:9" x14ac:dyDescent="0.25">
      <c r="B538" s="67">
        <v>4</v>
      </c>
      <c r="C538" s="67">
        <v>3</v>
      </c>
      <c r="D538" s="44">
        <v>2</v>
      </c>
      <c r="E538" s="134">
        <v>10</v>
      </c>
      <c r="F538" s="143">
        <v>13</v>
      </c>
      <c r="G538" s="143">
        <v>12</v>
      </c>
      <c r="H538" s="135"/>
      <c r="I538" s="207">
        <v>1</v>
      </c>
    </row>
    <row r="539" spans="2:9" x14ac:dyDescent="0.25">
      <c r="B539" s="67">
        <v>4</v>
      </c>
      <c r="C539" s="67">
        <v>3</v>
      </c>
      <c r="D539" s="44">
        <v>3</v>
      </c>
      <c r="E539" s="134">
        <v>10</v>
      </c>
      <c r="F539" s="143">
        <v>13</v>
      </c>
      <c r="G539" s="143">
        <v>13</v>
      </c>
      <c r="H539" s="135">
        <v>12</v>
      </c>
      <c r="I539" s="207">
        <v>1</v>
      </c>
    </row>
    <row r="540" spans="2:9" x14ac:dyDescent="0.25">
      <c r="B540" s="67">
        <v>4</v>
      </c>
      <c r="C540" s="67">
        <v>3</v>
      </c>
      <c r="D540" s="44">
        <v>4</v>
      </c>
      <c r="E540" s="134">
        <v>10</v>
      </c>
      <c r="F540" s="143">
        <v>13</v>
      </c>
      <c r="G540" s="143">
        <v>23</v>
      </c>
      <c r="H540" s="135">
        <v>13</v>
      </c>
      <c r="I540" s="207">
        <v>1</v>
      </c>
    </row>
    <row r="541" spans="2:9" x14ac:dyDescent="0.25">
      <c r="B541" s="67">
        <v>4</v>
      </c>
      <c r="C541" s="67">
        <v>3</v>
      </c>
      <c r="D541" s="44">
        <v>5</v>
      </c>
      <c r="E541" s="136">
        <v>10</v>
      </c>
      <c r="F541" s="158">
        <v>13</v>
      </c>
      <c r="G541" s="158">
        <v>23</v>
      </c>
      <c r="H541" s="137">
        <v>13</v>
      </c>
      <c r="I541" s="208">
        <v>1</v>
      </c>
    </row>
    <row r="542" spans="2:9" x14ac:dyDescent="0.25">
      <c r="B542" s="67">
        <v>4</v>
      </c>
      <c r="C542" s="66">
        <v>4</v>
      </c>
      <c r="D542" s="28">
        <v>1</v>
      </c>
      <c r="E542" s="132">
        <v>10</v>
      </c>
      <c r="F542" s="160">
        <v>13</v>
      </c>
      <c r="G542" s="160"/>
      <c r="H542" s="133"/>
      <c r="I542" s="206">
        <v>1</v>
      </c>
    </row>
    <row r="543" spans="2:9" x14ac:dyDescent="0.25">
      <c r="B543" s="67">
        <v>4</v>
      </c>
      <c r="C543" s="67">
        <v>4</v>
      </c>
      <c r="D543" s="44">
        <v>2</v>
      </c>
      <c r="E543" s="134">
        <v>10</v>
      </c>
      <c r="F543" s="143">
        <v>13</v>
      </c>
      <c r="G543" s="143">
        <v>12</v>
      </c>
      <c r="H543" s="135"/>
      <c r="I543" s="207">
        <v>1</v>
      </c>
    </row>
    <row r="544" spans="2:9" x14ac:dyDescent="0.25">
      <c r="B544" s="67">
        <v>4</v>
      </c>
      <c r="C544" s="67">
        <v>4</v>
      </c>
      <c r="D544" s="44">
        <v>3</v>
      </c>
      <c r="E544" s="134">
        <v>10</v>
      </c>
      <c r="F544" s="143">
        <v>13</v>
      </c>
      <c r="G544" s="143">
        <v>13</v>
      </c>
      <c r="H544" s="135">
        <v>12</v>
      </c>
      <c r="I544" s="207">
        <v>1</v>
      </c>
    </row>
    <row r="545" spans="2:9" x14ac:dyDescent="0.25">
      <c r="B545" s="67">
        <v>4</v>
      </c>
      <c r="C545" s="67">
        <v>4</v>
      </c>
      <c r="D545" s="44">
        <v>4</v>
      </c>
      <c r="E545" s="134">
        <v>10</v>
      </c>
      <c r="F545" s="143">
        <v>13</v>
      </c>
      <c r="G545" s="143">
        <v>23</v>
      </c>
      <c r="H545" s="135">
        <v>13</v>
      </c>
      <c r="I545" s="207">
        <v>1</v>
      </c>
    </row>
    <row r="546" spans="2:9" x14ac:dyDescent="0.25">
      <c r="B546" s="67">
        <v>4</v>
      </c>
      <c r="C546" s="68">
        <v>4</v>
      </c>
      <c r="D546" s="64">
        <v>5</v>
      </c>
      <c r="E546" s="136">
        <v>10</v>
      </c>
      <c r="F546" s="158">
        <v>13</v>
      </c>
      <c r="G546" s="158">
        <v>23</v>
      </c>
      <c r="H546" s="137">
        <v>13</v>
      </c>
      <c r="I546" s="208">
        <v>1</v>
      </c>
    </row>
    <row r="547" spans="2:9" x14ac:dyDescent="0.25">
      <c r="B547" s="67">
        <v>4</v>
      </c>
      <c r="C547" s="67">
        <v>5</v>
      </c>
      <c r="D547" s="44">
        <v>1</v>
      </c>
      <c r="E547" s="132">
        <v>10</v>
      </c>
      <c r="F547" s="160">
        <v>13</v>
      </c>
      <c r="G547" s="160"/>
      <c r="H547" s="133"/>
      <c r="I547" s="206">
        <v>1</v>
      </c>
    </row>
    <row r="548" spans="2:9" x14ac:dyDescent="0.25">
      <c r="B548" s="67">
        <v>4</v>
      </c>
      <c r="C548" s="67">
        <v>5</v>
      </c>
      <c r="D548" s="44">
        <v>2</v>
      </c>
      <c r="E548" s="134">
        <v>10</v>
      </c>
      <c r="F548" s="143">
        <v>13</v>
      </c>
      <c r="G548" s="143">
        <v>12</v>
      </c>
      <c r="H548" s="135"/>
      <c r="I548" s="207">
        <v>1</v>
      </c>
    </row>
    <row r="549" spans="2:9" x14ac:dyDescent="0.25">
      <c r="B549" s="67">
        <v>4</v>
      </c>
      <c r="C549" s="67">
        <v>5</v>
      </c>
      <c r="D549" s="44">
        <v>3</v>
      </c>
      <c r="E549" s="134">
        <v>10</v>
      </c>
      <c r="F549" s="143">
        <v>13</v>
      </c>
      <c r="G549" s="143">
        <v>13</v>
      </c>
      <c r="H549" s="135">
        <v>12</v>
      </c>
      <c r="I549" s="207">
        <v>1</v>
      </c>
    </row>
    <row r="550" spans="2:9" x14ac:dyDescent="0.25">
      <c r="B550" s="67">
        <v>4</v>
      </c>
      <c r="C550" s="67">
        <v>5</v>
      </c>
      <c r="D550" s="44">
        <v>4</v>
      </c>
      <c r="E550" s="134">
        <v>10</v>
      </c>
      <c r="F550" s="143">
        <v>13</v>
      </c>
      <c r="G550" s="143">
        <v>23</v>
      </c>
      <c r="H550" s="135">
        <v>13</v>
      </c>
      <c r="I550" s="207">
        <v>1</v>
      </c>
    </row>
    <row r="551" spans="2:9" x14ac:dyDescent="0.25">
      <c r="B551" s="70">
        <v>4</v>
      </c>
      <c r="C551" s="68">
        <v>5</v>
      </c>
      <c r="D551" s="64">
        <v>5</v>
      </c>
      <c r="E551" s="136">
        <v>10</v>
      </c>
      <c r="F551" s="158">
        <v>13</v>
      </c>
      <c r="G551" s="158">
        <v>23</v>
      </c>
      <c r="H551" s="137">
        <v>13</v>
      </c>
      <c r="I551" s="208">
        <v>1</v>
      </c>
    </row>
    <row r="552" spans="2:9" x14ac:dyDescent="0.25">
      <c r="B552" s="67">
        <v>4</v>
      </c>
      <c r="C552" s="66">
        <v>6</v>
      </c>
      <c r="D552" s="28">
        <v>1</v>
      </c>
      <c r="E552" s="132">
        <v>10</v>
      </c>
      <c r="F552" s="160">
        <v>13</v>
      </c>
      <c r="G552" s="160"/>
      <c r="H552" s="133"/>
      <c r="I552" s="206">
        <v>1</v>
      </c>
    </row>
    <row r="553" spans="2:9" x14ac:dyDescent="0.25">
      <c r="B553" s="67">
        <v>4</v>
      </c>
      <c r="C553" s="67">
        <v>6</v>
      </c>
      <c r="D553" s="44">
        <v>2</v>
      </c>
      <c r="E553" s="134">
        <v>10</v>
      </c>
      <c r="F553" s="143">
        <v>13</v>
      </c>
      <c r="G553" s="143">
        <v>12</v>
      </c>
      <c r="H553" s="135"/>
      <c r="I553" s="207">
        <v>1</v>
      </c>
    </row>
    <row r="554" spans="2:9" x14ac:dyDescent="0.25">
      <c r="B554" s="67">
        <v>4</v>
      </c>
      <c r="C554" s="67">
        <v>6</v>
      </c>
      <c r="D554" s="44">
        <v>3</v>
      </c>
      <c r="E554" s="134">
        <v>10</v>
      </c>
      <c r="F554" s="143">
        <v>13</v>
      </c>
      <c r="G554" s="143">
        <v>13</v>
      </c>
      <c r="H554" s="135">
        <v>12</v>
      </c>
      <c r="I554" s="207">
        <v>1</v>
      </c>
    </row>
    <row r="555" spans="2:9" x14ac:dyDescent="0.25">
      <c r="B555" s="67">
        <v>4</v>
      </c>
      <c r="C555" s="67">
        <v>6</v>
      </c>
      <c r="D555" s="44">
        <v>4</v>
      </c>
      <c r="E555" s="134">
        <v>10</v>
      </c>
      <c r="F555" s="143">
        <v>13</v>
      </c>
      <c r="G555" s="143">
        <v>23</v>
      </c>
      <c r="H555" s="135">
        <v>13</v>
      </c>
      <c r="I555" s="207">
        <v>1</v>
      </c>
    </row>
    <row r="556" spans="2:9" x14ac:dyDescent="0.25">
      <c r="B556" s="67">
        <v>4</v>
      </c>
      <c r="C556" s="68">
        <v>6</v>
      </c>
      <c r="D556" s="64">
        <v>5</v>
      </c>
      <c r="E556" s="136">
        <v>10</v>
      </c>
      <c r="F556" s="158">
        <v>13</v>
      </c>
      <c r="G556" s="158">
        <v>23</v>
      </c>
      <c r="H556" s="137">
        <v>13</v>
      </c>
      <c r="I556" s="208">
        <v>1</v>
      </c>
    </row>
    <row r="557" spans="2:9" x14ac:dyDescent="0.25">
      <c r="B557" s="67">
        <v>4</v>
      </c>
      <c r="C557" s="66">
        <v>7</v>
      </c>
      <c r="D557" s="28">
        <v>1</v>
      </c>
      <c r="E557" s="132">
        <v>10</v>
      </c>
      <c r="F557" s="160">
        <v>13</v>
      </c>
      <c r="G557" s="160"/>
      <c r="H557" s="133"/>
      <c r="I557" s="206">
        <v>1</v>
      </c>
    </row>
    <row r="558" spans="2:9" x14ac:dyDescent="0.25">
      <c r="B558" s="67">
        <v>4</v>
      </c>
      <c r="C558" s="67">
        <v>7</v>
      </c>
      <c r="D558" s="44">
        <v>2</v>
      </c>
      <c r="E558" s="134">
        <v>10</v>
      </c>
      <c r="F558" s="143">
        <v>13</v>
      </c>
      <c r="G558" s="143">
        <v>12</v>
      </c>
      <c r="H558" s="135"/>
      <c r="I558" s="207">
        <v>1</v>
      </c>
    </row>
    <row r="559" spans="2:9" x14ac:dyDescent="0.25">
      <c r="B559" s="67">
        <v>4</v>
      </c>
      <c r="C559" s="67">
        <v>7</v>
      </c>
      <c r="D559" s="44">
        <v>3</v>
      </c>
      <c r="E559" s="134">
        <v>10</v>
      </c>
      <c r="F559" s="143">
        <v>13</v>
      </c>
      <c r="G559" s="143">
        <v>13</v>
      </c>
      <c r="H559" s="135">
        <v>12</v>
      </c>
      <c r="I559" s="207">
        <v>1</v>
      </c>
    </row>
    <row r="560" spans="2:9" x14ac:dyDescent="0.25">
      <c r="B560" s="67">
        <v>4</v>
      </c>
      <c r="C560" s="67">
        <v>7</v>
      </c>
      <c r="D560" s="44">
        <v>4</v>
      </c>
      <c r="E560" s="134">
        <v>10</v>
      </c>
      <c r="F560" s="143">
        <v>13</v>
      </c>
      <c r="G560" s="143">
        <v>23</v>
      </c>
      <c r="H560" s="135">
        <v>13</v>
      </c>
      <c r="I560" s="207">
        <v>1</v>
      </c>
    </row>
    <row r="561" spans="2:9" x14ac:dyDescent="0.25">
      <c r="B561" s="67">
        <v>4</v>
      </c>
      <c r="C561" s="68">
        <v>7</v>
      </c>
      <c r="D561" s="64">
        <v>5</v>
      </c>
      <c r="E561" s="136">
        <v>10</v>
      </c>
      <c r="F561" s="158">
        <v>13</v>
      </c>
      <c r="G561" s="158">
        <v>23</v>
      </c>
      <c r="H561" s="137">
        <v>13</v>
      </c>
      <c r="I561" s="208">
        <v>1</v>
      </c>
    </row>
    <row r="562" spans="2:9" x14ac:dyDescent="0.25">
      <c r="B562" s="67">
        <v>4</v>
      </c>
      <c r="C562" s="67">
        <v>8</v>
      </c>
      <c r="D562" s="44">
        <v>1</v>
      </c>
      <c r="E562" s="132">
        <v>10</v>
      </c>
      <c r="F562" s="160">
        <v>13</v>
      </c>
      <c r="G562" s="160"/>
      <c r="H562" s="133"/>
      <c r="I562" s="206">
        <v>1</v>
      </c>
    </row>
    <row r="563" spans="2:9" x14ac:dyDescent="0.25">
      <c r="B563" s="67">
        <v>4</v>
      </c>
      <c r="C563" s="67">
        <v>8</v>
      </c>
      <c r="D563" s="44">
        <v>2</v>
      </c>
      <c r="E563" s="134">
        <v>10</v>
      </c>
      <c r="F563" s="143">
        <v>13</v>
      </c>
      <c r="G563" s="143">
        <v>12</v>
      </c>
      <c r="H563" s="135"/>
      <c r="I563" s="207">
        <v>1</v>
      </c>
    </row>
    <row r="564" spans="2:9" x14ac:dyDescent="0.25">
      <c r="B564" s="67">
        <v>4</v>
      </c>
      <c r="C564" s="67">
        <v>8</v>
      </c>
      <c r="D564" s="44">
        <v>3</v>
      </c>
      <c r="E564" s="134">
        <v>10</v>
      </c>
      <c r="F564" s="143">
        <v>13</v>
      </c>
      <c r="G564" s="143">
        <v>13</v>
      </c>
      <c r="H564" s="135">
        <v>12</v>
      </c>
      <c r="I564" s="207">
        <v>1</v>
      </c>
    </row>
    <row r="565" spans="2:9" x14ac:dyDescent="0.25">
      <c r="B565" s="67">
        <v>4</v>
      </c>
      <c r="C565" s="67">
        <v>8</v>
      </c>
      <c r="D565" s="44">
        <v>4</v>
      </c>
      <c r="E565" s="134">
        <v>10</v>
      </c>
      <c r="F565" s="143">
        <v>13</v>
      </c>
      <c r="G565" s="143">
        <v>23</v>
      </c>
      <c r="H565" s="135">
        <v>13</v>
      </c>
      <c r="I565" s="207">
        <v>1</v>
      </c>
    </row>
    <row r="566" spans="2:9" x14ac:dyDescent="0.25">
      <c r="B566" s="67">
        <v>4</v>
      </c>
      <c r="C566" s="67">
        <v>8</v>
      </c>
      <c r="D566" s="44">
        <v>5</v>
      </c>
      <c r="E566" s="136">
        <v>10</v>
      </c>
      <c r="F566" s="158">
        <v>13</v>
      </c>
      <c r="G566" s="158">
        <v>23</v>
      </c>
      <c r="H566" s="137">
        <v>13</v>
      </c>
      <c r="I566" s="208">
        <v>1</v>
      </c>
    </row>
    <row r="567" spans="2:9" x14ac:dyDescent="0.25">
      <c r="B567" s="67">
        <v>4</v>
      </c>
      <c r="C567" s="66">
        <v>9</v>
      </c>
      <c r="D567" s="28">
        <v>1</v>
      </c>
      <c r="E567" s="132">
        <v>10</v>
      </c>
      <c r="F567" s="160">
        <v>13</v>
      </c>
      <c r="G567" s="160"/>
      <c r="H567" s="133"/>
      <c r="I567" s="206">
        <v>1</v>
      </c>
    </row>
    <row r="568" spans="2:9" x14ac:dyDescent="0.25">
      <c r="B568" s="67">
        <v>4</v>
      </c>
      <c r="C568" s="67">
        <v>9</v>
      </c>
      <c r="D568" s="44">
        <v>2</v>
      </c>
      <c r="E568" s="134">
        <v>10</v>
      </c>
      <c r="F568" s="143">
        <v>13</v>
      </c>
      <c r="G568" s="143">
        <v>12</v>
      </c>
      <c r="H568" s="135"/>
      <c r="I568" s="207">
        <v>1</v>
      </c>
    </row>
    <row r="569" spans="2:9" x14ac:dyDescent="0.25">
      <c r="B569" s="67">
        <v>4</v>
      </c>
      <c r="C569" s="67">
        <v>9</v>
      </c>
      <c r="D569" s="44">
        <v>3</v>
      </c>
      <c r="E569" s="134">
        <v>10</v>
      </c>
      <c r="F569" s="143">
        <v>13</v>
      </c>
      <c r="G569" s="143">
        <v>13</v>
      </c>
      <c r="H569" s="135">
        <v>12</v>
      </c>
      <c r="I569" s="207">
        <v>1</v>
      </c>
    </row>
    <row r="570" spans="2:9" x14ac:dyDescent="0.25">
      <c r="B570" s="67">
        <v>4</v>
      </c>
      <c r="C570" s="67">
        <v>9</v>
      </c>
      <c r="D570" s="44">
        <v>4</v>
      </c>
      <c r="E570" s="134">
        <v>10</v>
      </c>
      <c r="F570" s="143">
        <v>13</v>
      </c>
      <c r="G570" s="143">
        <v>23</v>
      </c>
      <c r="H570" s="135">
        <v>13</v>
      </c>
      <c r="I570" s="207">
        <v>1</v>
      </c>
    </row>
    <row r="571" spans="2:9" x14ac:dyDescent="0.25">
      <c r="B571" s="67">
        <v>4</v>
      </c>
      <c r="C571" s="68">
        <v>9</v>
      </c>
      <c r="D571" s="64">
        <v>5</v>
      </c>
      <c r="E571" s="136">
        <v>10</v>
      </c>
      <c r="F571" s="158">
        <v>13</v>
      </c>
      <c r="G571" s="158">
        <v>23</v>
      </c>
      <c r="H571" s="137">
        <v>13</v>
      </c>
      <c r="I571" s="208">
        <v>1</v>
      </c>
    </row>
    <row r="572" spans="2:9" x14ac:dyDescent="0.25">
      <c r="B572" s="67">
        <v>4</v>
      </c>
      <c r="C572" s="67">
        <v>10</v>
      </c>
      <c r="D572" s="44">
        <v>1</v>
      </c>
      <c r="E572" s="132">
        <v>10</v>
      </c>
      <c r="F572" s="160">
        <v>13</v>
      </c>
      <c r="G572" s="160"/>
      <c r="H572" s="133"/>
      <c r="I572" s="206">
        <v>1</v>
      </c>
    </row>
    <row r="573" spans="2:9" x14ac:dyDescent="0.25">
      <c r="B573" s="67">
        <v>4</v>
      </c>
      <c r="C573" s="67">
        <v>10</v>
      </c>
      <c r="D573" s="44">
        <v>2</v>
      </c>
      <c r="E573" s="134">
        <v>10</v>
      </c>
      <c r="F573" s="143">
        <v>13</v>
      </c>
      <c r="G573" s="143">
        <v>12</v>
      </c>
      <c r="H573" s="135"/>
      <c r="I573" s="207">
        <v>1</v>
      </c>
    </row>
    <row r="574" spans="2:9" x14ac:dyDescent="0.25">
      <c r="B574" s="67">
        <v>4</v>
      </c>
      <c r="C574" s="67">
        <v>10</v>
      </c>
      <c r="D574" s="44">
        <v>3</v>
      </c>
      <c r="E574" s="134">
        <v>10</v>
      </c>
      <c r="F574" s="143">
        <v>13</v>
      </c>
      <c r="G574" s="143">
        <v>13</v>
      </c>
      <c r="H574" s="135">
        <v>12</v>
      </c>
      <c r="I574" s="207">
        <v>1</v>
      </c>
    </row>
    <row r="575" spans="2:9" x14ac:dyDescent="0.25">
      <c r="B575" s="67">
        <v>4</v>
      </c>
      <c r="C575" s="67">
        <v>10</v>
      </c>
      <c r="D575" s="44">
        <v>4</v>
      </c>
      <c r="E575" s="134">
        <v>10</v>
      </c>
      <c r="F575" s="143">
        <v>13</v>
      </c>
      <c r="G575" s="143">
        <v>24</v>
      </c>
      <c r="H575" s="135">
        <v>13</v>
      </c>
      <c r="I575" s="207">
        <v>1</v>
      </c>
    </row>
    <row r="576" spans="2:9" x14ac:dyDescent="0.25">
      <c r="B576" s="68">
        <v>4</v>
      </c>
      <c r="C576" s="68">
        <v>10</v>
      </c>
      <c r="D576" s="64">
        <v>5</v>
      </c>
      <c r="E576" s="136">
        <v>10</v>
      </c>
      <c r="F576" s="158">
        <v>13</v>
      </c>
      <c r="G576" s="158">
        <v>24</v>
      </c>
      <c r="H576" s="137">
        <v>13</v>
      </c>
      <c r="I576" s="208">
        <v>1</v>
      </c>
    </row>
    <row r="577" spans="2:9" x14ac:dyDescent="0.25">
      <c r="B577" s="67">
        <v>5</v>
      </c>
      <c r="C577" s="66">
        <v>1</v>
      </c>
      <c r="D577" s="28">
        <v>1</v>
      </c>
      <c r="E577" s="132">
        <v>10</v>
      </c>
      <c r="F577" s="160">
        <v>15</v>
      </c>
      <c r="G577" s="160"/>
      <c r="H577" s="133"/>
      <c r="I577" s="206">
        <v>1</v>
      </c>
    </row>
    <row r="578" spans="2:9" x14ac:dyDescent="0.25">
      <c r="B578" s="67">
        <v>5</v>
      </c>
      <c r="C578" s="67">
        <v>1</v>
      </c>
      <c r="D578" s="44">
        <v>2</v>
      </c>
      <c r="E578" s="134">
        <v>10</v>
      </c>
      <c r="F578" s="143">
        <v>15</v>
      </c>
      <c r="G578" s="143">
        <v>14</v>
      </c>
      <c r="H578" s="135"/>
      <c r="I578" s="207">
        <v>1</v>
      </c>
    </row>
    <row r="579" spans="2:9" x14ac:dyDescent="0.25">
      <c r="B579" s="67">
        <v>5</v>
      </c>
      <c r="C579" s="67">
        <v>1</v>
      </c>
      <c r="D579" s="44">
        <v>3</v>
      </c>
      <c r="E579" s="134">
        <v>10</v>
      </c>
      <c r="F579" s="143">
        <v>15</v>
      </c>
      <c r="G579" s="143">
        <v>15</v>
      </c>
      <c r="H579" s="135">
        <v>14</v>
      </c>
      <c r="I579" s="207">
        <v>1</v>
      </c>
    </row>
    <row r="580" spans="2:9" x14ac:dyDescent="0.25">
      <c r="B580" s="67">
        <v>5</v>
      </c>
      <c r="C580" s="67">
        <v>1</v>
      </c>
      <c r="D580" s="44">
        <v>4</v>
      </c>
      <c r="E580" s="134">
        <v>10</v>
      </c>
      <c r="F580" s="143">
        <v>15</v>
      </c>
      <c r="G580" s="143">
        <v>24</v>
      </c>
      <c r="H580" s="135">
        <v>14</v>
      </c>
      <c r="I580" s="207">
        <v>1</v>
      </c>
    </row>
    <row r="581" spans="2:9" x14ac:dyDescent="0.25">
      <c r="B581" s="67">
        <v>5</v>
      </c>
      <c r="C581" s="68">
        <v>1</v>
      </c>
      <c r="D581" s="64">
        <v>5</v>
      </c>
      <c r="E581" s="136">
        <v>10</v>
      </c>
      <c r="F581" s="158">
        <v>15</v>
      </c>
      <c r="G581" s="158">
        <v>24</v>
      </c>
      <c r="H581" s="137">
        <v>14</v>
      </c>
      <c r="I581" s="208">
        <v>1</v>
      </c>
    </row>
    <row r="582" spans="2:9" x14ac:dyDescent="0.25">
      <c r="B582" s="67">
        <v>5</v>
      </c>
      <c r="C582" s="66">
        <v>2</v>
      </c>
      <c r="D582" s="28">
        <v>1</v>
      </c>
      <c r="E582" s="132">
        <v>10</v>
      </c>
      <c r="F582" s="160">
        <v>15</v>
      </c>
      <c r="G582" s="160"/>
      <c r="H582" s="133"/>
      <c r="I582" s="206">
        <v>1</v>
      </c>
    </row>
    <row r="583" spans="2:9" x14ac:dyDescent="0.25">
      <c r="B583" s="67">
        <v>5</v>
      </c>
      <c r="C583" s="67">
        <v>2</v>
      </c>
      <c r="D583" s="44">
        <v>2</v>
      </c>
      <c r="E583" s="134">
        <v>10</v>
      </c>
      <c r="F583" s="143">
        <v>15</v>
      </c>
      <c r="G583" s="143">
        <v>14</v>
      </c>
      <c r="H583" s="135"/>
      <c r="I583" s="207">
        <v>1</v>
      </c>
    </row>
    <row r="584" spans="2:9" x14ac:dyDescent="0.25">
      <c r="B584" s="67">
        <v>5</v>
      </c>
      <c r="C584" s="67">
        <v>2</v>
      </c>
      <c r="D584" s="44">
        <v>3</v>
      </c>
      <c r="E584" s="134">
        <v>10</v>
      </c>
      <c r="F584" s="143">
        <v>15</v>
      </c>
      <c r="G584" s="143">
        <v>15</v>
      </c>
      <c r="H584" s="135">
        <v>14</v>
      </c>
      <c r="I584" s="207">
        <v>1</v>
      </c>
    </row>
    <row r="585" spans="2:9" x14ac:dyDescent="0.25">
      <c r="B585" s="67">
        <v>5</v>
      </c>
      <c r="C585" s="67">
        <v>2</v>
      </c>
      <c r="D585" s="44">
        <v>4</v>
      </c>
      <c r="E585" s="134">
        <v>10</v>
      </c>
      <c r="F585" s="143">
        <v>15</v>
      </c>
      <c r="G585" s="143">
        <v>23</v>
      </c>
      <c r="H585" s="135">
        <v>14</v>
      </c>
      <c r="I585" s="207">
        <v>1</v>
      </c>
    </row>
    <row r="586" spans="2:9" x14ac:dyDescent="0.25">
      <c r="B586" s="67">
        <v>5</v>
      </c>
      <c r="C586" s="68">
        <v>2</v>
      </c>
      <c r="D586" s="64">
        <v>5</v>
      </c>
      <c r="E586" s="136">
        <v>10</v>
      </c>
      <c r="F586" s="158">
        <v>15</v>
      </c>
      <c r="G586" s="158">
        <v>23</v>
      </c>
      <c r="H586" s="137">
        <v>14</v>
      </c>
      <c r="I586" s="208">
        <v>1</v>
      </c>
    </row>
    <row r="587" spans="2:9" x14ac:dyDescent="0.25">
      <c r="B587" s="67">
        <v>5</v>
      </c>
      <c r="C587" s="67">
        <v>3</v>
      </c>
      <c r="D587" s="44">
        <v>1</v>
      </c>
      <c r="E587" s="132">
        <v>10</v>
      </c>
      <c r="F587" s="160">
        <v>15</v>
      </c>
      <c r="G587" s="160"/>
      <c r="H587" s="133"/>
      <c r="I587" s="206">
        <v>1</v>
      </c>
    </row>
    <row r="588" spans="2:9" x14ac:dyDescent="0.25">
      <c r="B588" s="67">
        <v>5</v>
      </c>
      <c r="C588" s="67">
        <v>3</v>
      </c>
      <c r="D588" s="44">
        <v>2</v>
      </c>
      <c r="E588" s="134">
        <v>10</v>
      </c>
      <c r="F588" s="143">
        <v>15</v>
      </c>
      <c r="G588" s="143">
        <v>14</v>
      </c>
      <c r="H588" s="135"/>
      <c r="I588" s="207">
        <v>1</v>
      </c>
    </row>
    <row r="589" spans="2:9" x14ac:dyDescent="0.25">
      <c r="B589" s="67">
        <v>5</v>
      </c>
      <c r="C589" s="67">
        <v>3</v>
      </c>
      <c r="D589" s="44">
        <v>3</v>
      </c>
      <c r="E589" s="134">
        <v>10</v>
      </c>
      <c r="F589" s="143">
        <v>15</v>
      </c>
      <c r="G589" s="143">
        <v>15</v>
      </c>
      <c r="H589" s="135">
        <v>14</v>
      </c>
      <c r="I589" s="207">
        <v>1</v>
      </c>
    </row>
    <row r="590" spans="2:9" x14ac:dyDescent="0.25">
      <c r="B590" s="67">
        <v>5</v>
      </c>
      <c r="C590" s="67">
        <v>3</v>
      </c>
      <c r="D590" s="44">
        <v>4</v>
      </c>
      <c r="E590" s="134">
        <v>10</v>
      </c>
      <c r="F590" s="143">
        <v>15</v>
      </c>
      <c r="G590" s="143">
        <v>23</v>
      </c>
      <c r="H590" s="135">
        <v>14</v>
      </c>
      <c r="I590" s="207">
        <v>1</v>
      </c>
    </row>
    <row r="591" spans="2:9" x14ac:dyDescent="0.25">
      <c r="B591" s="67">
        <v>5</v>
      </c>
      <c r="C591" s="67">
        <v>3</v>
      </c>
      <c r="D591" s="44">
        <v>5</v>
      </c>
      <c r="E591" s="136">
        <v>10</v>
      </c>
      <c r="F591" s="158">
        <v>15</v>
      </c>
      <c r="G591" s="158">
        <v>23</v>
      </c>
      <c r="H591" s="137">
        <v>14</v>
      </c>
      <c r="I591" s="208">
        <v>1</v>
      </c>
    </row>
    <row r="592" spans="2:9" x14ac:dyDescent="0.25">
      <c r="B592" s="67">
        <v>5</v>
      </c>
      <c r="C592" s="66">
        <v>4</v>
      </c>
      <c r="D592" s="28">
        <v>1</v>
      </c>
      <c r="E592" s="132">
        <v>10</v>
      </c>
      <c r="F592" s="160">
        <v>15</v>
      </c>
      <c r="G592" s="160"/>
      <c r="H592" s="133"/>
      <c r="I592" s="206">
        <v>1</v>
      </c>
    </row>
    <row r="593" spans="2:9" x14ac:dyDescent="0.25">
      <c r="B593" s="67">
        <v>5</v>
      </c>
      <c r="C593" s="67">
        <v>4</v>
      </c>
      <c r="D593" s="44">
        <v>2</v>
      </c>
      <c r="E593" s="134">
        <v>10</v>
      </c>
      <c r="F593" s="143">
        <v>15</v>
      </c>
      <c r="G593" s="143">
        <v>14</v>
      </c>
      <c r="H593" s="135"/>
      <c r="I593" s="207">
        <v>1</v>
      </c>
    </row>
    <row r="594" spans="2:9" x14ac:dyDescent="0.25">
      <c r="B594" s="67">
        <v>5</v>
      </c>
      <c r="C594" s="67">
        <v>4</v>
      </c>
      <c r="D594" s="44">
        <v>3</v>
      </c>
      <c r="E594" s="134">
        <v>10</v>
      </c>
      <c r="F594" s="143">
        <v>15</v>
      </c>
      <c r="G594" s="143">
        <v>15</v>
      </c>
      <c r="H594" s="135">
        <v>14</v>
      </c>
      <c r="I594" s="207">
        <v>1</v>
      </c>
    </row>
    <row r="595" spans="2:9" x14ac:dyDescent="0.25">
      <c r="B595" s="67">
        <v>5</v>
      </c>
      <c r="C595" s="67">
        <v>4</v>
      </c>
      <c r="D595" s="44">
        <v>4</v>
      </c>
      <c r="E595" s="134">
        <v>10</v>
      </c>
      <c r="F595" s="143">
        <v>15</v>
      </c>
      <c r="G595" s="143">
        <v>23</v>
      </c>
      <c r="H595" s="135">
        <v>14</v>
      </c>
      <c r="I595" s="207">
        <v>1</v>
      </c>
    </row>
    <row r="596" spans="2:9" x14ac:dyDescent="0.25">
      <c r="B596" s="67">
        <v>5</v>
      </c>
      <c r="C596" s="68">
        <v>4</v>
      </c>
      <c r="D596" s="64">
        <v>5</v>
      </c>
      <c r="E596" s="136">
        <v>10</v>
      </c>
      <c r="F596" s="158">
        <v>15</v>
      </c>
      <c r="G596" s="158">
        <v>23</v>
      </c>
      <c r="H596" s="137">
        <v>14</v>
      </c>
      <c r="I596" s="208">
        <v>1</v>
      </c>
    </row>
    <row r="597" spans="2:9" x14ac:dyDescent="0.25">
      <c r="B597" s="67">
        <v>5</v>
      </c>
      <c r="C597" s="67">
        <v>5</v>
      </c>
      <c r="D597" s="44">
        <v>1</v>
      </c>
      <c r="E597" s="132">
        <v>10</v>
      </c>
      <c r="F597" s="160">
        <v>15</v>
      </c>
      <c r="G597" s="160"/>
      <c r="H597" s="133"/>
      <c r="I597" s="206">
        <v>1</v>
      </c>
    </row>
    <row r="598" spans="2:9" x14ac:dyDescent="0.25">
      <c r="B598" s="67">
        <v>5</v>
      </c>
      <c r="C598" s="67">
        <v>5</v>
      </c>
      <c r="D598" s="44">
        <v>2</v>
      </c>
      <c r="E598" s="134">
        <v>10</v>
      </c>
      <c r="F598" s="143">
        <v>15</v>
      </c>
      <c r="G598" s="143">
        <v>14</v>
      </c>
      <c r="H598" s="135"/>
      <c r="I598" s="207">
        <v>1</v>
      </c>
    </row>
    <row r="599" spans="2:9" x14ac:dyDescent="0.25">
      <c r="B599" s="67">
        <v>5</v>
      </c>
      <c r="C599" s="67">
        <v>5</v>
      </c>
      <c r="D599" s="44">
        <v>3</v>
      </c>
      <c r="E599" s="134">
        <v>10</v>
      </c>
      <c r="F599" s="143">
        <v>15</v>
      </c>
      <c r="G599" s="143">
        <v>15</v>
      </c>
      <c r="H599" s="135">
        <v>14</v>
      </c>
      <c r="I599" s="207">
        <v>1</v>
      </c>
    </row>
    <row r="600" spans="2:9" x14ac:dyDescent="0.25">
      <c r="B600" s="67">
        <v>5</v>
      </c>
      <c r="C600" s="67">
        <v>5</v>
      </c>
      <c r="D600" s="44">
        <v>4</v>
      </c>
      <c r="E600" s="134">
        <v>10</v>
      </c>
      <c r="F600" s="143">
        <v>15</v>
      </c>
      <c r="G600" s="143">
        <v>23</v>
      </c>
      <c r="H600" s="135">
        <v>14</v>
      </c>
      <c r="I600" s="207">
        <v>1</v>
      </c>
    </row>
    <row r="601" spans="2:9" x14ac:dyDescent="0.25">
      <c r="B601" s="70">
        <v>5</v>
      </c>
      <c r="C601" s="68">
        <v>5</v>
      </c>
      <c r="D601" s="64">
        <v>5</v>
      </c>
      <c r="E601" s="136">
        <v>10</v>
      </c>
      <c r="F601" s="158">
        <v>15</v>
      </c>
      <c r="G601" s="158">
        <v>23</v>
      </c>
      <c r="H601" s="137">
        <v>14</v>
      </c>
      <c r="I601" s="208">
        <v>1</v>
      </c>
    </row>
    <row r="602" spans="2:9" x14ac:dyDescent="0.25">
      <c r="B602" s="67">
        <v>5</v>
      </c>
      <c r="C602" s="66">
        <v>6</v>
      </c>
      <c r="D602" s="28">
        <v>1</v>
      </c>
      <c r="E602" s="132">
        <v>10</v>
      </c>
      <c r="F602" s="160">
        <v>15</v>
      </c>
      <c r="G602" s="160"/>
      <c r="H602" s="133"/>
      <c r="I602" s="206">
        <v>1</v>
      </c>
    </row>
    <row r="603" spans="2:9" x14ac:dyDescent="0.25">
      <c r="B603" s="67">
        <v>5</v>
      </c>
      <c r="C603" s="67">
        <v>6</v>
      </c>
      <c r="D603" s="44">
        <v>2</v>
      </c>
      <c r="E603" s="134">
        <v>10</v>
      </c>
      <c r="F603" s="143">
        <v>15</v>
      </c>
      <c r="G603" s="143">
        <v>14</v>
      </c>
      <c r="H603" s="135"/>
      <c r="I603" s="207">
        <v>1</v>
      </c>
    </row>
    <row r="604" spans="2:9" x14ac:dyDescent="0.25">
      <c r="B604" s="67">
        <v>5</v>
      </c>
      <c r="C604" s="67">
        <v>6</v>
      </c>
      <c r="D604" s="44">
        <v>3</v>
      </c>
      <c r="E604" s="134">
        <v>10</v>
      </c>
      <c r="F604" s="143">
        <v>15</v>
      </c>
      <c r="G604" s="143">
        <v>15</v>
      </c>
      <c r="H604" s="135">
        <v>14</v>
      </c>
      <c r="I604" s="207">
        <v>1</v>
      </c>
    </row>
    <row r="605" spans="2:9" x14ac:dyDescent="0.25">
      <c r="B605" s="67">
        <v>5</v>
      </c>
      <c r="C605" s="67">
        <v>6</v>
      </c>
      <c r="D605" s="44">
        <v>4</v>
      </c>
      <c r="E605" s="134">
        <v>10</v>
      </c>
      <c r="F605" s="143">
        <v>15</v>
      </c>
      <c r="G605" s="143">
        <v>23</v>
      </c>
      <c r="H605" s="135">
        <v>14</v>
      </c>
      <c r="I605" s="207">
        <v>1</v>
      </c>
    </row>
    <row r="606" spans="2:9" x14ac:dyDescent="0.25">
      <c r="B606" s="67">
        <v>5</v>
      </c>
      <c r="C606" s="68">
        <v>6</v>
      </c>
      <c r="D606" s="64">
        <v>5</v>
      </c>
      <c r="E606" s="136">
        <v>10</v>
      </c>
      <c r="F606" s="158">
        <v>15</v>
      </c>
      <c r="G606" s="158">
        <v>23</v>
      </c>
      <c r="H606" s="137">
        <v>14</v>
      </c>
      <c r="I606" s="208">
        <v>1</v>
      </c>
    </row>
    <row r="607" spans="2:9" x14ac:dyDescent="0.25">
      <c r="B607" s="67">
        <v>5</v>
      </c>
      <c r="C607" s="66">
        <v>7</v>
      </c>
      <c r="D607" s="28">
        <v>1</v>
      </c>
      <c r="E607" s="132">
        <v>10</v>
      </c>
      <c r="F607" s="160">
        <v>15</v>
      </c>
      <c r="G607" s="160"/>
      <c r="H607" s="133"/>
      <c r="I607" s="206">
        <v>1</v>
      </c>
    </row>
    <row r="608" spans="2:9" x14ac:dyDescent="0.25">
      <c r="B608" s="67">
        <v>5</v>
      </c>
      <c r="C608" s="67">
        <v>7</v>
      </c>
      <c r="D608" s="44">
        <v>2</v>
      </c>
      <c r="E608" s="134">
        <v>10</v>
      </c>
      <c r="F608" s="143">
        <v>15</v>
      </c>
      <c r="G608" s="143">
        <v>14</v>
      </c>
      <c r="H608" s="135"/>
      <c r="I608" s="207">
        <v>1</v>
      </c>
    </row>
    <row r="609" spans="2:9" x14ac:dyDescent="0.25">
      <c r="B609" s="67">
        <v>5</v>
      </c>
      <c r="C609" s="67">
        <v>7</v>
      </c>
      <c r="D609" s="44">
        <v>3</v>
      </c>
      <c r="E609" s="134">
        <v>10</v>
      </c>
      <c r="F609" s="143">
        <v>15</v>
      </c>
      <c r="G609" s="143">
        <v>15</v>
      </c>
      <c r="H609" s="135">
        <v>14</v>
      </c>
      <c r="I609" s="207">
        <v>1</v>
      </c>
    </row>
    <row r="610" spans="2:9" x14ac:dyDescent="0.25">
      <c r="B610" s="67">
        <v>5</v>
      </c>
      <c r="C610" s="67">
        <v>7</v>
      </c>
      <c r="D610" s="44">
        <v>4</v>
      </c>
      <c r="E610" s="134">
        <v>10</v>
      </c>
      <c r="F610" s="143">
        <v>15</v>
      </c>
      <c r="G610" s="143">
        <v>23</v>
      </c>
      <c r="H610" s="135">
        <v>14</v>
      </c>
      <c r="I610" s="207">
        <v>1</v>
      </c>
    </row>
    <row r="611" spans="2:9" x14ac:dyDescent="0.25">
      <c r="B611" s="67">
        <v>5</v>
      </c>
      <c r="C611" s="68">
        <v>7</v>
      </c>
      <c r="D611" s="64">
        <v>5</v>
      </c>
      <c r="E611" s="136">
        <v>10</v>
      </c>
      <c r="F611" s="158">
        <v>15</v>
      </c>
      <c r="G611" s="158">
        <v>23</v>
      </c>
      <c r="H611" s="137">
        <v>14</v>
      </c>
      <c r="I611" s="208">
        <v>1</v>
      </c>
    </row>
    <row r="612" spans="2:9" x14ac:dyDescent="0.25">
      <c r="B612" s="67">
        <v>5</v>
      </c>
      <c r="C612" s="67">
        <v>8</v>
      </c>
      <c r="D612" s="44">
        <v>1</v>
      </c>
      <c r="E612" s="132">
        <v>10</v>
      </c>
      <c r="F612" s="160">
        <v>15</v>
      </c>
      <c r="G612" s="160"/>
      <c r="H612" s="133"/>
      <c r="I612" s="206">
        <v>1</v>
      </c>
    </row>
    <row r="613" spans="2:9" x14ac:dyDescent="0.25">
      <c r="B613" s="67">
        <v>5</v>
      </c>
      <c r="C613" s="67">
        <v>8</v>
      </c>
      <c r="D613" s="44">
        <v>2</v>
      </c>
      <c r="E613" s="134">
        <v>10</v>
      </c>
      <c r="F613" s="143">
        <v>15</v>
      </c>
      <c r="G613" s="143">
        <v>14</v>
      </c>
      <c r="H613" s="135"/>
      <c r="I613" s="207">
        <v>1</v>
      </c>
    </row>
    <row r="614" spans="2:9" x14ac:dyDescent="0.25">
      <c r="B614" s="67">
        <v>5</v>
      </c>
      <c r="C614" s="67">
        <v>8</v>
      </c>
      <c r="D614" s="44">
        <v>3</v>
      </c>
      <c r="E614" s="134">
        <v>10</v>
      </c>
      <c r="F614" s="143">
        <v>15</v>
      </c>
      <c r="G614" s="143">
        <v>15</v>
      </c>
      <c r="H614" s="135">
        <v>14</v>
      </c>
      <c r="I614" s="207">
        <v>1</v>
      </c>
    </row>
    <row r="615" spans="2:9" x14ac:dyDescent="0.25">
      <c r="B615" s="67">
        <v>5</v>
      </c>
      <c r="C615" s="67">
        <v>8</v>
      </c>
      <c r="D615" s="44">
        <v>4</v>
      </c>
      <c r="E615" s="134">
        <v>10</v>
      </c>
      <c r="F615" s="143">
        <v>15</v>
      </c>
      <c r="G615" s="143">
        <v>23</v>
      </c>
      <c r="H615" s="135">
        <v>14</v>
      </c>
      <c r="I615" s="207">
        <v>1</v>
      </c>
    </row>
    <row r="616" spans="2:9" x14ac:dyDescent="0.25">
      <c r="B616" s="67">
        <v>5</v>
      </c>
      <c r="C616" s="67">
        <v>8</v>
      </c>
      <c r="D616" s="44">
        <v>5</v>
      </c>
      <c r="E616" s="136">
        <v>10</v>
      </c>
      <c r="F616" s="158">
        <v>15</v>
      </c>
      <c r="G616" s="158">
        <v>23</v>
      </c>
      <c r="H616" s="137">
        <v>14</v>
      </c>
      <c r="I616" s="208">
        <v>1</v>
      </c>
    </row>
    <row r="617" spans="2:9" x14ac:dyDescent="0.25">
      <c r="B617" s="67">
        <v>5</v>
      </c>
      <c r="C617" s="66">
        <v>9</v>
      </c>
      <c r="D617" s="28">
        <v>1</v>
      </c>
      <c r="E617" s="132">
        <v>10</v>
      </c>
      <c r="F617" s="160">
        <v>15</v>
      </c>
      <c r="G617" s="160"/>
      <c r="H617" s="133"/>
      <c r="I617" s="206">
        <v>1</v>
      </c>
    </row>
    <row r="618" spans="2:9" x14ac:dyDescent="0.25">
      <c r="B618" s="67">
        <v>5</v>
      </c>
      <c r="C618" s="67">
        <v>9</v>
      </c>
      <c r="D618" s="44">
        <v>2</v>
      </c>
      <c r="E618" s="134">
        <v>10</v>
      </c>
      <c r="F618" s="143">
        <v>15</v>
      </c>
      <c r="G618" s="143">
        <v>14</v>
      </c>
      <c r="H618" s="135"/>
      <c r="I618" s="207">
        <v>1</v>
      </c>
    </row>
    <row r="619" spans="2:9" x14ac:dyDescent="0.25">
      <c r="B619" s="67">
        <v>5</v>
      </c>
      <c r="C619" s="67">
        <v>9</v>
      </c>
      <c r="D619" s="44">
        <v>3</v>
      </c>
      <c r="E619" s="134">
        <v>10</v>
      </c>
      <c r="F619" s="143">
        <v>15</v>
      </c>
      <c r="G619" s="143">
        <v>15</v>
      </c>
      <c r="H619" s="135">
        <v>14</v>
      </c>
      <c r="I619" s="207">
        <v>1</v>
      </c>
    </row>
    <row r="620" spans="2:9" x14ac:dyDescent="0.25">
      <c r="B620" s="67">
        <v>5</v>
      </c>
      <c r="C620" s="67">
        <v>9</v>
      </c>
      <c r="D620" s="44">
        <v>4</v>
      </c>
      <c r="E620" s="134">
        <v>10</v>
      </c>
      <c r="F620" s="143">
        <v>15</v>
      </c>
      <c r="G620" s="143">
        <v>23</v>
      </c>
      <c r="H620" s="135">
        <v>14</v>
      </c>
      <c r="I620" s="207">
        <v>1</v>
      </c>
    </row>
    <row r="621" spans="2:9" x14ac:dyDescent="0.25">
      <c r="B621" s="67">
        <v>5</v>
      </c>
      <c r="C621" s="68">
        <v>9</v>
      </c>
      <c r="D621" s="64">
        <v>5</v>
      </c>
      <c r="E621" s="136">
        <v>10</v>
      </c>
      <c r="F621" s="158">
        <v>15</v>
      </c>
      <c r="G621" s="158">
        <v>23</v>
      </c>
      <c r="H621" s="137">
        <v>14</v>
      </c>
      <c r="I621" s="208">
        <v>1</v>
      </c>
    </row>
    <row r="622" spans="2:9" x14ac:dyDescent="0.25">
      <c r="B622" s="67">
        <v>5</v>
      </c>
      <c r="C622" s="67">
        <v>10</v>
      </c>
      <c r="D622" s="44">
        <v>1</v>
      </c>
      <c r="E622" s="132">
        <v>10</v>
      </c>
      <c r="F622" s="160">
        <v>15</v>
      </c>
      <c r="G622" s="160"/>
      <c r="H622" s="133"/>
      <c r="I622" s="206">
        <v>1</v>
      </c>
    </row>
    <row r="623" spans="2:9" x14ac:dyDescent="0.25">
      <c r="B623" s="67">
        <v>5</v>
      </c>
      <c r="C623" s="67">
        <v>10</v>
      </c>
      <c r="D623" s="44">
        <v>2</v>
      </c>
      <c r="E623" s="134">
        <v>10</v>
      </c>
      <c r="F623" s="143">
        <v>15</v>
      </c>
      <c r="G623" s="143">
        <v>14</v>
      </c>
      <c r="H623" s="135"/>
      <c r="I623" s="207">
        <v>1</v>
      </c>
    </row>
    <row r="624" spans="2:9" x14ac:dyDescent="0.25">
      <c r="B624" s="67">
        <v>5</v>
      </c>
      <c r="C624" s="67">
        <v>10</v>
      </c>
      <c r="D624" s="44">
        <v>3</v>
      </c>
      <c r="E624" s="134">
        <v>10</v>
      </c>
      <c r="F624" s="143">
        <v>15</v>
      </c>
      <c r="G624" s="143">
        <v>15</v>
      </c>
      <c r="H624" s="135">
        <v>14</v>
      </c>
      <c r="I624" s="207">
        <v>1</v>
      </c>
    </row>
    <row r="625" spans="2:9" x14ac:dyDescent="0.25">
      <c r="B625" s="67">
        <v>5</v>
      </c>
      <c r="C625" s="67">
        <v>10</v>
      </c>
      <c r="D625" s="44">
        <v>4</v>
      </c>
      <c r="E625" s="134">
        <v>10</v>
      </c>
      <c r="F625" s="143">
        <v>15</v>
      </c>
      <c r="G625" s="143">
        <v>23</v>
      </c>
      <c r="H625" s="135">
        <v>14</v>
      </c>
      <c r="I625" s="207">
        <v>1</v>
      </c>
    </row>
    <row r="626" spans="2:9" x14ac:dyDescent="0.25">
      <c r="B626" s="68">
        <v>5</v>
      </c>
      <c r="C626" s="68">
        <v>10</v>
      </c>
      <c r="D626" s="64">
        <v>5</v>
      </c>
      <c r="E626" s="136">
        <v>10</v>
      </c>
      <c r="F626" s="158">
        <v>15</v>
      </c>
      <c r="G626" s="158">
        <v>23</v>
      </c>
      <c r="H626" s="137">
        <v>14</v>
      </c>
      <c r="I626" s="208">
        <v>1</v>
      </c>
    </row>
    <row r="627" spans="2:9" x14ac:dyDescent="0.25">
      <c r="B627" s="67">
        <v>6</v>
      </c>
      <c r="C627" s="66">
        <v>1</v>
      </c>
      <c r="D627" s="28">
        <v>1</v>
      </c>
      <c r="E627" s="132">
        <v>10</v>
      </c>
      <c r="F627" s="160">
        <v>17</v>
      </c>
      <c r="G627" s="160"/>
      <c r="H627" s="133"/>
      <c r="I627" s="206">
        <v>1</v>
      </c>
    </row>
    <row r="628" spans="2:9" x14ac:dyDescent="0.25">
      <c r="B628" s="67">
        <v>6</v>
      </c>
      <c r="C628" s="67">
        <v>1</v>
      </c>
      <c r="D628" s="44">
        <v>2</v>
      </c>
      <c r="E628" s="134">
        <v>10</v>
      </c>
      <c r="F628" s="143">
        <v>17</v>
      </c>
      <c r="G628" s="143">
        <v>16</v>
      </c>
      <c r="H628" s="135"/>
      <c r="I628" s="207">
        <v>1</v>
      </c>
    </row>
    <row r="629" spans="2:9" x14ac:dyDescent="0.25">
      <c r="B629" s="67">
        <v>6</v>
      </c>
      <c r="C629" s="67">
        <v>1</v>
      </c>
      <c r="D629" s="44">
        <v>3</v>
      </c>
      <c r="E629" s="134">
        <v>10</v>
      </c>
      <c r="F629" s="143">
        <v>17</v>
      </c>
      <c r="G629" s="143">
        <v>17</v>
      </c>
      <c r="H629" s="135">
        <v>16</v>
      </c>
      <c r="I629" s="207">
        <v>1</v>
      </c>
    </row>
    <row r="630" spans="2:9" x14ac:dyDescent="0.25">
      <c r="B630" s="67">
        <v>6</v>
      </c>
      <c r="C630" s="67">
        <v>1</v>
      </c>
      <c r="D630" s="44">
        <v>4</v>
      </c>
      <c r="E630" s="134">
        <v>10</v>
      </c>
      <c r="F630" s="143">
        <v>17</v>
      </c>
      <c r="G630" s="143">
        <v>24</v>
      </c>
      <c r="H630" s="135">
        <v>17</v>
      </c>
      <c r="I630" s="207">
        <v>1</v>
      </c>
    </row>
    <row r="631" spans="2:9" x14ac:dyDescent="0.25">
      <c r="B631" s="67">
        <v>6</v>
      </c>
      <c r="C631" s="68">
        <v>1</v>
      </c>
      <c r="D631" s="64">
        <v>5</v>
      </c>
      <c r="E631" s="136">
        <v>10</v>
      </c>
      <c r="F631" s="158">
        <v>17</v>
      </c>
      <c r="G631" s="158">
        <v>24</v>
      </c>
      <c r="H631" s="137">
        <v>17</v>
      </c>
      <c r="I631" s="208">
        <v>1</v>
      </c>
    </row>
    <row r="632" spans="2:9" x14ac:dyDescent="0.25">
      <c r="B632" s="67">
        <v>6</v>
      </c>
      <c r="C632" s="66">
        <v>2</v>
      </c>
      <c r="D632" s="28">
        <v>1</v>
      </c>
      <c r="E632" s="132">
        <v>10</v>
      </c>
      <c r="F632" s="160">
        <v>17</v>
      </c>
      <c r="G632" s="160"/>
      <c r="H632" s="133"/>
      <c r="I632" s="206">
        <v>1</v>
      </c>
    </row>
    <row r="633" spans="2:9" x14ac:dyDescent="0.25">
      <c r="B633" s="67">
        <v>6</v>
      </c>
      <c r="C633" s="67">
        <v>2</v>
      </c>
      <c r="D633" s="44">
        <v>2</v>
      </c>
      <c r="E633" s="134">
        <v>10</v>
      </c>
      <c r="F633" s="143">
        <v>17</v>
      </c>
      <c r="G633" s="143">
        <v>16</v>
      </c>
      <c r="H633" s="135"/>
      <c r="I633" s="207">
        <v>1</v>
      </c>
    </row>
    <row r="634" spans="2:9" x14ac:dyDescent="0.25">
      <c r="B634" s="67">
        <v>6</v>
      </c>
      <c r="C634" s="67">
        <v>2</v>
      </c>
      <c r="D634" s="44">
        <v>3</v>
      </c>
      <c r="E634" s="134">
        <v>10</v>
      </c>
      <c r="F634" s="143">
        <v>17</v>
      </c>
      <c r="G634" s="143">
        <v>17</v>
      </c>
      <c r="H634" s="135">
        <v>16</v>
      </c>
      <c r="I634" s="207">
        <v>1</v>
      </c>
    </row>
    <row r="635" spans="2:9" x14ac:dyDescent="0.25">
      <c r="B635" s="67">
        <v>6</v>
      </c>
      <c r="C635" s="67">
        <v>2</v>
      </c>
      <c r="D635" s="44">
        <v>4</v>
      </c>
      <c r="E635" s="134">
        <v>10</v>
      </c>
      <c r="F635" s="143">
        <v>17</v>
      </c>
      <c r="G635" s="143">
        <v>24</v>
      </c>
      <c r="H635" s="135">
        <v>17</v>
      </c>
      <c r="I635" s="207">
        <v>1</v>
      </c>
    </row>
    <row r="636" spans="2:9" x14ac:dyDescent="0.25">
      <c r="B636" s="67">
        <v>6</v>
      </c>
      <c r="C636" s="68">
        <v>2</v>
      </c>
      <c r="D636" s="64">
        <v>5</v>
      </c>
      <c r="E636" s="136">
        <v>10</v>
      </c>
      <c r="F636" s="158">
        <v>17</v>
      </c>
      <c r="G636" s="158">
        <v>24</v>
      </c>
      <c r="H636" s="137">
        <v>17</v>
      </c>
      <c r="I636" s="208">
        <v>1</v>
      </c>
    </row>
    <row r="637" spans="2:9" x14ac:dyDescent="0.25">
      <c r="B637" s="67">
        <v>6</v>
      </c>
      <c r="C637" s="67">
        <v>3</v>
      </c>
      <c r="D637" s="44">
        <v>1</v>
      </c>
      <c r="E637" s="132">
        <v>10</v>
      </c>
      <c r="F637" s="160">
        <v>17</v>
      </c>
      <c r="G637" s="160"/>
      <c r="H637" s="133"/>
      <c r="I637" s="206">
        <v>1</v>
      </c>
    </row>
    <row r="638" spans="2:9" x14ac:dyDescent="0.25">
      <c r="B638" s="67">
        <v>6</v>
      </c>
      <c r="C638" s="67">
        <v>3</v>
      </c>
      <c r="D638" s="44">
        <v>2</v>
      </c>
      <c r="E638" s="134">
        <v>10</v>
      </c>
      <c r="F638" s="143">
        <v>17</v>
      </c>
      <c r="G638" s="143">
        <v>16</v>
      </c>
      <c r="H638" s="135"/>
      <c r="I638" s="207">
        <v>1</v>
      </c>
    </row>
    <row r="639" spans="2:9" x14ac:dyDescent="0.25">
      <c r="B639" s="67">
        <v>6</v>
      </c>
      <c r="C639" s="67">
        <v>3</v>
      </c>
      <c r="D639" s="44">
        <v>3</v>
      </c>
      <c r="E639" s="134">
        <v>10</v>
      </c>
      <c r="F639" s="143">
        <v>17</v>
      </c>
      <c r="G639" s="143">
        <v>17</v>
      </c>
      <c r="H639" s="135">
        <v>16</v>
      </c>
      <c r="I639" s="207">
        <v>1</v>
      </c>
    </row>
    <row r="640" spans="2:9" x14ac:dyDescent="0.25">
      <c r="B640" s="67">
        <v>6</v>
      </c>
      <c r="C640" s="67">
        <v>3</v>
      </c>
      <c r="D640" s="44">
        <v>4</v>
      </c>
      <c r="E640" s="134">
        <v>10</v>
      </c>
      <c r="F640" s="143">
        <v>17</v>
      </c>
      <c r="G640" s="143">
        <v>23</v>
      </c>
      <c r="H640" s="135">
        <v>17</v>
      </c>
      <c r="I640" s="207">
        <v>1</v>
      </c>
    </row>
    <row r="641" spans="2:9" x14ac:dyDescent="0.25">
      <c r="B641" s="67">
        <v>6</v>
      </c>
      <c r="C641" s="67">
        <v>3</v>
      </c>
      <c r="D641" s="44">
        <v>5</v>
      </c>
      <c r="E641" s="136">
        <v>10</v>
      </c>
      <c r="F641" s="158">
        <v>17</v>
      </c>
      <c r="G641" s="158">
        <v>23</v>
      </c>
      <c r="H641" s="137">
        <v>17</v>
      </c>
      <c r="I641" s="208">
        <v>1</v>
      </c>
    </row>
    <row r="642" spans="2:9" x14ac:dyDescent="0.25">
      <c r="B642" s="67">
        <v>6</v>
      </c>
      <c r="C642" s="66">
        <v>4</v>
      </c>
      <c r="D642" s="28">
        <v>1</v>
      </c>
      <c r="E642" s="132">
        <v>10</v>
      </c>
      <c r="F642" s="160">
        <v>17</v>
      </c>
      <c r="G642" s="160"/>
      <c r="H642" s="133"/>
      <c r="I642" s="206">
        <v>1</v>
      </c>
    </row>
    <row r="643" spans="2:9" x14ac:dyDescent="0.25">
      <c r="B643" s="67">
        <v>6</v>
      </c>
      <c r="C643" s="67">
        <v>4</v>
      </c>
      <c r="D643" s="44">
        <v>2</v>
      </c>
      <c r="E643" s="134">
        <v>10</v>
      </c>
      <c r="F643" s="143">
        <v>17</v>
      </c>
      <c r="G643" s="143">
        <v>16</v>
      </c>
      <c r="H643" s="135"/>
      <c r="I643" s="207">
        <v>1</v>
      </c>
    </row>
    <row r="644" spans="2:9" x14ac:dyDescent="0.25">
      <c r="B644" s="67">
        <v>6</v>
      </c>
      <c r="C644" s="67">
        <v>4</v>
      </c>
      <c r="D644" s="44">
        <v>3</v>
      </c>
      <c r="E644" s="134">
        <v>10</v>
      </c>
      <c r="F644" s="143">
        <v>17</v>
      </c>
      <c r="G644" s="143">
        <v>17</v>
      </c>
      <c r="H644" s="135">
        <v>16</v>
      </c>
      <c r="I644" s="207">
        <v>1</v>
      </c>
    </row>
    <row r="645" spans="2:9" x14ac:dyDescent="0.25">
      <c r="B645" s="67">
        <v>6</v>
      </c>
      <c r="C645" s="67">
        <v>4</v>
      </c>
      <c r="D645" s="44">
        <v>4</v>
      </c>
      <c r="E645" s="134">
        <v>10</v>
      </c>
      <c r="F645" s="143">
        <v>17</v>
      </c>
      <c r="G645" s="143">
        <v>23</v>
      </c>
      <c r="H645" s="135">
        <v>17</v>
      </c>
      <c r="I645" s="207">
        <v>1</v>
      </c>
    </row>
    <row r="646" spans="2:9" x14ac:dyDescent="0.25">
      <c r="B646" s="67">
        <v>6</v>
      </c>
      <c r="C646" s="68">
        <v>4</v>
      </c>
      <c r="D646" s="64">
        <v>5</v>
      </c>
      <c r="E646" s="136">
        <v>10</v>
      </c>
      <c r="F646" s="158">
        <v>17</v>
      </c>
      <c r="G646" s="158">
        <v>23</v>
      </c>
      <c r="H646" s="137">
        <v>17</v>
      </c>
      <c r="I646" s="208">
        <v>1</v>
      </c>
    </row>
    <row r="647" spans="2:9" x14ac:dyDescent="0.25">
      <c r="B647" s="67">
        <v>6</v>
      </c>
      <c r="C647" s="67">
        <v>5</v>
      </c>
      <c r="D647" s="44">
        <v>1</v>
      </c>
      <c r="E647" s="132">
        <v>10</v>
      </c>
      <c r="F647" s="160">
        <v>17</v>
      </c>
      <c r="G647" s="160"/>
      <c r="H647" s="133"/>
      <c r="I647" s="206">
        <v>1</v>
      </c>
    </row>
    <row r="648" spans="2:9" x14ac:dyDescent="0.25">
      <c r="B648" s="67">
        <v>6</v>
      </c>
      <c r="C648" s="67">
        <v>5</v>
      </c>
      <c r="D648" s="44">
        <v>2</v>
      </c>
      <c r="E648" s="134">
        <v>10</v>
      </c>
      <c r="F648" s="143">
        <v>17</v>
      </c>
      <c r="G648" s="143">
        <v>16</v>
      </c>
      <c r="H648" s="135"/>
      <c r="I648" s="207">
        <v>1</v>
      </c>
    </row>
    <row r="649" spans="2:9" x14ac:dyDescent="0.25">
      <c r="B649" s="67">
        <v>6</v>
      </c>
      <c r="C649" s="67">
        <v>5</v>
      </c>
      <c r="D649" s="44">
        <v>3</v>
      </c>
      <c r="E649" s="134">
        <v>10</v>
      </c>
      <c r="F649" s="143">
        <v>17</v>
      </c>
      <c r="G649" s="143">
        <v>17</v>
      </c>
      <c r="H649" s="135">
        <v>16</v>
      </c>
      <c r="I649" s="207">
        <v>1</v>
      </c>
    </row>
    <row r="650" spans="2:9" x14ac:dyDescent="0.25">
      <c r="B650" s="67">
        <v>6</v>
      </c>
      <c r="C650" s="67">
        <v>5</v>
      </c>
      <c r="D650" s="44">
        <v>4</v>
      </c>
      <c r="E650" s="134">
        <v>10</v>
      </c>
      <c r="F650" s="143">
        <v>17</v>
      </c>
      <c r="G650" s="143">
        <v>23</v>
      </c>
      <c r="H650" s="135">
        <v>17</v>
      </c>
      <c r="I650" s="207">
        <v>1</v>
      </c>
    </row>
    <row r="651" spans="2:9" x14ac:dyDescent="0.25">
      <c r="B651" s="70">
        <v>6</v>
      </c>
      <c r="C651" s="68">
        <v>5</v>
      </c>
      <c r="D651" s="64">
        <v>5</v>
      </c>
      <c r="E651" s="136">
        <v>10</v>
      </c>
      <c r="F651" s="158">
        <v>17</v>
      </c>
      <c r="G651" s="158">
        <v>23</v>
      </c>
      <c r="H651" s="137">
        <v>17</v>
      </c>
      <c r="I651" s="208">
        <v>1</v>
      </c>
    </row>
    <row r="652" spans="2:9" x14ac:dyDescent="0.25">
      <c r="B652" s="67">
        <v>6</v>
      </c>
      <c r="C652" s="66">
        <v>6</v>
      </c>
      <c r="D652" s="28">
        <v>1</v>
      </c>
      <c r="E652" s="132">
        <v>10</v>
      </c>
      <c r="F652" s="160">
        <v>17</v>
      </c>
      <c r="G652" s="160"/>
      <c r="H652" s="133"/>
      <c r="I652" s="206">
        <v>1</v>
      </c>
    </row>
    <row r="653" spans="2:9" x14ac:dyDescent="0.25">
      <c r="B653" s="67">
        <v>6</v>
      </c>
      <c r="C653" s="67">
        <v>6</v>
      </c>
      <c r="D653" s="44">
        <v>2</v>
      </c>
      <c r="E653" s="134">
        <v>10</v>
      </c>
      <c r="F653" s="143">
        <v>17</v>
      </c>
      <c r="G653" s="143">
        <v>16</v>
      </c>
      <c r="H653" s="135"/>
      <c r="I653" s="207">
        <v>1</v>
      </c>
    </row>
    <row r="654" spans="2:9" x14ac:dyDescent="0.25">
      <c r="B654" s="67">
        <v>6</v>
      </c>
      <c r="C654" s="67">
        <v>6</v>
      </c>
      <c r="D654" s="44">
        <v>3</v>
      </c>
      <c r="E654" s="134">
        <v>10</v>
      </c>
      <c r="F654" s="143">
        <v>17</v>
      </c>
      <c r="G654" s="143">
        <v>17</v>
      </c>
      <c r="H654" s="135">
        <v>16</v>
      </c>
      <c r="I654" s="207">
        <v>1</v>
      </c>
    </row>
    <row r="655" spans="2:9" x14ac:dyDescent="0.25">
      <c r="B655" s="67">
        <v>6</v>
      </c>
      <c r="C655" s="67">
        <v>6</v>
      </c>
      <c r="D655" s="44">
        <v>4</v>
      </c>
      <c r="E655" s="134">
        <v>10</v>
      </c>
      <c r="F655" s="143">
        <v>17</v>
      </c>
      <c r="G655" s="143">
        <v>23</v>
      </c>
      <c r="H655" s="135">
        <v>17</v>
      </c>
      <c r="I655" s="207">
        <v>1</v>
      </c>
    </row>
    <row r="656" spans="2:9" x14ac:dyDescent="0.25">
      <c r="B656" s="67">
        <v>6</v>
      </c>
      <c r="C656" s="68">
        <v>6</v>
      </c>
      <c r="D656" s="64">
        <v>5</v>
      </c>
      <c r="E656" s="136">
        <v>10</v>
      </c>
      <c r="F656" s="158">
        <v>17</v>
      </c>
      <c r="G656" s="158">
        <v>23</v>
      </c>
      <c r="H656" s="137">
        <v>17</v>
      </c>
      <c r="I656" s="208">
        <v>1</v>
      </c>
    </row>
    <row r="657" spans="2:9" x14ac:dyDescent="0.25">
      <c r="B657" s="67">
        <v>6</v>
      </c>
      <c r="C657" s="66">
        <v>7</v>
      </c>
      <c r="D657" s="28">
        <v>1</v>
      </c>
      <c r="E657" s="132">
        <v>10</v>
      </c>
      <c r="F657" s="160">
        <v>17</v>
      </c>
      <c r="G657" s="160"/>
      <c r="H657" s="133"/>
      <c r="I657" s="206">
        <v>1</v>
      </c>
    </row>
    <row r="658" spans="2:9" x14ac:dyDescent="0.25">
      <c r="B658" s="67">
        <v>6</v>
      </c>
      <c r="C658" s="67">
        <v>7</v>
      </c>
      <c r="D658" s="44">
        <v>2</v>
      </c>
      <c r="E658" s="134">
        <v>10</v>
      </c>
      <c r="F658" s="143">
        <v>17</v>
      </c>
      <c r="G658" s="143">
        <v>16</v>
      </c>
      <c r="H658" s="135"/>
      <c r="I658" s="207">
        <v>1</v>
      </c>
    </row>
    <row r="659" spans="2:9" x14ac:dyDescent="0.25">
      <c r="B659" s="67">
        <v>6</v>
      </c>
      <c r="C659" s="67">
        <v>7</v>
      </c>
      <c r="D659" s="44">
        <v>3</v>
      </c>
      <c r="E659" s="134">
        <v>10</v>
      </c>
      <c r="F659" s="143">
        <v>17</v>
      </c>
      <c r="G659" s="143">
        <v>17</v>
      </c>
      <c r="H659" s="135">
        <v>16</v>
      </c>
      <c r="I659" s="207">
        <v>1</v>
      </c>
    </row>
    <row r="660" spans="2:9" x14ac:dyDescent="0.25">
      <c r="B660" s="67">
        <v>6</v>
      </c>
      <c r="C660" s="67">
        <v>7</v>
      </c>
      <c r="D660" s="44">
        <v>4</v>
      </c>
      <c r="E660" s="134">
        <v>10</v>
      </c>
      <c r="F660" s="143">
        <v>17</v>
      </c>
      <c r="G660" s="143">
        <v>23</v>
      </c>
      <c r="H660" s="135">
        <v>17</v>
      </c>
      <c r="I660" s="207">
        <v>1</v>
      </c>
    </row>
    <row r="661" spans="2:9" x14ac:dyDescent="0.25">
      <c r="B661" s="67">
        <v>6</v>
      </c>
      <c r="C661" s="68">
        <v>7</v>
      </c>
      <c r="D661" s="64">
        <v>5</v>
      </c>
      <c r="E661" s="136">
        <v>10</v>
      </c>
      <c r="F661" s="158">
        <v>17</v>
      </c>
      <c r="G661" s="158">
        <v>23</v>
      </c>
      <c r="H661" s="137">
        <v>17</v>
      </c>
      <c r="I661" s="208">
        <v>1</v>
      </c>
    </row>
    <row r="662" spans="2:9" x14ac:dyDescent="0.25">
      <c r="B662" s="67">
        <v>6</v>
      </c>
      <c r="C662" s="67">
        <v>8</v>
      </c>
      <c r="D662" s="44">
        <v>1</v>
      </c>
      <c r="E662" s="132">
        <v>10</v>
      </c>
      <c r="F662" s="160">
        <v>17</v>
      </c>
      <c r="G662" s="160"/>
      <c r="H662" s="133"/>
      <c r="I662" s="206">
        <v>1</v>
      </c>
    </row>
    <row r="663" spans="2:9" x14ac:dyDescent="0.25">
      <c r="B663" s="67">
        <v>6</v>
      </c>
      <c r="C663" s="67">
        <v>8</v>
      </c>
      <c r="D663" s="44">
        <v>2</v>
      </c>
      <c r="E663" s="134">
        <v>10</v>
      </c>
      <c r="F663" s="143">
        <v>17</v>
      </c>
      <c r="G663" s="143">
        <v>16</v>
      </c>
      <c r="H663" s="135"/>
      <c r="I663" s="207">
        <v>1</v>
      </c>
    </row>
    <row r="664" spans="2:9" x14ac:dyDescent="0.25">
      <c r="B664" s="67">
        <v>6</v>
      </c>
      <c r="C664" s="67">
        <v>8</v>
      </c>
      <c r="D664" s="44">
        <v>3</v>
      </c>
      <c r="E664" s="134">
        <v>10</v>
      </c>
      <c r="F664" s="143">
        <v>17</v>
      </c>
      <c r="G664" s="143">
        <v>17</v>
      </c>
      <c r="H664" s="135">
        <v>16</v>
      </c>
      <c r="I664" s="207">
        <v>1</v>
      </c>
    </row>
    <row r="665" spans="2:9" x14ac:dyDescent="0.25">
      <c r="B665" s="67">
        <v>6</v>
      </c>
      <c r="C665" s="67">
        <v>8</v>
      </c>
      <c r="D665" s="44">
        <v>4</v>
      </c>
      <c r="E665" s="134">
        <v>10</v>
      </c>
      <c r="F665" s="143">
        <v>17</v>
      </c>
      <c r="G665" s="143">
        <v>23</v>
      </c>
      <c r="H665" s="135">
        <v>17</v>
      </c>
      <c r="I665" s="207">
        <v>1</v>
      </c>
    </row>
    <row r="666" spans="2:9" x14ac:dyDescent="0.25">
      <c r="B666" s="67">
        <v>6</v>
      </c>
      <c r="C666" s="67">
        <v>8</v>
      </c>
      <c r="D666" s="44">
        <v>5</v>
      </c>
      <c r="E666" s="136">
        <v>10</v>
      </c>
      <c r="F666" s="158">
        <v>17</v>
      </c>
      <c r="G666" s="158">
        <v>23</v>
      </c>
      <c r="H666" s="137">
        <v>17</v>
      </c>
      <c r="I666" s="208">
        <v>1</v>
      </c>
    </row>
    <row r="667" spans="2:9" x14ac:dyDescent="0.25">
      <c r="B667" s="67">
        <v>6</v>
      </c>
      <c r="C667" s="66">
        <v>9</v>
      </c>
      <c r="D667" s="28">
        <v>1</v>
      </c>
      <c r="E667" s="132">
        <v>10</v>
      </c>
      <c r="F667" s="160">
        <v>17</v>
      </c>
      <c r="G667" s="160"/>
      <c r="H667" s="133"/>
      <c r="I667" s="206">
        <v>1</v>
      </c>
    </row>
    <row r="668" spans="2:9" x14ac:dyDescent="0.25">
      <c r="B668" s="67">
        <v>6</v>
      </c>
      <c r="C668" s="67">
        <v>9</v>
      </c>
      <c r="D668" s="44">
        <v>2</v>
      </c>
      <c r="E668" s="134">
        <v>10</v>
      </c>
      <c r="F668" s="143">
        <v>17</v>
      </c>
      <c r="G668" s="143">
        <v>16</v>
      </c>
      <c r="H668" s="135"/>
      <c r="I668" s="207">
        <v>1</v>
      </c>
    </row>
    <row r="669" spans="2:9" x14ac:dyDescent="0.25">
      <c r="B669" s="67">
        <v>6</v>
      </c>
      <c r="C669" s="67">
        <v>9</v>
      </c>
      <c r="D669" s="44">
        <v>3</v>
      </c>
      <c r="E669" s="134">
        <v>10</v>
      </c>
      <c r="F669" s="143">
        <v>17</v>
      </c>
      <c r="G669" s="143">
        <v>17</v>
      </c>
      <c r="H669" s="135">
        <v>16</v>
      </c>
      <c r="I669" s="207">
        <v>1</v>
      </c>
    </row>
    <row r="670" spans="2:9" x14ac:dyDescent="0.25">
      <c r="B670" s="67">
        <v>6</v>
      </c>
      <c r="C670" s="67">
        <v>9</v>
      </c>
      <c r="D670" s="44">
        <v>4</v>
      </c>
      <c r="E670" s="134">
        <v>10</v>
      </c>
      <c r="F670" s="143">
        <v>17</v>
      </c>
      <c r="G670" s="143">
        <v>23</v>
      </c>
      <c r="H670" s="135">
        <v>17</v>
      </c>
      <c r="I670" s="207">
        <v>1</v>
      </c>
    </row>
    <row r="671" spans="2:9" x14ac:dyDescent="0.25">
      <c r="B671" s="67">
        <v>6</v>
      </c>
      <c r="C671" s="68">
        <v>9</v>
      </c>
      <c r="D671" s="64">
        <v>5</v>
      </c>
      <c r="E671" s="136">
        <v>10</v>
      </c>
      <c r="F671" s="158">
        <v>17</v>
      </c>
      <c r="G671" s="158">
        <v>23</v>
      </c>
      <c r="H671" s="137">
        <v>17</v>
      </c>
      <c r="I671" s="208">
        <v>1</v>
      </c>
    </row>
    <row r="672" spans="2:9" x14ac:dyDescent="0.25">
      <c r="B672" s="67">
        <v>6</v>
      </c>
      <c r="C672" s="67">
        <v>10</v>
      </c>
      <c r="D672" s="44">
        <v>1</v>
      </c>
      <c r="E672" s="132">
        <v>10</v>
      </c>
      <c r="F672" s="160">
        <v>17</v>
      </c>
      <c r="G672" s="160"/>
      <c r="H672" s="133"/>
      <c r="I672" s="206">
        <v>1</v>
      </c>
    </row>
    <row r="673" spans="2:9" x14ac:dyDescent="0.25">
      <c r="B673" s="67">
        <v>6</v>
      </c>
      <c r="C673" s="67">
        <v>10</v>
      </c>
      <c r="D673" s="44">
        <v>2</v>
      </c>
      <c r="E673" s="134">
        <v>10</v>
      </c>
      <c r="F673" s="143">
        <v>17</v>
      </c>
      <c r="G673" s="143">
        <v>16</v>
      </c>
      <c r="H673" s="135"/>
      <c r="I673" s="207">
        <v>1</v>
      </c>
    </row>
    <row r="674" spans="2:9" x14ac:dyDescent="0.25">
      <c r="B674" s="67">
        <v>6</v>
      </c>
      <c r="C674" s="67">
        <v>10</v>
      </c>
      <c r="D674" s="44">
        <v>3</v>
      </c>
      <c r="E674" s="134">
        <v>10</v>
      </c>
      <c r="F674" s="143">
        <v>17</v>
      </c>
      <c r="G674" s="143">
        <v>17</v>
      </c>
      <c r="H674" s="135">
        <v>16</v>
      </c>
      <c r="I674" s="207">
        <v>1</v>
      </c>
    </row>
    <row r="675" spans="2:9" x14ac:dyDescent="0.25">
      <c r="B675" s="67">
        <v>6</v>
      </c>
      <c r="C675" s="67">
        <v>10</v>
      </c>
      <c r="D675" s="44">
        <v>4</v>
      </c>
      <c r="E675" s="134">
        <v>10</v>
      </c>
      <c r="F675" s="143">
        <v>17</v>
      </c>
      <c r="G675" s="143">
        <v>23</v>
      </c>
      <c r="H675" s="135">
        <v>17</v>
      </c>
      <c r="I675" s="207">
        <v>1</v>
      </c>
    </row>
    <row r="676" spans="2:9" x14ac:dyDescent="0.25">
      <c r="B676" s="68">
        <v>6</v>
      </c>
      <c r="C676" s="68">
        <v>10</v>
      </c>
      <c r="D676" s="64">
        <v>5</v>
      </c>
      <c r="E676" s="136">
        <v>10</v>
      </c>
      <c r="F676" s="158">
        <v>17</v>
      </c>
      <c r="G676" s="158">
        <v>23</v>
      </c>
      <c r="H676" s="137">
        <v>17</v>
      </c>
      <c r="I676" s="208">
        <v>1</v>
      </c>
    </row>
    <row r="677" spans="2:9" x14ac:dyDescent="0.25">
      <c r="B677" s="67">
        <v>7</v>
      </c>
      <c r="C677" s="66">
        <v>1</v>
      </c>
      <c r="D677" s="28">
        <v>1</v>
      </c>
      <c r="E677" s="132">
        <v>10</v>
      </c>
      <c r="F677" s="160">
        <v>19</v>
      </c>
      <c r="G677" s="160"/>
      <c r="H677" s="133"/>
      <c r="I677" s="206">
        <v>1</v>
      </c>
    </row>
    <row r="678" spans="2:9" x14ac:dyDescent="0.25">
      <c r="B678" s="67">
        <v>7</v>
      </c>
      <c r="C678" s="67">
        <v>1</v>
      </c>
      <c r="D678" s="44">
        <v>2</v>
      </c>
      <c r="E678" s="134">
        <v>10</v>
      </c>
      <c r="F678" s="143">
        <v>19</v>
      </c>
      <c r="G678" s="143">
        <v>18</v>
      </c>
      <c r="H678" s="135"/>
      <c r="I678" s="207">
        <v>1</v>
      </c>
    </row>
    <row r="679" spans="2:9" x14ac:dyDescent="0.25">
      <c r="B679" s="67">
        <v>7</v>
      </c>
      <c r="C679" s="67">
        <v>1</v>
      </c>
      <c r="D679" s="44">
        <v>3</v>
      </c>
      <c r="E679" s="134">
        <v>10</v>
      </c>
      <c r="F679" s="143">
        <v>19</v>
      </c>
      <c r="G679" s="143">
        <v>19</v>
      </c>
      <c r="H679" s="135">
        <v>18</v>
      </c>
      <c r="I679" s="207">
        <v>1</v>
      </c>
    </row>
    <row r="680" spans="2:9" x14ac:dyDescent="0.25">
      <c r="B680" s="67">
        <v>7</v>
      </c>
      <c r="C680" s="67">
        <v>1</v>
      </c>
      <c r="D680" s="44">
        <v>4</v>
      </c>
      <c r="E680" s="134">
        <v>10</v>
      </c>
      <c r="F680" s="143">
        <v>19</v>
      </c>
      <c r="G680" s="143">
        <v>24</v>
      </c>
      <c r="H680" s="135">
        <v>19</v>
      </c>
      <c r="I680" s="207">
        <v>1</v>
      </c>
    </row>
    <row r="681" spans="2:9" x14ac:dyDescent="0.25">
      <c r="B681" s="67">
        <v>7</v>
      </c>
      <c r="C681" s="68">
        <v>1</v>
      </c>
      <c r="D681" s="64">
        <v>5</v>
      </c>
      <c r="E681" s="136">
        <v>10</v>
      </c>
      <c r="F681" s="158">
        <v>19</v>
      </c>
      <c r="G681" s="158">
        <v>24</v>
      </c>
      <c r="H681" s="137">
        <v>19</v>
      </c>
      <c r="I681" s="208">
        <v>1</v>
      </c>
    </row>
    <row r="682" spans="2:9" x14ac:dyDescent="0.25">
      <c r="B682" s="67">
        <v>7</v>
      </c>
      <c r="C682" s="66">
        <v>2</v>
      </c>
      <c r="D682" s="28">
        <v>1</v>
      </c>
      <c r="E682" s="132">
        <v>10</v>
      </c>
      <c r="F682" s="160">
        <v>19</v>
      </c>
      <c r="G682" s="160"/>
      <c r="H682" s="133"/>
      <c r="I682" s="206">
        <v>1</v>
      </c>
    </row>
    <row r="683" spans="2:9" x14ac:dyDescent="0.25">
      <c r="B683" s="67">
        <v>7</v>
      </c>
      <c r="C683" s="67">
        <v>2</v>
      </c>
      <c r="D683" s="44">
        <v>2</v>
      </c>
      <c r="E683" s="134">
        <v>10</v>
      </c>
      <c r="F683" s="143">
        <v>19</v>
      </c>
      <c r="G683" s="143">
        <v>18</v>
      </c>
      <c r="H683" s="135"/>
      <c r="I683" s="207">
        <v>1</v>
      </c>
    </row>
    <row r="684" spans="2:9" x14ac:dyDescent="0.25">
      <c r="B684" s="67">
        <v>7</v>
      </c>
      <c r="C684" s="67">
        <v>2</v>
      </c>
      <c r="D684" s="44">
        <v>3</v>
      </c>
      <c r="E684" s="134">
        <v>10</v>
      </c>
      <c r="F684" s="143">
        <v>19</v>
      </c>
      <c r="G684" s="143">
        <v>19</v>
      </c>
      <c r="H684" s="135">
        <v>18</v>
      </c>
      <c r="I684" s="207">
        <v>1</v>
      </c>
    </row>
    <row r="685" spans="2:9" x14ac:dyDescent="0.25">
      <c r="B685" s="67">
        <v>7</v>
      </c>
      <c r="C685" s="67">
        <v>2</v>
      </c>
      <c r="D685" s="44">
        <v>4</v>
      </c>
      <c r="E685" s="134">
        <v>10</v>
      </c>
      <c r="F685" s="143">
        <v>19</v>
      </c>
      <c r="G685" s="143">
        <v>24</v>
      </c>
      <c r="H685" s="135">
        <v>19</v>
      </c>
      <c r="I685" s="207">
        <v>1</v>
      </c>
    </row>
    <row r="686" spans="2:9" x14ac:dyDescent="0.25">
      <c r="B686" s="67">
        <v>7</v>
      </c>
      <c r="C686" s="68">
        <v>2</v>
      </c>
      <c r="D686" s="64">
        <v>5</v>
      </c>
      <c r="E686" s="136">
        <v>10</v>
      </c>
      <c r="F686" s="158">
        <v>19</v>
      </c>
      <c r="G686" s="158">
        <v>24</v>
      </c>
      <c r="H686" s="137">
        <v>19</v>
      </c>
      <c r="I686" s="208">
        <v>1</v>
      </c>
    </row>
    <row r="687" spans="2:9" x14ac:dyDescent="0.25">
      <c r="B687" s="67">
        <v>7</v>
      </c>
      <c r="C687" s="67">
        <v>3</v>
      </c>
      <c r="D687" s="44">
        <v>1</v>
      </c>
      <c r="E687" s="132">
        <v>10</v>
      </c>
      <c r="F687" s="160">
        <v>19</v>
      </c>
      <c r="G687" s="160"/>
      <c r="H687" s="133"/>
      <c r="I687" s="206">
        <v>1</v>
      </c>
    </row>
    <row r="688" spans="2:9" x14ac:dyDescent="0.25">
      <c r="B688" s="67">
        <v>7</v>
      </c>
      <c r="C688" s="67">
        <v>3</v>
      </c>
      <c r="D688" s="44">
        <v>2</v>
      </c>
      <c r="E688" s="134">
        <v>10</v>
      </c>
      <c r="F688" s="143">
        <v>19</v>
      </c>
      <c r="G688" s="143">
        <v>18</v>
      </c>
      <c r="H688" s="135"/>
      <c r="I688" s="207">
        <v>1</v>
      </c>
    </row>
    <row r="689" spans="2:9" x14ac:dyDescent="0.25">
      <c r="B689" s="67">
        <v>7</v>
      </c>
      <c r="C689" s="67">
        <v>3</v>
      </c>
      <c r="D689" s="44">
        <v>3</v>
      </c>
      <c r="E689" s="134">
        <v>10</v>
      </c>
      <c r="F689" s="143">
        <v>19</v>
      </c>
      <c r="G689" s="143">
        <v>19</v>
      </c>
      <c r="H689" s="135">
        <v>18</v>
      </c>
      <c r="I689" s="207">
        <v>1</v>
      </c>
    </row>
    <row r="690" spans="2:9" x14ac:dyDescent="0.25">
      <c r="B690" s="67">
        <v>7</v>
      </c>
      <c r="C690" s="67">
        <v>3</v>
      </c>
      <c r="D690" s="44">
        <v>4</v>
      </c>
      <c r="E690" s="134">
        <v>10</v>
      </c>
      <c r="F690" s="143">
        <v>19</v>
      </c>
      <c r="G690" s="143">
        <v>23</v>
      </c>
      <c r="H690" s="135">
        <v>19</v>
      </c>
      <c r="I690" s="207">
        <v>1</v>
      </c>
    </row>
    <row r="691" spans="2:9" x14ac:dyDescent="0.25">
      <c r="B691" s="67">
        <v>7</v>
      </c>
      <c r="C691" s="67">
        <v>3</v>
      </c>
      <c r="D691" s="44">
        <v>5</v>
      </c>
      <c r="E691" s="136">
        <v>10</v>
      </c>
      <c r="F691" s="158">
        <v>19</v>
      </c>
      <c r="G691" s="158">
        <v>23</v>
      </c>
      <c r="H691" s="137">
        <v>19</v>
      </c>
      <c r="I691" s="208">
        <v>1</v>
      </c>
    </row>
    <row r="692" spans="2:9" x14ac:dyDescent="0.25">
      <c r="B692" s="67">
        <v>7</v>
      </c>
      <c r="C692" s="66">
        <v>4</v>
      </c>
      <c r="D692" s="28">
        <v>1</v>
      </c>
      <c r="E692" s="132">
        <v>10</v>
      </c>
      <c r="F692" s="160">
        <v>19</v>
      </c>
      <c r="G692" s="160"/>
      <c r="H692" s="133"/>
      <c r="I692" s="206">
        <v>1</v>
      </c>
    </row>
    <row r="693" spans="2:9" x14ac:dyDescent="0.25">
      <c r="B693" s="67">
        <v>7</v>
      </c>
      <c r="C693" s="67">
        <v>4</v>
      </c>
      <c r="D693" s="44">
        <v>2</v>
      </c>
      <c r="E693" s="134">
        <v>10</v>
      </c>
      <c r="F693" s="143">
        <v>19</v>
      </c>
      <c r="G693" s="143">
        <v>18</v>
      </c>
      <c r="H693" s="135"/>
      <c r="I693" s="207">
        <v>1</v>
      </c>
    </row>
    <row r="694" spans="2:9" x14ac:dyDescent="0.25">
      <c r="B694" s="67">
        <v>7</v>
      </c>
      <c r="C694" s="67">
        <v>4</v>
      </c>
      <c r="D694" s="44">
        <v>3</v>
      </c>
      <c r="E694" s="134">
        <v>10</v>
      </c>
      <c r="F694" s="143">
        <v>19</v>
      </c>
      <c r="G694" s="143">
        <v>19</v>
      </c>
      <c r="H694" s="135">
        <v>18</v>
      </c>
      <c r="I694" s="207">
        <v>1</v>
      </c>
    </row>
    <row r="695" spans="2:9" x14ac:dyDescent="0.25">
      <c r="B695" s="67">
        <v>7</v>
      </c>
      <c r="C695" s="67">
        <v>4</v>
      </c>
      <c r="D695" s="44">
        <v>4</v>
      </c>
      <c r="E695" s="134">
        <v>10</v>
      </c>
      <c r="F695" s="143">
        <v>19</v>
      </c>
      <c r="G695" s="143">
        <v>23</v>
      </c>
      <c r="H695" s="135">
        <v>19</v>
      </c>
      <c r="I695" s="207">
        <v>1</v>
      </c>
    </row>
    <row r="696" spans="2:9" x14ac:dyDescent="0.25">
      <c r="B696" s="67">
        <v>7</v>
      </c>
      <c r="C696" s="68">
        <v>4</v>
      </c>
      <c r="D696" s="64">
        <v>5</v>
      </c>
      <c r="E696" s="136">
        <v>10</v>
      </c>
      <c r="F696" s="158">
        <v>19</v>
      </c>
      <c r="G696" s="158">
        <v>23</v>
      </c>
      <c r="H696" s="137">
        <v>19</v>
      </c>
      <c r="I696" s="208">
        <v>1</v>
      </c>
    </row>
    <row r="697" spans="2:9" x14ac:dyDescent="0.25">
      <c r="B697" s="67">
        <v>7</v>
      </c>
      <c r="C697" s="67">
        <v>5</v>
      </c>
      <c r="D697" s="44">
        <v>1</v>
      </c>
      <c r="E697" s="132">
        <v>10</v>
      </c>
      <c r="F697" s="160">
        <v>19</v>
      </c>
      <c r="G697" s="160"/>
      <c r="H697" s="133"/>
      <c r="I697" s="206">
        <v>1</v>
      </c>
    </row>
    <row r="698" spans="2:9" x14ac:dyDescent="0.25">
      <c r="B698" s="67">
        <v>7</v>
      </c>
      <c r="C698" s="67">
        <v>5</v>
      </c>
      <c r="D698" s="44">
        <v>2</v>
      </c>
      <c r="E698" s="134">
        <v>10</v>
      </c>
      <c r="F698" s="143">
        <v>19</v>
      </c>
      <c r="G698" s="143">
        <v>18</v>
      </c>
      <c r="H698" s="135"/>
      <c r="I698" s="207">
        <v>1</v>
      </c>
    </row>
    <row r="699" spans="2:9" x14ac:dyDescent="0.25">
      <c r="B699" s="67">
        <v>7</v>
      </c>
      <c r="C699" s="67">
        <v>5</v>
      </c>
      <c r="D699" s="44">
        <v>3</v>
      </c>
      <c r="E699" s="134">
        <v>10</v>
      </c>
      <c r="F699" s="143">
        <v>19</v>
      </c>
      <c r="G699" s="143">
        <v>19</v>
      </c>
      <c r="H699" s="135">
        <v>18</v>
      </c>
      <c r="I699" s="207">
        <v>1</v>
      </c>
    </row>
    <row r="700" spans="2:9" x14ac:dyDescent="0.25">
      <c r="B700" s="67">
        <v>7</v>
      </c>
      <c r="C700" s="67">
        <v>5</v>
      </c>
      <c r="D700" s="44">
        <v>4</v>
      </c>
      <c r="E700" s="134">
        <v>10</v>
      </c>
      <c r="F700" s="143">
        <v>19</v>
      </c>
      <c r="G700" s="143">
        <v>23</v>
      </c>
      <c r="H700" s="135">
        <v>19</v>
      </c>
      <c r="I700" s="207">
        <v>1</v>
      </c>
    </row>
    <row r="701" spans="2:9" x14ac:dyDescent="0.25">
      <c r="B701" s="70">
        <v>7</v>
      </c>
      <c r="C701" s="68">
        <v>5</v>
      </c>
      <c r="D701" s="64">
        <v>5</v>
      </c>
      <c r="E701" s="136">
        <v>10</v>
      </c>
      <c r="F701" s="158">
        <v>19</v>
      </c>
      <c r="G701" s="158">
        <v>23</v>
      </c>
      <c r="H701" s="137">
        <v>19</v>
      </c>
      <c r="I701" s="208">
        <v>1</v>
      </c>
    </row>
    <row r="702" spans="2:9" x14ac:dyDescent="0.25">
      <c r="B702" s="67">
        <v>7</v>
      </c>
      <c r="C702" s="66">
        <v>6</v>
      </c>
      <c r="D702" s="28">
        <v>1</v>
      </c>
      <c r="E702" s="132">
        <v>10</v>
      </c>
      <c r="F702" s="160">
        <v>19</v>
      </c>
      <c r="G702" s="160"/>
      <c r="H702" s="133"/>
      <c r="I702" s="206">
        <v>1</v>
      </c>
    </row>
    <row r="703" spans="2:9" x14ac:dyDescent="0.25">
      <c r="B703" s="67">
        <v>7</v>
      </c>
      <c r="C703" s="67">
        <v>6</v>
      </c>
      <c r="D703" s="44">
        <v>2</v>
      </c>
      <c r="E703" s="134">
        <v>10</v>
      </c>
      <c r="F703" s="143">
        <v>19</v>
      </c>
      <c r="G703" s="143">
        <v>18</v>
      </c>
      <c r="H703" s="135"/>
      <c r="I703" s="207">
        <v>1</v>
      </c>
    </row>
    <row r="704" spans="2:9" x14ac:dyDescent="0.25">
      <c r="B704" s="67">
        <v>7</v>
      </c>
      <c r="C704" s="67">
        <v>6</v>
      </c>
      <c r="D704" s="44">
        <v>3</v>
      </c>
      <c r="E704" s="134">
        <v>10</v>
      </c>
      <c r="F704" s="143">
        <v>19</v>
      </c>
      <c r="G704" s="143">
        <v>19</v>
      </c>
      <c r="H704" s="135">
        <v>18</v>
      </c>
      <c r="I704" s="207">
        <v>1</v>
      </c>
    </row>
    <row r="705" spans="2:9" x14ac:dyDescent="0.25">
      <c r="B705" s="67">
        <v>7</v>
      </c>
      <c r="C705" s="67">
        <v>6</v>
      </c>
      <c r="D705" s="44">
        <v>4</v>
      </c>
      <c r="E705" s="134">
        <v>10</v>
      </c>
      <c r="F705" s="143">
        <v>19</v>
      </c>
      <c r="G705" s="143">
        <v>23</v>
      </c>
      <c r="H705" s="135">
        <v>19</v>
      </c>
      <c r="I705" s="207">
        <v>1</v>
      </c>
    </row>
    <row r="706" spans="2:9" x14ac:dyDescent="0.25">
      <c r="B706" s="67">
        <v>7</v>
      </c>
      <c r="C706" s="68">
        <v>6</v>
      </c>
      <c r="D706" s="64">
        <v>5</v>
      </c>
      <c r="E706" s="136">
        <v>10</v>
      </c>
      <c r="F706" s="158">
        <v>19</v>
      </c>
      <c r="G706" s="158">
        <v>23</v>
      </c>
      <c r="H706" s="137">
        <v>19</v>
      </c>
      <c r="I706" s="208">
        <v>1</v>
      </c>
    </row>
    <row r="707" spans="2:9" x14ac:dyDescent="0.25">
      <c r="B707" s="67">
        <v>7</v>
      </c>
      <c r="C707" s="66">
        <v>7</v>
      </c>
      <c r="D707" s="28">
        <v>1</v>
      </c>
      <c r="E707" s="132">
        <v>10</v>
      </c>
      <c r="F707" s="160">
        <v>19</v>
      </c>
      <c r="G707" s="160"/>
      <c r="H707" s="133"/>
      <c r="I707" s="206">
        <v>1</v>
      </c>
    </row>
    <row r="708" spans="2:9" x14ac:dyDescent="0.25">
      <c r="B708" s="67">
        <v>7</v>
      </c>
      <c r="C708" s="67">
        <v>7</v>
      </c>
      <c r="D708" s="44">
        <v>2</v>
      </c>
      <c r="E708" s="134">
        <v>10</v>
      </c>
      <c r="F708" s="143">
        <v>19</v>
      </c>
      <c r="G708" s="143">
        <v>18</v>
      </c>
      <c r="H708" s="135"/>
      <c r="I708" s="207">
        <v>1</v>
      </c>
    </row>
    <row r="709" spans="2:9" x14ac:dyDescent="0.25">
      <c r="B709" s="67">
        <v>7</v>
      </c>
      <c r="C709" s="67">
        <v>7</v>
      </c>
      <c r="D709" s="44">
        <v>3</v>
      </c>
      <c r="E709" s="134">
        <v>10</v>
      </c>
      <c r="F709" s="143">
        <v>19</v>
      </c>
      <c r="G709" s="143">
        <v>19</v>
      </c>
      <c r="H709" s="135">
        <v>18</v>
      </c>
      <c r="I709" s="207">
        <v>1</v>
      </c>
    </row>
    <row r="710" spans="2:9" x14ac:dyDescent="0.25">
      <c r="B710" s="67">
        <v>7</v>
      </c>
      <c r="C710" s="67">
        <v>7</v>
      </c>
      <c r="D710" s="44">
        <v>4</v>
      </c>
      <c r="E710" s="134">
        <v>10</v>
      </c>
      <c r="F710" s="143">
        <v>19</v>
      </c>
      <c r="G710" s="143">
        <v>23</v>
      </c>
      <c r="H710" s="135">
        <v>19</v>
      </c>
      <c r="I710" s="207">
        <v>1</v>
      </c>
    </row>
    <row r="711" spans="2:9" x14ac:dyDescent="0.25">
      <c r="B711" s="67">
        <v>7</v>
      </c>
      <c r="C711" s="68">
        <v>7</v>
      </c>
      <c r="D711" s="64">
        <v>5</v>
      </c>
      <c r="E711" s="136">
        <v>10</v>
      </c>
      <c r="F711" s="158">
        <v>19</v>
      </c>
      <c r="G711" s="158">
        <v>23</v>
      </c>
      <c r="H711" s="137">
        <v>19</v>
      </c>
      <c r="I711" s="208">
        <v>1</v>
      </c>
    </row>
    <row r="712" spans="2:9" x14ac:dyDescent="0.25">
      <c r="B712" s="67">
        <v>7</v>
      </c>
      <c r="C712" s="67">
        <v>8</v>
      </c>
      <c r="D712" s="44">
        <v>1</v>
      </c>
      <c r="E712" s="132">
        <v>10</v>
      </c>
      <c r="F712" s="160">
        <v>19</v>
      </c>
      <c r="G712" s="160"/>
      <c r="H712" s="133"/>
      <c r="I712" s="206">
        <v>1</v>
      </c>
    </row>
    <row r="713" spans="2:9" x14ac:dyDescent="0.25">
      <c r="B713" s="67">
        <v>7</v>
      </c>
      <c r="C713" s="67">
        <v>8</v>
      </c>
      <c r="D713" s="44">
        <v>2</v>
      </c>
      <c r="E713" s="134">
        <v>10</v>
      </c>
      <c r="F713" s="143">
        <v>19</v>
      </c>
      <c r="G713" s="143">
        <v>18</v>
      </c>
      <c r="H713" s="135"/>
      <c r="I713" s="207">
        <v>1</v>
      </c>
    </row>
    <row r="714" spans="2:9" x14ac:dyDescent="0.25">
      <c r="B714" s="67">
        <v>7</v>
      </c>
      <c r="C714" s="67">
        <v>8</v>
      </c>
      <c r="D714" s="44">
        <v>3</v>
      </c>
      <c r="E714" s="134">
        <v>10</v>
      </c>
      <c r="F714" s="143">
        <v>19</v>
      </c>
      <c r="G714" s="143">
        <v>19</v>
      </c>
      <c r="H714" s="135">
        <v>18</v>
      </c>
      <c r="I714" s="207">
        <v>1</v>
      </c>
    </row>
    <row r="715" spans="2:9" x14ac:dyDescent="0.25">
      <c r="B715" s="67">
        <v>7</v>
      </c>
      <c r="C715" s="67">
        <v>8</v>
      </c>
      <c r="D715" s="44">
        <v>4</v>
      </c>
      <c r="E715" s="134">
        <v>10</v>
      </c>
      <c r="F715" s="143">
        <v>19</v>
      </c>
      <c r="G715" s="143">
        <v>23</v>
      </c>
      <c r="H715" s="135">
        <v>19</v>
      </c>
      <c r="I715" s="207">
        <v>1</v>
      </c>
    </row>
    <row r="716" spans="2:9" x14ac:dyDescent="0.25">
      <c r="B716" s="67">
        <v>7</v>
      </c>
      <c r="C716" s="67">
        <v>8</v>
      </c>
      <c r="D716" s="44">
        <v>5</v>
      </c>
      <c r="E716" s="136">
        <v>10</v>
      </c>
      <c r="F716" s="158">
        <v>19</v>
      </c>
      <c r="G716" s="158">
        <v>23</v>
      </c>
      <c r="H716" s="137">
        <v>19</v>
      </c>
      <c r="I716" s="208">
        <v>1</v>
      </c>
    </row>
    <row r="717" spans="2:9" x14ac:dyDescent="0.25">
      <c r="B717" s="67">
        <v>7</v>
      </c>
      <c r="C717" s="66">
        <v>9</v>
      </c>
      <c r="D717" s="28">
        <v>1</v>
      </c>
      <c r="E717" s="132">
        <v>10</v>
      </c>
      <c r="F717" s="160">
        <v>19</v>
      </c>
      <c r="G717" s="160"/>
      <c r="H717" s="133"/>
      <c r="I717" s="206">
        <v>1</v>
      </c>
    </row>
    <row r="718" spans="2:9" x14ac:dyDescent="0.25">
      <c r="B718" s="67">
        <v>7</v>
      </c>
      <c r="C718" s="67">
        <v>9</v>
      </c>
      <c r="D718" s="44">
        <v>2</v>
      </c>
      <c r="E718" s="134">
        <v>10</v>
      </c>
      <c r="F718" s="143">
        <v>19</v>
      </c>
      <c r="G718" s="143">
        <v>18</v>
      </c>
      <c r="H718" s="135"/>
      <c r="I718" s="207">
        <v>1</v>
      </c>
    </row>
    <row r="719" spans="2:9" x14ac:dyDescent="0.25">
      <c r="B719" s="67">
        <v>7</v>
      </c>
      <c r="C719" s="67">
        <v>9</v>
      </c>
      <c r="D719" s="44">
        <v>3</v>
      </c>
      <c r="E719" s="134">
        <v>10</v>
      </c>
      <c r="F719" s="143">
        <v>19</v>
      </c>
      <c r="G719" s="143">
        <v>19</v>
      </c>
      <c r="H719" s="135">
        <v>18</v>
      </c>
      <c r="I719" s="207">
        <v>1</v>
      </c>
    </row>
    <row r="720" spans="2:9" x14ac:dyDescent="0.25">
      <c r="B720" s="67">
        <v>7</v>
      </c>
      <c r="C720" s="67">
        <v>9</v>
      </c>
      <c r="D720" s="44">
        <v>4</v>
      </c>
      <c r="E720" s="134">
        <v>10</v>
      </c>
      <c r="F720" s="143">
        <v>19</v>
      </c>
      <c r="G720" s="143">
        <v>23</v>
      </c>
      <c r="H720" s="135">
        <v>19</v>
      </c>
      <c r="I720" s="207">
        <v>1</v>
      </c>
    </row>
    <row r="721" spans="2:9" x14ac:dyDescent="0.25">
      <c r="B721" s="67">
        <v>7</v>
      </c>
      <c r="C721" s="68">
        <v>9</v>
      </c>
      <c r="D721" s="64">
        <v>5</v>
      </c>
      <c r="E721" s="136">
        <v>10</v>
      </c>
      <c r="F721" s="158">
        <v>19</v>
      </c>
      <c r="G721" s="158">
        <v>23</v>
      </c>
      <c r="H721" s="137">
        <v>19</v>
      </c>
      <c r="I721" s="208">
        <v>1</v>
      </c>
    </row>
    <row r="722" spans="2:9" x14ac:dyDescent="0.25">
      <c r="B722" s="67">
        <v>7</v>
      </c>
      <c r="C722" s="67">
        <v>10</v>
      </c>
      <c r="D722" s="44">
        <v>1</v>
      </c>
      <c r="E722" s="132">
        <v>10</v>
      </c>
      <c r="F722" s="160">
        <v>19</v>
      </c>
      <c r="G722" s="160"/>
      <c r="H722" s="133"/>
      <c r="I722" s="206">
        <v>1</v>
      </c>
    </row>
    <row r="723" spans="2:9" x14ac:dyDescent="0.25">
      <c r="B723" s="67">
        <v>7</v>
      </c>
      <c r="C723" s="67">
        <v>10</v>
      </c>
      <c r="D723" s="44">
        <v>2</v>
      </c>
      <c r="E723" s="134">
        <v>10</v>
      </c>
      <c r="F723" s="143">
        <v>19</v>
      </c>
      <c r="G723" s="143">
        <v>18</v>
      </c>
      <c r="H723" s="135"/>
      <c r="I723" s="207">
        <v>1</v>
      </c>
    </row>
    <row r="724" spans="2:9" x14ac:dyDescent="0.25">
      <c r="B724" s="67">
        <v>7</v>
      </c>
      <c r="C724" s="67">
        <v>10</v>
      </c>
      <c r="D724" s="44">
        <v>3</v>
      </c>
      <c r="E724" s="134">
        <v>10</v>
      </c>
      <c r="F724" s="143">
        <v>19</v>
      </c>
      <c r="G724" s="143">
        <v>19</v>
      </c>
      <c r="H724" s="135">
        <v>18</v>
      </c>
      <c r="I724" s="207">
        <v>1</v>
      </c>
    </row>
    <row r="725" spans="2:9" x14ac:dyDescent="0.25">
      <c r="B725" s="67">
        <v>7</v>
      </c>
      <c r="C725" s="67">
        <v>10</v>
      </c>
      <c r="D725" s="44">
        <v>4</v>
      </c>
      <c r="E725" s="134">
        <v>10</v>
      </c>
      <c r="F725" s="143">
        <v>19</v>
      </c>
      <c r="G725" s="143">
        <v>23</v>
      </c>
      <c r="H725" s="135">
        <v>19</v>
      </c>
      <c r="I725" s="207">
        <v>1</v>
      </c>
    </row>
    <row r="726" spans="2:9" x14ac:dyDescent="0.25">
      <c r="B726" s="68">
        <v>7</v>
      </c>
      <c r="C726" s="68">
        <v>10</v>
      </c>
      <c r="D726" s="64">
        <v>5</v>
      </c>
      <c r="E726" s="136">
        <v>10</v>
      </c>
      <c r="F726" s="158">
        <v>19</v>
      </c>
      <c r="G726" s="158">
        <v>23</v>
      </c>
      <c r="H726" s="137">
        <v>19</v>
      </c>
      <c r="I726" s="208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10"/>
    </row>
    <row r="3" spans="2:12" x14ac:dyDescent="0.25">
      <c r="B3" s="22"/>
      <c r="C3" s="24"/>
      <c r="D3" s="24"/>
      <c r="E3" s="24"/>
      <c r="F3" s="24"/>
      <c r="G3" s="24"/>
      <c r="H3" s="24"/>
      <c r="I3" s="24"/>
      <c r="J3" s="24"/>
      <c r="K3" s="24"/>
      <c r="L3" s="23"/>
    </row>
    <row r="4" spans="2:12" x14ac:dyDescent="0.25">
      <c r="B4" s="35"/>
      <c r="C4" s="81" t="s">
        <v>848</v>
      </c>
      <c r="D4" s="38"/>
      <c r="E4" s="38"/>
      <c r="F4" s="38"/>
      <c r="G4" s="38"/>
      <c r="H4" s="38"/>
      <c r="I4" s="38"/>
      <c r="J4" s="38"/>
      <c r="K4" s="309"/>
      <c r="L4" s="36"/>
    </row>
    <row r="5" spans="2:12" x14ac:dyDescent="0.25">
      <c r="B5" s="35"/>
      <c r="D5" s="38"/>
      <c r="E5" s="38"/>
      <c r="F5" s="38"/>
      <c r="G5" s="38"/>
      <c r="H5" s="38"/>
      <c r="I5" s="38"/>
      <c r="J5" s="38"/>
      <c r="K5" s="38"/>
      <c r="L5" s="36"/>
    </row>
    <row r="6" spans="2:12" x14ac:dyDescent="0.25">
      <c r="B6" s="35"/>
      <c r="C6" s="311" t="s">
        <v>533</v>
      </c>
      <c r="D6" s="38"/>
      <c r="E6" s="38"/>
      <c r="F6" s="38"/>
      <c r="G6" s="38"/>
      <c r="H6" s="38"/>
      <c r="I6" s="38"/>
      <c r="J6" s="38"/>
      <c r="K6" s="38"/>
      <c r="L6" s="36"/>
    </row>
    <row r="7" spans="2:12" x14ac:dyDescent="0.25">
      <c r="B7" s="35"/>
      <c r="C7" s="311"/>
      <c r="D7" s="38"/>
      <c r="E7" s="38"/>
      <c r="F7" s="38"/>
      <c r="G7" s="38"/>
      <c r="H7" s="38"/>
      <c r="I7" s="38"/>
      <c r="J7" s="38"/>
      <c r="K7" s="38"/>
      <c r="L7" s="36"/>
    </row>
    <row r="8" spans="2:12" x14ac:dyDescent="0.25">
      <c r="B8" s="35"/>
      <c r="C8" s="311" t="s">
        <v>568</v>
      </c>
      <c r="D8" s="38"/>
      <c r="E8" s="38"/>
      <c r="F8" s="38"/>
      <c r="G8" s="38"/>
      <c r="H8" s="38"/>
      <c r="I8" s="38"/>
      <c r="J8" s="38"/>
      <c r="K8" s="38"/>
      <c r="L8" s="36"/>
    </row>
    <row r="9" spans="2:12" x14ac:dyDescent="0.25">
      <c r="B9" s="35"/>
      <c r="C9" s="38"/>
      <c r="D9" s="38"/>
      <c r="E9" s="38"/>
      <c r="F9" s="38"/>
      <c r="G9" s="38"/>
      <c r="H9" s="38"/>
      <c r="I9" s="38"/>
      <c r="J9" s="38"/>
      <c r="K9" s="38"/>
      <c r="L9" s="36"/>
    </row>
    <row r="10" spans="2:12" x14ac:dyDescent="0.25">
      <c r="B10" s="35"/>
      <c r="C10" s="38" t="s">
        <v>534</v>
      </c>
      <c r="D10" s="38"/>
      <c r="E10" s="38"/>
      <c r="F10" s="38"/>
      <c r="G10" s="38"/>
      <c r="H10" s="38"/>
      <c r="I10" s="38"/>
      <c r="J10" s="38"/>
      <c r="K10" s="38"/>
      <c r="L10" s="36"/>
    </row>
    <row r="11" spans="2:12" x14ac:dyDescent="0.25">
      <c r="B11" s="35"/>
      <c r="C11" s="38" t="s">
        <v>535</v>
      </c>
      <c r="D11" s="38"/>
      <c r="E11" s="38"/>
      <c r="F11" s="38"/>
      <c r="G11" s="38"/>
      <c r="H11" s="38"/>
      <c r="I11" s="38"/>
      <c r="J11" s="38"/>
      <c r="K11" s="38"/>
      <c r="L11" s="36"/>
    </row>
    <row r="12" spans="2:12" x14ac:dyDescent="0.25">
      <c r="B12" s="35"/>
      <c r="C12" s="1" t="s">
        <v>536</v>
      </c>
      <c r="D12" s="38"/>
      <c r="E12" s="38"/>
      <c r="F12" s="38"/>
      <c r="G12" s="38"/>
      <c r="H12" s="38"/>
      <c r="I12" s="38"/>
      <c r="J12" s="38"/>
      <c r="K12" s="38"/>
      <c r="L12" s="36"/>
    </row>
    <row r="13" spans="2:12" x14ac:dyDescent="0.25">
      <c r="B13" s="35"/>
      <c r="C13" s="38"/>
      <c r="D13" s="38" t="s">
        <v>542</v>
      </c>
      <c r="E13" s="38"/>
      <c r="F13" s="38"/>
      <c r="G13" s="38"/>
      <c r="H13" s="38"/>
      <c r="I13" s="38"/>
      <c r="J13" s="38"/>
      <c r="K13" s="38"/>
      <c r="L13" s="36"/>
    </row>
    <row r="14" spans="2:12" x14ac:dyDescent="0.25">
      <c r="B14" s="35"/>
      <c r="C14" s="38"/>
      <c r="D14" s="38" t="s">
        <v>537</v>
      </c>
      <c r="E14" s="38"/>
      <c r="F14" s="38"/>
      <c r="G14" s="38"/>
      <c r="H14" s="38"/>
      <c r="I14" s="38"/>
      <c r="J14" s="38"/>
      <c r="K14" s="38"/>
      <c r="L14" s="36"/>
    </row>
    <row r="15" spans="2:12" x14ac:dyDescent="0.25">
      <c r="B15" s="35"/>
      <c r="C15" s="38"/>
      <c r="D15" s="38" t="s">
        <v>538</v>
      </c>
      <c r="E15" s="38"/>
      <c r="F15" s="38"/>
      <c r="G15" s="38"/>
      <c r="H15" s="38"/>
      <c r="I15" s="38"/>
      <c r="J15" s="38"/>
      <c r="K15" s="38"/>
      <c r="L15" s="36"/>
    </row>
    <row r="16" spans="2:12" x14ac:dyDescent="0.25">
      <c r="B16" s="35"/>
      <c r="C16" s="38"/>
      <c r="D16" s="38" t="s">
        <v>539</v>
      </c>
      <c r="E16" s="38"/>
      <c r="F16" s="38"/>
      <c r="G16" s="38"/>
      <c r="H16" s="38"/>
      <c r="I16" s="38"/>
      <c r="J16" s="38"/>
      <c r="K16" s="38"/>
      <c r="L16" s="36"/>
    </row>
    <row r="17" spans="2:12" x14ac:dyDescent="0.25">
      <c r="B17" s="35"/>
      <c r="D17" s="1" t="s">
        <v>541</v>
      </c>
      <c r="I17" s="38"/>
      <c r="J17" s="38"/>
      <c r="K17" s="38"/>
      <c r="L17" s="36"/>
    </row>
    <row r="18" spans="2:12" x14ac:dyDescent="0.25">
      <c r="B18" s="35"/>
      <c r="C18" s="38"/>
      <c r="D18" s="38" t="s">
        <v>540</v>
      </c>
      <c r="E18" s="38"/>
      <c r="F18" s="38"/>
      <c r="G18" s="38"/>
      <c r="H18" s="38"/>
      <c r="I18" s="38"/>
      <c r="J18" s="38"/>
      <c r="K18" s="38"/>
      <c r="L18" s="36"/>
    </row>
    <row r="19" spans="2:12" x14ac:dyDescent="0.25">
      <c r="B19" s="35"/>
      <c r="C19" s="38"/>
      <c r="D19" s="38" t="s">
        <v>546</v>
      </c>
      <c r="E19" s="38"/>
      <c r="F19" s="38"/>
      <c r="G19" s="38"/>
      <c r="H19" s="38"/>
      <c r="I19" s="38"/>
      <c r="J19" s="38"/>
      <c r="K19" s="38"/>
      <c r="L19" s="36"/>
    </row>
    <row r="20" spans="2:12" x14ac:dyDescent="0.25">
      <c r="B20" s="35"/>
      <c r="D20" s="38" t="s">
        <v>547</v>
      </c>
      <c r="E20" s="38"/>
      <c r="F20" s="38"/>
      <c r="G20" s="38"/>
      <c r="H20" s="38"/>
      <c r="I20" s="38"/>
      <c r="J20" s="38"/>
      <c r="K20" s="38"/>
      <c r="L20" s="36"/>
    </row>
    <row r="21" spans="2:12" x14ac:dyDescent="0.25">
      <c r="B21" s="35"/>
      <c r="C21" s="38" t="s">
        <v>829</v>
      </c>
      <c r="D21" s="38"/>
      <c r="E21" s="38"/>
      <c r="F21" s="38"/>
      <c r="G21" s="38"/>
      <c r="H21" s="38"/>
      <c r="I21" s="38"/>
      <c r="J21" s="38"/>
      <c r="K21" s="38"/>
      <c r="L21" s="36"/>
    </row>
    <row r="22" spans="2:12" x14ac:dyDescent="0.25">
      <c r="B22" s="35"/>
      <c r="C22" s="38" t="s">
        <v>549</v>
      </c>
      <c r="D22" s="38"/>
      <c r="E22" s="38"/>
      <c r="F22" s="38"/>
      <c r="G22" s="38"/>
      <c r="H22" s="38"/>
      <c r="I22" s="38"/>
      <c r="J22" s="38"/>
      <c r="K22" s="38"/>
      <c r="L22" s="36"/>
    </row>
    <row r="23" spans="2:12" x14ac:dyDescent="0.25">
      <c r="B23" s="35"/>
      <c r="C23" s="1" t="s">
        <v>548</v>
      </c>
      <c r="D23" s="38"/>
      <c r="E23" s="38"/>
      <c r="F23" s="38"/>
      <c r="G23" s="38"/>
      <c r="H23" s="38"/>
      <c r="I23" s="38"/>
      <c r="J23" s="38"/>
      <c r="K23" s="38"/>
      <c r="L23" s="36"/>
    </row>
    <row r="24" spans="2:12" x14ac:dyDescent="0.25">
      <c r="B24" s="35"/>
      <c r="C24" s="38"/>
      <c r="D24" s="38" t="s">
        <v>552</v>
      </c>
      <c r="E24" s="38"/>
      <c r="F24" s="38"/>
      <c r="G24" s="38"/>
      <c r="H24" s="38"/>
      <c r="I24" s="38"/>
      <c r="J24" s="38"/>
      <c r="K24" s="38"/>
      <c r="L24" s="36"/>
    </row>
    <row r="25" spans="2:12" x14ac:dyDescent="0.25">
      <c r="B25" s="35"/>
      <c r="D25" s="1" t="s">
        <v>555</v>
      </c>
      <c r="H25" s="38"/>
      <c r="I25" s="38"/>
      <c r="J25" s="38"/>
      <c r="K25" s="38"/>
      <c r="L25" s="36"/>
    </row>
    <row r="26" spans="2:12" x14ac:dyDescent="0.25">
      <c r="B26" s="35"/>
      <c r="D26" s="38" t="s">
        <v>553</v>
      </c>
      <c r="H26" s="38"/>
      <c r="I26" s="38"/>
      <c r="J26" s="38"/>
      <c r="K26" s="38"/>
      <c r="L26" s="36"/>
    </row>
    <row r="27" spans="2:12" x14ac:dyDescent="0.25">
      <c r="B27" s="35"/>
      <c r="D27" s="1" t="s">
        <v>554</v>
      </c>
      <c r="H27" s="38"/>
      <c r="I27" s="38"/>
      <c r="J27" s="38"/>
      <c r="K27" s="38"/>
      <c r="L27" s="36"/>
    </row>
    <row r="28" spans="2:12" x14ac:dyDescent="0.25">
      <c r="B28" s="35"/>
      <c r="C28" s="1" t="s">
        <v>556</v>
      </c>
      <c r="E28" s="38"/>
      <c r="F28" s="38"/>
      <c r="G28" s="38"/>
      <c r="H28" s="38"/>
      <c r="I28" s="38"/>
      <c r="J28" s="38"/>
      <c r="K28" s="38"/>
      <c r="L28" s="36"/>
    </row>
    <row r="29" spans="2:12" x14ac:dyDescent="0.25">
      <c r="B29" s="35"/>
      <c r="C29" s="1" t="s">
        <v>557</v>
      </c>
      <c r="E29" s="38"/>
      <c r="F29" s="38"/>
      <c r="G29" s="38"/>
      <c r="H29" s="38"/>
      <c r="I29" s="38"/>
      <c r="J29" s="38"/>
      <c r="K29" s="38"/>
      <c r="L29" s="36"/>
    </row>
    <row r="30" spans="2:12" x14ac:dyDescent="0.25">
      <c r="B30" s="35"/>
      <c r="C30" s="1" t="s">
        <v>558</v>
      </c>
      <c r="E30" s="38"/>
      <c r="F30" s="38"/>
      <c r="G30" s="38"/>
      <c r="H30" s="38"/>
      <c r="I30" s="38"/>
      <c r="J30" s="38"/>
      <c r="K30" s="38"/>
      <c r="L30" s="36"/>
    </row>
    <row r="31" spans="2:12" x14ac:dyDescent="0.25">
      <c r="B31" s="35"/>
      <c r="C31" s="1" t="s">
        <v>826</v>
      </c>
      <c r="E31" s="38"/>
      <c r="F31" s="38"/>
      <c r="G31" s="38"/>
      <c r="H31" s="38"/>
      <c r="I31" s="38"/>
      <c r="J31" s="38"/>
      <c r="K31" s="38"/>
      <c r="L31" s="36"/>
    </row>
    <row r="32" spans="2:12" x14ac:dyDescent="0.25">
      <c r="B32" s="35"/>
      <c r="C32" s="1" t="s">
        <v>559</v>
      </c>
      <c r="E32" s="38"/>
      <c r="F32" s="38"/>
      <c r="G32" s="38"/>
      <c r="H32" s="38"/>
      <c r="I32" s="38"/>
      <c r="J32" s="38"/>
      <c r="K32" s="38"/>
      <c r="L32" s="36"/>
    </row>
    <row r="33" spans="2:12" x14ac:dyDescent="0.25">
      <c r="B33" s="35"/>
      <c r="C33" s="1" t="s">
        <v>562</v>
      </c>
      <c r="E33" s="38"/>
      <c r="F33" s="38"/>
      <c r="G33" s="38"/>
      <c r="H33" s="38"/>
      <c r="I33" s="38"/>
      <c r="J33" s="38"/>
      <c r="K33" s="38"/>
      <c r="L33" s="36"/>
    </row>
    <row r="34" spans="2:12" x14ac:dyDescent="0.25">
      <c r="B34" s="35"/>
      <c r="C34" s="1" t="s">
        <v>827</v>
      </c>
      <c r="E34" s="38"/>
      <c r="F34" s="38"/>
      <c r="G34" s="38"/>
      <c r="H34" s="38"/>
      <c r="I34" s="38"/>
      <c r="J34" s="38"/>
      <c r="K34" s="38"/>
      <c r="L34" s="36"/>
    </row>
    <row r="35" spans="2:12" x14ac:dyDescent="0.25">
      <c r="B35" s="35"/>
      <c r="C35" s="1" t="s">
        <v>828</v>
      </c>
      <c r="E35" s="38"/>
      <c r="F35" s="38"/>
      <c r="G35" s="38"/>
      <c r="H35" s="38"/>
      <c r="I35" s="38"/>
      <c r="J35" s="38"/>
      <c r="K35" s="38"/>
      <c r="L35" s="36"/>
    </row>
    <row r="36" spans="2:12" x14ac:dyDescent="0.25">
      <c r="B36" s="35"/>
      <c r="C36" s="1" t="s">
        <v>563</v>
      </c>
      <c r="E36" s="38"/>
      <c r="F36" s="38"/>
      <c r="G36" s="38"/>
      <c r="H36" s="38"/>
      <c r="I36" s="38"/>
      <c r="J36" s="38"/>
      <c r="K36" s="38"/>
      <c r="L36" s="36"/>
    </row>
    <row r="37" spans="2:12" x14ac:dyDescent="0.25">
      <c r="B37" s="35"/>
      <c r="C37" s="1" t="s">
        <v>560</v>
      </c>
      <c r="E37" s="38"/>
      <c r="F37" s="38"/>
      <c r="G37" s="38"/>
      <c r="H37" s="38"/>
      <c r="I37" s="38"/>
      <c r="J37" s="38"/>
      <c r="K37" s="38"/>
      <c r="L37" s="36"/>
    </row>
    <row r="38" spans="2:12" x14ac:dyDescent="0.25">
      <c r="B38" s="35"/>
      <c r="C38" s="38" t="s">
        <v>561</v>
      </c>
      <c r="D38" s="38"/>
      <c r="E38" s="38"/>
      <c r="F38" s="38"/>
      <c r="G38" s="38"/>
      <c r="H38" s="38"/>
      <c r="I38" s="38"/>
      <c r="J38" s="38"/>
      <c r="K38" s="38"/>
      <c r="L38" s="36"/>
    </row>
    <row r="39" spans="2:12" x14ac:dyDescent="0.25">
      <c r="B39" s="35"/>
      <c r="C39" s="38" t="s">
        <v>565</v>
      </c>
      <c r="D39" s="38"/>
      <c r="E39" s="38"/>
      <c r="F39" s="38"/>
      <c r="G39" s="38"/>
      <c r="H39" s="38"/>
      <c r="I39" s="38"/>
      <c r="J39" s="38"/>
      <c r="K39" s="38"/>
      <c r="L39" s="36"/>
    </row>
    <row r="40" spans="2:12" x14ac:dyDescent="0.25">
      <c r="B40" s="35"/>
      <c r="C40" s="38" t="s">
        <v>564</v>
      </c>
      <c r="D40" s="38"/>
      <c r="E40" s="38"/>
      <c r="F40" s="38"/>
      <c r="G40" s="38"/>
      <c r="H40" s="38"/>
      <c r="I40" s="38"/>
      <c r="J40" s="38"/>
      <c r="K40" s="38"/>
      <c r="L40" s="36"/>
    </row>
    <row r="41" spans="2:12" x14ac:dyDescent="0.25">
      <c r="B41" s="35"/>
      <c r="C41" s="38" t="s">
        <v>566</v>
      </c>
      <c r="D41" s="38"/>
      <c r="E41" s="38"/>
      <c r="F41" s="38"/>
      <c r="G41" s="38"/>
      <c r="H41" s="38"/>
      <c r="I41" s="38"/>
      <c r="J41" s="38"/>
      <c r="K41" s="38"/>
      <c r="L41" s="36"/>
    </row>
    <row r="42" spans="2:12" x14ac:dyDescent="0.25">
      <c r="B42" s="35"/>
      <c r="C42" s="38" t="s">
        <v>567</v>
      </c>
      <c r="D42" s="38"/>
      <c r="E42" s="38"/>
      <c r="F42" s="38"/>
      <c r="G42" s="38"/>
      <c r="H42" s="38"/>
      <c r="I42" s="38"/>
      <c r="J42" s="38"/>
      <c r="K42" s="38"/>
      <c r="L42" s="36"/>
    </row>
    <row r="43" spans="2:12" x14ac:dyDescent="0.25">
      <c r="B43" s="35"/>
      <c r="C43" s="38"/>
      <c r="D43" s="38"/>
      <c r="E43" s="38"/>
      <c r="F43" s="38"/>
      <c r="G43" s="38"/>
      <c r="H43" s="38"/>
      <c r="I43" s="38"/>
      <c r="J43" s="38"/>
      <c r="K43" s="38"/>
      <c r="L43" s="36"/>
    </row>
    <row r="44" spans="2:12" x14ac:dyDescent="0.25">
      <c r="B44" s="35"/>
      <c r="C44" s="311" t="s">
        <v>569</v>
      </c>
      <c r="D44" s="38"/>
      <c r="E44" s="38"/>
      <c r="F44" s="38"/>
      <c r="G44" s="38"/>
      <c r="H44" s="38"/>
      <c r="I44" s="38"/>
      <c r="J44" s="38"/>
      <c r="K44" s="38"/>
      <c r="L44" s="36"/>
    </row>
    <row r="45" spans="2:12" x14ac:dyDescent="0.25">
      <c r="B45" s="35"/>
      <c r="C45" s="38"/>
      <c r="D45" s="38"/>
      <c r="E45" s="38"/>
      <c r="F45" s="38"/>
      <c r="G45" s="38"/>
      <c r="H45" s="38"/>
      <c r="I45" s="38"/>
      <c r="J45" s="38"/>
      <c r="K45" s="38"/>
      <c r="L45" s="36"/>
    </row>
    <row r="46" spans="2:12" x14ac:dyDescent="0.25">
      <c r="B46" s="35"/>
      <c r="C46" s="38" t="s">
        <v>573</v>
      </c>
      <c r="D46" s="38"/>
      <c r="E46" s="38"/>
      <c r="F46" s="38"/>
      <c r="G46" s="38"/>
      <c r="H46" s="38"/>
      <c r="I46" s="38"/>
      <c r="J46" s="38"/>
      <c r="K46" s="38"/>
      <c r="L46" s="36"/>
    </row>
    <row r="47" spans="2:12" x14ac:dyDescent="0.25">
      <c r="B47" s="35"/>
      <c r="C47" s="38" t="s">
        <v>571</v>
      </c>
      <c r="D47" s="38"/>
      <c r="E47" s="38"/>
      <c r="F47" s="38"/>
      <c r="G47" s="38"/>
      <c r="H47" s="38"/>
      <c r="I47" s="38"/>
      <c r="J47" s="38"/>
      <c r="K47" s="38"/>
      <c r="L47" s="36"/>
    </row>
    <row r="48" spans="2:12" x14ac:dyDescent="0.25">
      <c r="B48" s="35"/>
      <c r="C48" s="38"/>
      <c r="D48" s="38" t="s">
        <v>578</v>
      </c>
      <c r="E48" s="38"/>
      <c r="F48" s="38"/>
      <c r="G48" s="38"/>
      <c r="H48" s="38"/>
      <c r="I48" s="38"/>
      <c r="J48" s="38"/>
      <c r="K48" s="38"/>
      <c r="L48" s="36"/>
    </row>
    <row r="49" spans="2:12" x14ac:dyDescent="0.25">
      <c r="B49" s="35"/>
      <c r="C49" s="38"/>
      <c r="D49" s="38" t="s">
        <v>579</v>
      </c>
      <c r="E49" s="38"/>
      <c r="F49" s="38"/>
      <c r="G49" s="38"/>
      <c r="H49" s="38"/>
      <c r="I49" s="38"/>
      <c r="J49" s="38"/>
      <c r="K49" s="38"/>
      <c r="L49" s="36"/>
    </row>
    <row r="50" spans="2:12" x14ac:dyDescent="0.25">
      <c r="B50" s="35"/>
      <c r="C50" s="38"/>
      <c r="D50" s="38" t="s">
        <v>572</v>
      </c>
      <c r="E50" s="38"/>
      <c r="F50" s="38"/>
      <c r="G50" s="38"/>
      <c r="H50" s="38"/>
      <c r="I50" s="38"/>
      <c r="J50" s="38"/>
      <c r="K50" s="38"/>
      <c r="L50" s="36"/>
    </row>
    <row r="51" spans="2:12" x14ac:dyDescent="0.25">
      <c r="B51" s="35"/>
      <c r="C51" s="38"/>
      <c r="D51" s="38" t="s">
        <v>580</v>
      </c>
      <c r="E51" s="38"/>
      <c r="F51" s="38"/>
      <c r="G51" s="38"/>
      <c r="H51" s="38"/>
      <c r="I51" s="38"/>
      <c r="J51" s="38"/>
      <c r="K51" s="38"/>
      <c r="L51" s="36"/>
    </row>
    <row r="52" spans="2:12" x14ac:dyDescent="0.25">
      <c r="B52" s="35"/>
      <c r="C52" s="38"/>
      <c r="D52" s="38" t="s">
        <v>648</v>
      </c>
      <c r="E52" s="38"/>
      <c r="F52" s="38"/>
      <c r="G52" s="38"/>
      <c r="H52" s="38"/>
      <c r="I52" s="38"/>
      <c r="J52" s="38"/>
      <c r="K52" s="38"/>
      <c r="L52" s="36"/>
    </row>
    <row r="53" spans="2:12" x14ac:dyDescent="0.25">
      <c r="B53" s="35"/>
      <c r="C53" s="38"/>
      <c r="D53" s="38"/>
      <c r="E53" s="38"/>
      <c r="F53" s="38"/>
      <c r="G53" s="38"/>
      <c r="H53" s="38"/>
      <c r="I53" s="38"/>
      <c r="J53" s="38"/>
      <c r="K53" s="38"/>
      <c r="L53" s="36"/>
    </row>
    <row r="54" spans="2:12" x14ac:dyDescent="0.25">
      <c r="B54" s="35"/>
      <c r="C54" s="38" t="s">
        <v>649</v>
      </c>
      <c r="D54" s="38"/>
      <c r="E54" s="38"/>
      <c r="F54" s="38"/>
      <c r="G54" s="38"/>
      <c r="H54" s="38"/>
      <c r="I54" s="38"/>
      <c r="J54" s="38"/>
      <c r="K54" s="38"/>
      <c r="L54" s="36"/>
    </row>
    <row r="55" spans="2:12" x14ac:dyDescent="0.25">
      <c r="B55" s="35"/>
      <c r="C55" s="38"/>
      <c r="D55" s="38"/>
      <c r="E55" s="38"/>
      <c r="F55" s="38"/>
      <c r="G55" s="38"/>
      <c r="H55" s="38"/>
      <c r="I55" s="38"/>
      <c r="J55" s="38"/>
      <c r="K55" s="38"/>
      <c r="L55" s="36"/>
    </row>
    <row r="56" spans="2:12" x14ac:dyDescent="0.25">
      <c r="B56" s="35"/>
      <c r="C56" s="38"/>
      <c r="D56" s="38" t="s">
        <v>480</v>
      </c>
      <c r="E56" s="38"/>
      <c r="F56" s="38"/>
      <c r="G56" s="38"/>
      <c r="H56" s="38"/>
      <c r="I56" s="38"/>
      <c r="J56" s="38"/>
      <c r="K56" s="38"/>
      <c r="L56" s="36"/>
    </row>
    <row r="57" spans="2:12" x14ac:dyDescent="0.25">
      <c r="B57" s="35"/>
      <c r="C57" s="38"/>
      <c r="D57" s="38" t="s">
        <v>476</v>
      </c>
      <c r="E57" s="38"/>
      <c r="F57" s="38"/>
      <c r="G57" s="38"/>
      <c r="H57" s="38"/>
      <c r="I57" s="38"/>
      <c r="J57" s="38"/>
      <c r="K57" s="38"/>
      <c r="L57" s="36"/>
    </row>
    <row r="58" spans="2:12" x14ac:dyDescent="0.25">
      <c r="B58" s="35"/>
      <c r="C58" s="38"/>
      <c r="D58" s="38" t="s">
        <v>474</v>
      </c>
      <c r="E58" s="38"/>
      <c r="F58" s="38"/>
      <c r="G58" s="38"/>
      <c r="H58" s="38"/>
      <c r="I58" s="38"/>
      <c r="J58" s="38"/>
      <c r="K58" s="38"/>
      <c r="L58" s="36"/>
    </row>
    <row r="59" spans="2:12" x14ac:dyDescent="0.25">
      <c r="B59" s="35"/>
      <c r="C59" s="38"/>
      <c r="D59" s="38" t="s">
        <v>475</v>
      </c>
      <c r="E59" s="38"/>
      <c r="F59" s="38"/>
      <c r="G59" s="38"/>
      <c r="H59" s="38"/>
      <c r="I59" s="38"/>
      <c r="J59" s="38"/>
      <c r="K59" s="38"/>
      <c r="L59" s="36"/>
    </row>
    <row r="60" spans="2:12" x14ac:dyDescent="0.25">
      <c r="B60" s="35"/>
      <c r="C60" s="38"/>
      <c r="D60" s="38" t="s">
        <v>477</v>
      </c>
      <c r="E60" s="38"/>
      <c r="F60" s="38"/>
      <c r="G60" s="38"/>
      <c r="H60" s="38"/>
      <c r="I60" s="38"/>
      <c r="J60" s="38"/>
      <c r="K60" s="38"/>
      <c r="L60" s="36"/>
    </row>
    <row r="61" spans="2:12" x14ac:dyDescent="0.25">
      <c r="B61" s="35"/>
      <c r="C61" s="38"/>
      <c r="D61" s="38" t="s">
        <v>478</v>
      </c>
      <c r="E61" s="38"/>
      <c r="F61" s="38"/>
      <c r="G61" s="38"/>
      <c r="H61" s="38"/>
      <c r="I61" s="38"/>
      <c r="J61" s="38"/>
      <c r="K61" s="38"/>
      <c r="L61" s="36"/>
    </row>
    <row r="62" spans="2:12" x14ac:dyDescent="0.25">
      <c r="B62" s="35"/>
      <c r="C62" s="38"/>
      <c r="D62" s="38" t="s">
        <v>479</v>
      </c>
      <c r="E62" s="38"/>
      <c r="F62" s="38"/>
      <c r="G62" s="38"/>
      <c r="H62" s="38"/>
      <c r="I62" s="38"/>
      <c r="J62" s="38"/>
      <c r="K62" s="38"/>
      <c r="L62" s="36"/>
    </row>
    <row r="63" spans="2:12" x14ac:dyDescent="0.25">
      <c r="B63" s="35"/>
      <c r="C63" s="38"/>
      <c r="D63" s="38"/>
      <c r="E63" s="38"/>
      <c r="F63" s="38"/>
      <c r="G63" s="38"/>
      <c r="H63" s="38"/>
      <c r="I63" s="38"/>
      <c r="J63" s="38"/>
      <c r="K63" s="38"/>
      <c r="L63" s="36"/>
    </row>
    <row r="64" spans="2:12" x14ac:dyDescent="0.25">
      <c r="B64" s="35"/>
      <c r="C64" s="38" t="s">
        <v>574</v>
      </c>
      <c r="D64" s="38"/>
      <c r="E64" s="38"/>
      <c r="F64" s="38"/>
      <c r="G64" s="38"/>
      <c r="H64" s="38"/>
      <c r="I64" s="38"/>
      <c r="J64" s="38"/>
      <c r="K64" s="38"/>
      <c r="L64" s="36"/>
    </row>
    <row r="65" spans="2:12" x14ac:dyDescent="0.25">
      <c r="B65" s="35"/>
      <c r="C65" s="38" t="s">
        <v>575</v>
      </c>
      <c r="D65" s="38"/>
      <c r="E65" s="38"/>
      <c r="F65" s="38"/>
      <c r="G65" s="38"/>
      <c r="H65" s="38"/>
      <c r="I65" s="38"/>
      <c r="J65" s="38"/>
      <c r="K65" s="38"/>
      <c r="L65" s="36"/>
    </row>
    <row r="66" spans="2:12" x14ac:dyDescent="0.25">
      <c r="B66" s="35"/>
      <c r="C66" s="38" t="s">
        <v>577</v>
      </c>
      <c r="D66" s="38"/>
      <c r="E66" s="38"/>
      <c r="F66" s="38"/>
      <c r="G66" s="38"/>
      <c r="H66" s="38"/>
      <c r="I66" s="38"/>
      <c r="J66" s="38"/>
      <c r="K66" s="38"/>
      <c r="L66" s="36"/>
    </row>
    <row r="67" spans="2:12" x14ac:dyDescent="0.25">
      <c r="B67" s="35"/>
      <c r="C67" s="38" t="s">
        <v>576</v>
      </c>
      <c r="D67" s="38"/>
      <c r="E67" s="38"/>
      <c r="F67" s="38"/>
      <c r="G67" s="38"/>
      <c r="H67" s="38"/>
      <c r="I67" s="38"/>
      <c r="J67" s="38"/>
      <c r="K67" s="38"/>
      <c r="L67" s="36"/>
    </row>
    <row r="68" spans="2:12" x14ac:dyDescent="0.25">
      <c r="B68" s="35"/>
      <c r="D68" s="38"/>
      <c r="E68" s="38"/>
      <c r="F68" s="38"/>
      <c r="G68" s="38"/>
      <c r="H68" s="38"/>
      <c r="I68" s="38"/>
      <c r="J68" s="38"/>
      <c r="K68" s="38"/>
      <c r="L68" s="36"/>
    </row>
    <row r="69" spans="2:12" x14ac:dyDescent="0.25">
      <c r="B69" s="35"/>
      <c r="C69" s="38" t="s">
        <v>581</v>
      </c>
      <c r="D69" s="38"/>
      <c r="E69" s="38"/>
      <c r="F69" s="38"/>
      <c r="G69" s="38"/>
      <c r="H69" s="38"/>
      <c r="I69" s="38"/>
      <c r="J69" s="38"/>
      <c r="K69" s="38"/>
      <c r="L69" s="36"/>
    </row>
    <row r="70" spans="2:12" x14ac:dyDescent="0.25">
      <c r="B70" s="35"/>
      <c r="C70" s="38"/>
      <c r="D70" s="38"/>
      <c r="E70" s="38"/>
      <c r="F70" s="38"/>
      <c r="G70" s="38"/>
      <c r="H70" s="38"/>
      <c r="I70" s="38"/>
      <c r="J70" s="38"/>
      <c r="K70" s="38"/>
      <c r="L70" s="36"/>
    </row>
    <row r="71" spans="2:12" x14ac:dyDescent="0.25">
      <c r="B71" s="35"/>
      <c r="C71" s="311" t="s">
        <v>570</v>
      </c>
      <c r="D71" s="38"/>
      <c r="E71" s="38"/>
      <c r="F71" s="38"/>
      <c r="G71" s="38"/>
      <c r="H71" s="38"/>
      <c r="I71" s="38"/>
      <c r="J71" s="38"/>
      <c r="K71" s="38"/>
      <c r="L71" s="36"/>
    </row>
    <row r="72" spans="2:12" x14ac:dyDescent="0.25">
      <c r="B72" s="35"/>
      <c r="C72" s="38"/>
      <c r="D72" s="38"/>
      <c r="E72" s="38"/>
      <c r="F72" s="38"/>
      <c r="G72" s="38"/>
      <c r="H72" s="38"/>
      <c r="I72" s="38"/>
      <c r="J72" s="38"/>
      <c r="K72" s="38"/>
      <c r="L72" s="36"/>
    </row>
    <row r="73" spans="2:12" x14ac:dyDescent="0.25">
      <c r="B73" s="35"/>
      <c r="C73" s="38" t="s">
        <v>582</v>
      </c>
      <c r="D73" s="38"/>
      <c r="E73" s="38"/>
      <c r="F73" s="38"/>
      <c r="G73" s="38"/>
      <c r="H73" s="38"/>
      <c r="I73" s="38"/>
      <c r="J73" s="38"/>
      <c r="K73" s="38"/>
      <c r="L73" s="36"/>
    </row>
    <row r="74" spans="2:12" x14ac:dyDescent="0.25">
      <c r="B74" s="35"/>
      <c r="C74" s="38" t="s">
        <v>583</v>
      </c>
      <c r="D74" s="38"/>
      <c r="E74" s="38"/>
      <c r="F74" s="38"/>
      <c r="G74" s="38"/>
      <c r="H74" s="38"/>
      <c r="I74" s="38"/>
      <c r="J74" s="38"/>
      <c r="K74" s="38"/>
      <c r="L74" s="36"/>
    </row>
    <row r="75" spans="2:12" x14ac:dyDescent="0.25">
      <c r="B75" s="35"/>
      <c r="C75" s="38" t="s">
        <v>584</v>
      </c>
      <c r="D75" s="38"/>
      <c r="E75" s="38"/>
      <c r="F75" s="38"/>
      <c r="G75" s="38"/>
      <c r="H75" s="38"/>
      <c r="I75" s="38"/>
      <c r="J75" s="38"/>
      <c r="K75" s="38"/>
      <c r="L75" s="36"/>
    </row>
    <row r="76" spans="2:12" x14ac:dyDescent="0.25">
      <c r="B76" s="35"/>
      <c r="C76" s="38" t="s">
        <v>585</v>
      </c>
      <c r="D76" s="38"/>
      <c r="E76" s="38"/>
      <c r="F76" s="38"/>
      <c r="G76" s="38"/>
      <c r="H76" s="38"/>
      <c r="I76" s="38"/>
      <c r="J76" s="38"/>
      <c r="K76" s="38"/>
      <c r="L76" s="36"/>
    </row>
    <row r="77" spans="2:12" x14ac:dyDescent="0.25">
      <c r="B77" s="35"/>
      <c r="C77" s="38"/>
      <c r="D77" s="38"/>
      <c r="E77" s="38"/>
      <c r="F77" s="38"/>
      <c r="G77" s="38"/>
      <c r="H77" s="38"/>
      <c r="I77" s="38"/>
      <c r="J77" s="38"/>
      <c r="K77" s="38"/>
      <c r="L77" s="36"/>
    </row>
    <row r="78" spans="2:12" x14ac:dyDescent="0.25">
      <c r="B78" s="35"/>
      <c r="C78" s="38" t="s">
        <v>588</v>
      </c>
      <c r="D78" s="38"/>
      <c r="E78" s="38"/>
      <c r="F78" s="38"/>
      <c r="G78" s="38"/>
      <c r="H78" s="38"/>
      <c r="I78" s="38"/>
      <c r="J78" s="38"/>
      <c r="K78" s="38"/>
      <c r="L78" s="36"/>
    </row>
    <row r="79" spans="2:12" x14ac:dyDescent="0.25">
      <c r="B79" s="35"/>
      <c r="C79" s="38" t="s">
        <v>589</v>
      </c>
      <c r="D79" s="38"/>
      <c r="E79" s="38"/>
      <c r="F79" s="38"/>
      <c r="G79" s="38"/>
      <c r="H79" s="38"/>
      <c r="I79" s="38"/>
      <c r="J79" s="38"/>
      <c r="K79" s="38"/>
      <c r="L79" s="36"/>
    </row>
    <row r="80" spans="2:12" x14ac:dyDescent="0.25">
      <c r="B80" s="35"/>
      <c r="C80" s="38"/>
      <c r="D80" s="38"/>
      <c r="E80" s="38"/>
      <c r="F80" s="38"/>
      <c r="G80" s="38"/>
      <c r="H80" s="38"/>
      <c r="I80" s="38"/>
      <c r="J80" s="38"/>
      <c r="K80" s="38"/>
      <c r="L80" s="36"/>
    </row>
    <row r="81" spans="2:12" x14ac:dyDescent="0.25">
      <c r="B81" s="35"/>
      <c r="C81" s="38" t="s">
        <v>586</v>
      </c>
      <c r="D81" s="38"/>
      <c r="E81" s="38"/>
      <c r="F81" s="38"/>
      <c r="G81" s="38"/>
      <c r="H81" s="38"/>
      <c r="I81" s="38"/>
      <c r="J81" s="38"/>
      <c r="K81" s="38"/>
      <c r="L81" s="36"/>
    </row>
    <row r="82" spans="2:12" x14ac:dyDescent="0.25">
      <c r="B82" s="35"/>
      <c r="C82" s="38"/>
      <c r="D82" s="38"/>
      <c r="E82" s="38"/>
      <c r="F82" s="38"/>
      <c r="G82" s="38"/>
      <c r="H82" s="38"/>
      <c r="I82" s="38"/>
      <c r="J82" s="38"/>
      <c r="K82" s="38"/>
      <c r="L82" s="36"/>
    </row>
    <row r="83" spans="2:12" x14ac:dyDescent="0.25">
      <c r="B83" s="35"/>
      <c r="C83" s="311" t="s">
        <v>587</v>
      </c>
      <c r="D83" s="38"/>
      <c r="E83" s="38"/>
      <c r="F83" s="38"/>
      <c r="G83" s="38"/>
      <c r="H83" s="38"/>
      <c r="I83" s="38"/>
      <c r="J83" s="38"/>
      <c r="K83" s="38"/>
      <c r="L83" s="36"/>
    </row>
    <row r="84" spans="2:12" x14ac:dyDescent="0.25">
      <c r="B84" s="35"/>
      <c r="C84" s="38"/>
      <c r="D84" s="38"/>
      <c r="E84" s="38"/>
      <c r="F84" s="38"/>
      <c r="G84" s="38"/>
      <c r="H84" s="38"/>
      <c r="I84" s="38"/>
      <c r="J84" s="38"/>
      <c r="K84" s="38"/>
      <c r="L84" s="36"/>
    </row>
    <row r="85" spans="2:12" x14ac:dyDescent="0.25">
      <c r="B85" s="35"/>
      <c r="C85" s="38" t="s">
        <v>590</v>
      </c>
      <c r="D85" s="38"/>
      <c r="E85" s="38"/>
      <c r="F85" s="38"/>
      <c r="G85" s="38"/>
      <c r="H85" s="38"/>
      <c r="I85" s="38"/>
      <c r="J85" s="38"/>
      <c r="K85" s="38"/>
      <c r="L85" s="36"/>
    </row>
    <row r="86" spans="2:12" x14ac:dyDescent="0.25">
      <c r="B86" s="35"/>
      <c r="C86" s="38"/>
      <c r="D86" s="38" t="s">
        <v>592</v>
      </c>
      <c r="E86" s="38"/>
      <c r="F86" s="38"/>
      <c r="G86" s="38"/>
      <c r="H86" s="38"/>
      <c r="I86" s="38"/>
      <c r="J86" s="38"/>
      <c r="K86" s="38"/>
      <c r="L86" s="36"/>
    </row>
    <row r="87" spans="2:12" x14ac:dyDescent="0.25">
      <c r="B87" s="35"/>
      <c r="C87" s="38"/>
      <c r="D87" s="38" t="s">
        <v>593</v>
      </c>
      <c r="E87" s="38"/>
      <c r="F87" s="38"/>
      <c r="G87" s="38"/>
      <c r="H87" s="38"/>
      <c r="I87" s="38"/>
      <c r="J87" s="38"/>
      <c r="K87" s="38"/>
      <c r="L87" s="36"/>
    </row>
    <row r="88" spans="2:12" x14ac:dyDescent="0.25">
      <c r="B88" s="35"/>
      <c r="C88" s="38"/>
      <c r="D88" s="38" t="s">
        <v>594</v>
      </c>
      <c r="E88" s="38"/>
      <c r="F88" s="38"/>
      <c r="G88" s="38"/>
      <c r="H88" s="38"/>
      <c r="I88" s="38"/>
      <c r="J88" s="38"/>
      <c r="K88" s="38"/>
      <c r="L88" s="36"/>
    </row>
    <row r="89" spans="2:12" x14ac:dyDescent="0.25">
      <c r="B89" s="35"/>
      <c r="C89" s="38"/>
      <c r="D89" s="38" t="s">
        <v>591</v>
      </c>
      <c r="E89" s="38"/>
      <c r="F89" s="38"/>
      <c r="G89" s="38"/>
      <c r="H89" s="38"/>
      <c r="I89" s="38"/>
      <c r="J89" s="38"/>
      <c r="K89" s="38"/>
      <c r="L89" s="36"/>
    </row>
    <row r="90" spans="2:12" x14ac:dyDescent="0.25">
      <c r="B90" s="35"/>
      <c r="C90" s="311"/>
      <c r="D90" s="38" t="s">
        <v>595</v>
      </c>
      <c r="E90" s="38"/>
      <c r="F90" s="38"/>
      <c r="G90" s="38"/>
      <c r="H90" s="38"/>
      <c r="I90" s="38"/>
      <c r="J90" s="38"/>
      <c r="K90" s="38"/>
      <c r="L90" s="36"/>
    </row>
    <row r="91" spans="2:12" x14ac:dyDescent="0.25">
      <c r="B91" s="35"/>
      <c r="C91" s="311"/>
      <c r="D91" s="38" t="s">
        <v>596</v>
      </c>
      <c r="E91" s="38"/>
      <c r="F91" s="38"/>
      <c r="G91" s="38"/>
      <c r="H91" s="38"/>
      <c r="I91" s="38"/>
      <c r="J91" s="38"/>
      <c r="K91" s="38"/>
      <c r="L91" s="36"/>
    </row>
    <row r="92" spans="2:12" x14ac:dyDescent="0.25">
      <c r="B92" s="35"/>
      <c r="C92" s="311"/>
      <c r="D92" s="38" t="s">
        <v>597</v>
      </c>
      <c r="E92" s="38"/>
      <c r="F92" s="38"/>
      <c r="G92" s="38"/>
      <c r="H92" s="38"/>
      <c r="I92" s="38"/>
      <c r="J92" s="38"/>
      <c r="K92" s="38"/>
      <c r="L92" s="36"/>
    </row>
    <row r="93" spans="2:12" x14ac:dyDescent="0.25">
      <c r="B93" s="35"/>
      <c r="C93" s="311"/>
      <c r="D93" s="38" t="s">
        <v>598</v>
      </c>
      <c r="E93" s="38"/>
      <c r="F93" s="38"/>
      <c r="G93" s="38"/>
      <c r="H93" s="38"/>
      <c r="I93" s="38"/>
      <c r="J93" s="38"/>
      <c r="K93" s="38"/>
      <c r="L93" s="36"/>
    </row>
    <row r="94" spans="2:12" x14ac:dyDescent="0.25">
      <c r="B94" s="35"/>
      <c r="C94" s="38"/>
      <c r="D94" s="38"/>
      <c r="E94" s="38"/>
      <c r="F94" s="38"/>
      <c r="G94" s="38"/>
      <c r="H94" s="38"/>
      <c r="I94" s="38"/>
      <c r="J94" s="38"/>
      <c r="K94" s="38"/>
      <c r="L94" s="36"/>
    </row>
    <row r="95" spans="2:12" x14ac:dyDescent="0.25">
      <c r="B95" s="35"/>
      <c r="C95" s="38" t="s">
        <v>599</v>
      </c>
      <c r="D95" s="38"/>
      <c r="E95" s="38"/>
      <c r="F95" s="38"/>
      <c r="G95" s="38"/>
      <c r="H95" s="38"/>
      <c r="I95" s="38"/>
      <c r="J95" s="38"/>
      <c r="K95" s="38"/>
      <c r="L95" s="36"/>
    </row>
    <row r="96" spans="2:12" x14ac:dyDescent="0.25">
      <c r="B96" s="35"/>
      <c r="C96" s="38"/>
      <c r="D96" s="38"/>
      <c r="E96" s="38"/>
      <c r="F96" s="38"/>
      <c r="G96" s="38"/>
      <c r="H96" s="38"/>
      <c r="I96" s="38"/>
      <c r="J96" s="38"/>
      <c r="K96" s="38"/>
      <c r="L96" s="36"/>
    </row>
    <row r="97" spans="2:12" x14ac:dyDescent="0.25">
      <c r="B97" s="35"/>
      <c r="C97" s="38" t="s">
        <v>600</v>
      </c>
      <c r="D97" s="38"/>
      <c r="E97" s="38"/>
      <c r="F97" s="38"/>
      <c r="G97" s="38"/>
      <c r="H97" s="38"/>
      <c r="I97" s="38"/>
      <c r="J97" s="38"/>
      <c r="K97" s="38"/>
      <c r="L97" s="36"/>
    </row>
    <row r="98" spans="2:12" x14ac:dyDescent="0.25">
      <c r="B98" s="35"/>
      <c r="C98" s="38"/>
      <c r="D98" s="38"/>
      <c r="E98" s="38"/>
      <c r="F98" s="38"/>
      <c r="G98" s="38"/>
      <c r="H98" s="38"/>
      <c r="I98" s="38"/>
      <c r="J98" s="38"/>
      <c r="K98" s="38"/>
      <c r="L98" s="36"/>
    </row>
    <row r="99" spans="2:12" x14ac:dyDescent="0.25">
      <c r="B99" s="35"/>
      <c r="C99" s="311"/>
      <c r="D99" s="38"/>
      <c r="E99" s="38"/>
      <c r="F99" s="38"/>
      <c r="G99" s="38"/>
      <c r="H99" s="38"/>
      <c r="I99" s="38"/>
      <c r="J99" s="38"/>
      <c r="K99" s="38"/>
      <c r="L99" s="36"/>
    </row>
    <row r="100" spans="2:12" x14ac:dyDescent="0.25">
      <c r="B100" s="35"/>
      <c r="C100" s="311" t="s">
        <v>601</v>
      </c>
      <c r="D100" s="38"/>
      <c r="E100" s="38"/>
      <c r="F100" s="38"/>
      <c r="G100" s="38"/>
      <c r="H100" s="38"/>
      <c r="I100" s="38"/>
      <c r="J100" s="38"/>
      <c r="K100" s="38"/>
      <c r="L100" s="36"/>
    </row>
    <row r="101" spans="2:12" x14ac:dyDescent="0.25">
      <c r="B101" s="35"/>
      <c r="C101" s="38"/>
      <c r="D101" s="38"/>
      <c r="E101" s="38"/>
      <c r="F101" s="38"/>
      <c r="G101" s="38"/>
      <c r="H101" s="38"/>
      <c r="I101" s="38"/>
      <c r="J101" s="38"/>
      <c r="K101" s="38"/>
      <c r="L101" s="36"/>
    </row>
    <row r="102" spans="2:12" x14ac:dyDescent="0.25">
      <c r="B102" s="35"/>
      <c r="C102" s="38" t="s">
        <v>677</v>
      </c>
      <c r="D102" s="38"/>
      <c r="E102" s="38"/>
      <c r="F102" s="38"/>
      <c r="G102" s="38"/>
      <c r="H102" s="38"/>
      <c r="I102" s="38"/>
      <c r="J102" s="38"/>
      <c r="K102" s="38"/>
      <c r="L102" s="36"/>
    </row>
    <row r="103" spans="2:12" x14ac:dyDescent="0.25">
      <c r="B103" s="35"/>
      <c r="C103" s="38"/>
      <c r="D103" s="38"/>
      <c r="E103" s="38"/>
      <c r="F103" s="38"/>
      <c r="G103" s="38"/>
      <c r="H103" s="38"/>
      <c r="I103" s="38"/>
      <c r="J103" s="38"/>
      <c r="K103" s="38"/>
      <c r="L103" s="36"/>
    </row>
    <row r="104" spans="2:12" x14ac:dyDescent="0.25">
      <c r="B104" s="35"/>
      <c r="C104" s="22" t="s">
        <v>602</v>
      </c>
      <c r="D104" s="24"/>
      <c r="E104" s="24"/>
      <c r="F104" s="24"/>
      <c r="G104" s="312" t="s">
        <v>635</v>
      </c>
      <c r="H104" s="24"/>
      <c r="I104" s="24"/>
      <c r="J104" s="24"/>
      <c r="K104" s="23"/>
      <c r="L104" s="36"/>
    </row>
    <row r="105" spans="2:12" x14ac:dyDescent="0.25">
      <c r="B105" s="35"/>
      <c r="C105" s="35"/>
      <c r="D105" s="38"/>
      <c r="E105" s="38"/>
      <c r="F105" s="38"/>
      <c r="G105" s="59"/>
      <c r="H105" s="57"/>
      <c r="I105" s="57"/>
      <c r="J105" s="57"/>
      <c r="K105" s="60"/>
      <c r="L105" s="36"/>
    </row>
    <row r="106" spans="2:12" x14ac:dyDescent="0.25">
      <c r="B106" s="35"/>
      <c r="C106" s="22" t="s">
        <v>603</v>
      </c>
      <c r="D106" s="24"/>
      <c r="E106" s="24"/>
      <c r="F106" s="23"/>
      <c r="G106" s="22" t="s">
        <v>617</v>
      </c>
      <c r="H106" s="24"/>
      <c r="I106" s="24"/>
      <c r="J106" s="24"/>
      <c r="K106" s="23"/>
      <c r="L106" s="36"/>
    </row>
    <row r="107" spans="2:12" x14ac:dyDescent="0.25">
      <c r="B107" s="35"/>
      <c r="C107" s="35"/>
      <c r="D107" s="38"/>
      <c r="E107" s="38"/>
      <c r="F107" s="36"/>
      <c r="G107" s="35" t="s">
        <v>618</v>
      </c>
      <c r="H107" s="38"/>
      <c r="I107" s="38"/>
      <c r="J107" s="38"/>
      <c r="K107" s="36"/>
      <c r="L107" s="36"/>
    </row>
    <row r="108" spans="2:12" x14ac:dyDescent="0.25">
      <c r="B108" s="35"/>
      <c r="C108" s="35"/>
      <c r="D108" s="38"/>
      <c r="E108" s="38"/>
      <c r="F108" s="36"/>
      <c r="G108" s="35" t="s">
        <v>619</v>
      </c>
      <c r="H108" s="38"/>
      <c r="I108" s="38"/>
      <c r="J108" s="38"/>
      <c r="K108" s="36"/>
      <c r="L108" s="36"/>
    </row>
    <row r="109" spans="2:12" x14ac:dyDescent="0.25">
      <c r="B109" s="35"/>
      <c r="C109" s="35"/>
      <c r="D109" s="38"/>
      <c r="E109" s="38"/>
      <c r="F109" s="36"/>
      <c r="G109" s="35" t="s">
        <v>621</v>
      </c>
      <c r="H109" s="38"/>
      <c r="I109" s="38"/>
      <c r="J109" s="38"/>
      <c r="K109" s="36"/>
      <c r="L109" s="36"/>
    </row>
    <row r="110" spans="2:12" x14ac:dyDescent="0.25">
      <c r="B110" s="35"/>
      <c r="C110" s="35"/>
      <c r="D110" s="38"/>
      <c r="E110" s="38"/>
      <c r="F110" s="36"/>
      <c r="G110" s="35" t="s">
        <v>620</v>
      </c>
      <c r="H110" s="38"/>
      <c r="I110" s="38"/>
      <c r="J110" s="38"/>
      <c r="K110" s="36"/>
      <c r="L110" s="36"/>
    </row>
    <row r="111" spans="2:12" x14ac:dyDescent="0.25">
      <c r="B111" s="35"/>
      <c r="C111" s="35"/>
      <c r="D111" s="38"/>
      <c r="E111" s="38"/>
      <c r="F111" s="36"/>
      <c r="G111" s="35" t="s">
        <v>622</v>
      </c>
      <c r="H111" s="38"/>
      <c r="I111" s="38"/>
      <c r="J111" s="38"/>
      <c r="K111" s="36"/>
      <c r="L111" s="36"/>
    </row>
    <row r="112" spans="2:12" x14ac:dyDescent="0.25">
      <c r="B112" s="35"/>
      <c r="C112" s="59"/>
      <c r="D112" s="57"/>
      <c r="E112" s="57"/>
      <c r="F112" s="60"/>
      <c r="G112" s="59"/>
      <c r="H112" s="57"/>
      <c r="I112" s="57"/>
      <c r="J112" s="57"/>
      <c r="K112" s="60"/>
      <c r="L112" s="36"/>
    </row>
    <row r="113" spans="2:12" x14ac:dyDescent="0.25">
      <c r="B113" s="35"/>
      <c r="C113" s="22" t="s">
        <v>604</v>
      </c>
      <c r="D113" s="24"/>
      <c r="E113" s="24"/>
      <c r="F113" s="23"/>
      <c r="G113" s="312" t="s">
        <v>634</v>
      </c>
      <c r="H113" s="24"/>
      <c r="I113" s="24"/>
      <c r="J113" s="24"/>
      <c r="K113" s="23"/>
      <c r="L113" s="36"/>
    </row>
    <row r="114" spans="2:12" x14ac:dyDescent="0.25">
      <c r="B114" s="35"/>
      <c r="C114" s="35" t="s">
        <v>629</v>
      </c>
      <c r="D114" s="38"/>
      <c r="E114" s="38"/>
      <c r="F114" s="36"/>
      <c r="G114" s="35" t="s">
        <v>623</v>
      </c>
      <c r="H114" s="38"/>
      <c r="I114" s="38"/>
      <c r="J114" s="38"/>
      <c r="K114" s="36"/>
      <c r="L114" s="36"/>
    </row>
    <row r="115" spans="2:12" x14ac:dyDescent="0.25">
      <c r="B115" s="35"/>
      <c r="C115" s="35"/>
      <c r="D115" s="38"/>
      <c r="E115" s="38"/>
      <c r="F115" s="36"/>
      <c r="G115" s="35" t="s">
        <v>624</v>
      </c>
      <c r="H115" s="38"/>
      <c r="I115" s="38"/>
      <c r="J115" s="38"/>
      <c r="K115" s="36"/>
      <c r="L115" s="36"/>
    </row>
    <row r="116" spans="2:12" x14ac:dyDescent="0.25">
      <c r="B116" s="35"/>
      <c r="C116" s="59"/>
      <c r="D116" s="57"/>
      <c r="E116" s="57"/>
      <c r="F116" s="60"/>
      <c r="G116" s="59"/>
      <c r="H116" s="57"/>
      <c r="I116" s="57"/>
      <c r="J116" s="57"/>
      <c r="K116" s="60"/>
      <c r="L116" s="36"/>
    </row>
    <row r="117" spans="2:12" x14ac:dyDescent="0.25">
      <c r="B117" s="35"/>
      <c r="C117" s="22" t="s">
        <v>605</v>
      </c>
      <c r="D117" s="24"/>
      <c r="E117" s="24"/>
      <c r="F117" s="23"/>
      <c r="G117" s="312" t="s">
        <v>634</v>
      </c>
      <c r="H117" s="24"/>
      <c r="I117" s="24"/>
      <c r="J117" s="24"/>
      <c r="K117" s="23"/>
      <c r="L117" s="36"/>
    </row>
    <row r="118" spans="2:12" x14ac:dyDescent="0.25">
      <c r="B118" s="35"/>
      <c r="C118" s="35"/>
      <c r="D118" s="38"/>
      <c r="E118" s="38"/>
      <c r="F118" s="36"/>
      <c r="G118" s="35" t="s">
        <v>626</v>
      </c>
      <c r="H118" s="38"/>
      <c r="I118" s="38"/>
      <c r="J118" s="38"/>
      <c r="K118" s="36"/>
      <c r="L118" s="36"/>
    </row>
    <row r="119" spans="2:12" x14ac:dyDescent="0.25">
      <c r="B119" s="35"/>
      <c r="C119" s="35"/>
      <c r="D119" s="38"/>
      <c r="E119" s="38"/>
      <c r="F119" s="36"/>
      <c r="G119" s="35" t="s">
        <v>625</v>
      </c>
      <c r="H119" s="38"/>
      <c r="I119" s="38"/>
      <c r="J119" s="38"/>
      <c r="K119" s="36"/>
      <c r="L119" s="36"/>
    </row>
    <row r="120" spans="2:12" x14ac:dyDescent="0.25">
      <c r="B120" s="35"/>
      <c r="C120" s="59"/>
      <c r="D120" s="57"/>
      <c r="E120" s="57"/>
      <c r="F120" s="60"/>
      <c r="G120" s="59"/>
      <c r="H120" s="57"/>
      <c r="I120" s="57"/>
      <c r="J120" s="57"/>
      <c r="K120" s="60"/>
      <c r="L120" s="36"/>
    </row>
    <row r="121" spans="2:12" x14ac:dyDescent="0.25">
      <c r="B121" s="35"/>
      <c r="C121" s="22" t="s">
        <v>606</v>
      </c>
      <c r="D121" s="24"/>
      <c r="E121" s="24"/>
      <c r="F121" s="23"/>
      <c r="G121" s="312" t="s">
        <v>634</v>
      </c>
      <c r="H121" s="24"/>
      <c r="I121" s="24"/>
      <c r="J121" s="24"/>
      <c r="K121" s="23"/>
      <c r="L121" s="36"/>
    </row>
    <row r="122" spans="2:12" x14ac:dyDescent="0.25">
      <c r="B122" s="35"/>
      <c r="C122" s="35"/>
      <c r="D122" s="38"/>
      <c r="E122" s="38"/>
      <c r="F122" s="36"/>
      <c r="G122" s="35" t="s">
        <v>627</v>
      </c>
      <c r="H122" s="38"/>
      <c r="I122" s="38"/>
      <c r="J122" s="38"/>
      <c r="K122" s="36"/>
      <c r="L122" s="36"/>
    </row>
    <row r="123" spans="2:12" x14ac:dyDescent="0.25">
      <c r="B123" s="35"/>
      <c r="C123" s="35"/>
      <c r="D123" s="38"/>
      <c r="E123" s="38"/>
      <c r="F123" s="36"/>
      <c r="G123" s="35" t="s">
        <v>628</v>
      </c>
      <c r="H123" s="38"/>
      <c r="I123" s="38"/>
      <c r="J123" s="38"/>
      <c r="K123" s="36"/>
      <c r="L123" s="36"/>
    </row>
    <row r="124" spans="2:12" x14ac:dyDescent="0.25">
      <c r="B124" s="35"/>
      <c r="C124" s="59"/>
      <c r="D124" s="57"/>
      <c r="E124" s="57"/>
      <c r="F124" s="60"/>
      <c r="G124" s="59"/>
      <c r="H124" s="57"/>
      <c r="I124" s="57"/>
      <c r="J124" s="57"/>
      <c r="K124" s="60"/>
      <c r="L124" s="36"/>
    </row>
    <row r="125" spans="2:12" x14ac:dyDescent="0.25">
      <c r="B125" s="35"/>
      <c r="C125" s="22" t="s">
        <v>607</v>
      </c>
      <c r="D125" s="24"/>
      <c r="E125" s="24"/>
      <c r="F125" s="23"/>
      <c r="G125" s="24" t="s">
        <v>630</v>
      </c>
      <c r="H125" s="24"/>
      <c r="I125" s="24"/>
      <c r="J125" s="24"/>
      <c r="K125" s="23"/>
      <c r="L125" s="36"/>
    </row>
    <row r="126" spans="2:12" x14ac:dyDescent="0.25">
      <c r="B126" s="35"/>
      <c r="C126" s="35"/>
      <c r="D126" s="38"/>
      <c r="E126" s="38"/>
      <c r="F126" s="36"/>
      <c r="G126" s="38" t="s">
        <v>631</v>
      </c>
      <c r="H126" s="38"/>
      <c r="I126" s="38"/>
      <c r="J126" s="38"/>
      <c r="K126" s="36"/>
      <c r="L126" s="36"/>
    </row>
    <row r="127" spans="2:12" x14ac:dyDescent="0.25">
      <c r="B127" s="35"/>
      <c r="C127" s="35"/>
      <c r="D127" s="38"/>
      <c r="E127" s="38"/>
      <c r="F127" s="36"/>
      <c r="G127" s="38" t="s">
        <v>650</v>
      </c>
      <c r="H127" s="38"/>
      <c r="I127" s="38"/>
      <c r="J127" s="38"/>
      <c r="K127" s="36"/>
      <c r="L127" s="36"/>
    </row>
    <row r="128" spans="2:12" x14ac:dyDescent="0.25">
      <c r="B128" s="35"/>
      <c r="C128" s="59"/>
      <c r="D128" s="57"/>
      <c r="E128" s="57"/>
      <c r="F128" s="60"/>
      <c r="G128" s="57"/>
      <c r="H128" s="57"/>
      <c r="I128" s="57"/>
      <c r="J128" s="57"/>
      <c r="K128" s="60"/>
      <c r="L128" s="36"/>
    </row>
    <row r="129" spans="2:12" x14ac:dyDescent="0.25">
      <c r="B129" s="35"/>
      <c r="C129" s="35" t="s">
        <v>608</v>
      </c>
      <c r="D129" s="38"/>
      <c r="E129" s="38"/>
      <c r="F129" s="36"/>
      <c r="G129" s="24" t="s">
        <v>630</v>
      </c>
      <c r="H129" s="24"/>
      <c r="I129" s="24"/>
      <c r="J129" s="24"/>
      <c r="K129" s="23"/>
      <c r="L129" s="36"/>
    </row>
    <row r="130" spans="2:12" x14ac:dyDescent="0.25">
      <c r="B130" s="35"/>
      <c r="C130" s="35"/>
      <c r="D130" s="38"/>
      <c r="E130" s="38"/>
      <c r="F130" s="36"/>
      <c r="G130" s="38" t="s">
        <v>631</v>
      </c>
      <c r="H130" s="38"/>
      <c r="I130" s="38"/>
      <c r="J130" s="38"/>
      <c r="K130" s="36"/>
      <c r="L130" s="36"/>
    </row>
    <row r="131" spans="2:12" x14ac:dyDescent="0.25">
      <c r="B131" s="35"/>
      <c r="C131" s="35"/>
      <c r="D131" s="38"/>
      <c r="E131" s="38"/>
      <c r="F131" s="36"/>
      <c r="G131" s="38" t="s">
        <v>650</v>
      </c>
      <c r="H131" s="38"/>
      <c r="I131" s="38"/>
      <c r="J131" s="38"/>
      <c r="K131" s="36"/>
      <c r="L131" s="36"/>
    </row>
    <row r="132" spans="2:12" x14ac:dyDescent="0.25">
      <c r="B132" s="35"/>
      <c r="C132" s="59"/>
      <c r="D132" s="57"/>
      <c r="E132" s="57"/>
      <c r="F132" s="60"/>
      <c r="G132" s="57"/>
      <c r="H132" s="57"/>
      <c r="I132" s="57"/>
      <c r="J132" s="57"/>
      <c r="K132" s="60"/>
      <c r="L132" s="36"/>
    </row>
    <row r="133" spans="2:12" x14ac:dyDescent="0.25">
      <c r="B133" s="35"/>
      <c r="C133" s="22" t="s">
        <v>609</v>
      </c>
      <c r="D133" s="24"/>
      <c r="E133" s="24"/>
      <c r="F133" s="23"/>
      <c r="G133" s="22" t="s">
        <v>632</v>
      </c>
      <c r="H133" s="24"/>
      <c r="I133" s="24"/>
      <c r="J133" s="24"/>
      <c r="K133" s="23"/>
      <c r="L133" s="36"/>
    </row>
    <row r="134" spans="2:12" x14ac:dyDescent="0.25">
      <c r="B134" s="35"/>
      <c r="C134" s="35"/>
      <c r="D134" s="38"/>
      <c r="E134" s="38"/>
      <c r="F134" s="36"/>
      <c r="G134" s="35" t="s">
        <v>633</v>
      </c>
      <c r="H134" s="38"/>
      <c r="I134" s="38"/>
      <c r="J134" s="38"/>
      <c r="K134" s="36"/>
      <c r="L134" s="36"/>
    </row>
    <row r="135" spans="2:12" x14ac:dyDescent="0.25">
      <c r="B135" s="35"/>
      <c r="C135" s="59"/>
      <c r="D135" s="57"/>
      <c r="E135" s="57"/>
      <c r="F135" s="60"/>
      <c r="G135" s="59"/>
      <c r="H135" s="57"/>
      <c r="I135" s="57"/>
      <c r="J135" s="57"/>
      <c r="K135" s="60"/>
      <c r="L135" s="36"/>
    </row>
    <row r="136" spans="2:12" x14ac:dyDescent="0.25">
      <c r="B136" s="35"/>
      <c r="C136" s="22" t="s">
        <v>610</v>
      </c>
      <c r="D136" s="24"/>
      <c r="E136" s="24"/>
      <c r="F136" s="23"/>
      <c r="G136" s="312" t="s">
        <v>634</v>
      </c>
      <c r="H136" s="24"/>
      <c r="I136" s="24"/>
      <c r="J136" s="24"/>
      <c r="K136" s="23"/>
      <c r="L136" s="36"/>
    </row>
    <row r="137" spans="2:12" x14ac:dyDescent="0.25">
      <c r="B137" s="35"/>
      <c r="C137" s="35" t="s">
        <v>629</v>
      </c>
      <c r="D137" s="38"/>
      <c r="E137" s="38"/>
      <c r="F137" s="36"/>
      <c r="G137" s="35" t="s">
        <v>619</v>
      </c>
      <c r="H137" s="38"/>
      <c r="I137" s="38"/>
      <c r="J137" s="38"/>
      <c r="K137" s="36"/>
      <c r="L137" s="36"/>
    </row>
    <row r="138" spans="2:12" x14ac:dyDescent="0.25">
      <c r="B138" s="35"/>
      <c r="C138" s="35"/>
      <c r="D138" s="38"/>
      <c r="E138" s="38"/>
      <c r="F138" s="36"/>
      <c r="G138" s="35" t="s">
        <v>651</v>
      </c>
      <c r="H138" s="38"/>
      <c r="I138" s="38"/>
      <c r="J138" s="38"/>
      <c r="K138" s="36"/>
      <c r="L138" s="36"/>
    </row>
    <row r="139" spans="2:12" x14ac:dyDescent="0.25">
      <c r="B139" s="35"/>
      <c r="C139" s="35"/>
      <c r="D139" s="38"/>
      <c r="E139" s="38"/>
      <c r="F139" s="36"/>
      <c r="G139" s="35" t="s">
        <v>641</v>
      </c>
      <c r="H139" s="38"/>
      <c r="I139" s="38"/>
      <c r="J139" s="38"/>
      <c r="K139" s="36"/>
      <c r="L139" s="36"/>
    </row>
    <row r="140" spans="2:12" x14ac:dyDescent="0.25">
      <c r="B140" s="35"/>
      <c r="C140" s="35"/>
      <c r="D140" s="38"/>
      <c r="E140" s="38"/>
      <c r="F140" s="36"/>
      <c r="G140" s="35" t="s">
        <v>637</v>
      </c>
      <c r="H140" s="38"/>
      <c r="I140" s="38"/>
      <c r="J140" s="38"/>
      <c r="K140" s="36"/>
      <c r="L140" s="36"/>
    </row>
    <row r="141" spans="2:12" x14ac:dyDescent="0.25">
      <c r="B141" s="35"/>
      <c r="C141" s="35"/>
      <c r="D141" s="38"/>
      <c r="E141" s="38"/>
      <c r="F141" s="36"/>
      <c r="G141" s="38" t="s">
        <v>638</v>
      </c>
      <c r="H141" s="38"/>
      <c r="I141" s="38"/>
      <c r="J141" s="38"/>
      <c r="K141" s="36"/>
      <c r="L141" s="36"/>
    </row>
    <row r="142" spans="2:12" x14ac:dyDescent="0.25">
      <c r="B142" s="35"/>
      <c r="C142" s="35"/>
      <c r="D142" s="38"/>
      <c r="E142" s="38"/>
      <c r="F142" s="36"/>
      <c r="G142" s="38" t="s">
        <v>625</v>
      </c>
      <c r="H142" s="38"/>
      <c r="I142" s="38"/>
      <c r="J142" s="38"/>
      <c r="K142" s="36"/>
      <c r="L142" s="36"/>
    </row>
    <row r="143" spans="2:12" x14ac:dyDescent="0.25">
      <c r="B143" s="35"/>
      <c r="C143" s="35"/>
      <c r="D143" s="38"/>
      <c r="E143" s="38"/>
      <c r="F143" s="36"/>
      <c r="G143" s="35" t="s">
        <v>639</v>
      </c>
      <c r="H143" s="38"/>
      <c r="I143" s="38"/>
      <c r="J143" s="38"/>
      <c r="K143" s="36"/>
      <c r="L143" s="36"/>
    </row>
    <row r="144" spans="2:12" x14ac:dyDescent="0.25">
      <c r="B144" s="35"/>
      <c r="C144" s="59"/>
      <c r="D144" s="57"/>
      <c r="E144" s="57"/>
      <c r="F144" s="60"/>
      <c r="G144" s="59"/>
      <c r="H144" s="57"/>
      <c r="I144" s="57"/>
      <c r="J144" s="57"/>
      <c r="K144" s="60"/>
      <c r="L144" s="36"/>
    </row>
    <row r="145" spans="2:12" x14ac:dyDescent="0.25">
      <c r="B145" s="35"/>
      <c r="C145" s="22" t="s">
        <v>611</v>
      </c>
      <c r="D145" s="24"/>
      <c r="E145" s="24"/>
      <c r="F145" s="23"/>
      <c r="G145" s="22" t="s">
        <v>640</v>
      </c>
      <c r="H145" s="24"/>
      <c r="I145" s="24"/>
      <c r="J145" s="24"/>
      <c r="K145" s="23"/>
      <c r="L145" s="36"/>
    </row>
    <row r="146" spans="2:12" x14ac:dyDescent="0.25">
      <c r="B146" s="35"/>
      <c r="C146" s="35"/>
      <c r="D146" s="38"/>
      <c r="E146" s="38"/>
      <c r="F146" s="36"/>
      <c r="G146" s="35" t="s">
        <v>641</v>
      </c>
      <c r="H146" s="38"/>
      <c r="I146" s="38"/>
      <c r="J146" s="38"/>
      <c r="K146" s="36"/>
      <c r="L146" s="36"/>
    </row>
    <row r="147" spans="2:12" x14ac:dyDescent="0.25">
      <c r="B147" s="35"/>
      <c r="C147" s="35"/>
      <c r="D147" s="38"/>
      <c r="E147" s="38"/>
      <c r="F147" s="36"/>
      <c r="G147" s="38" t="s">
        <v>626</v>
      </c>
      <c r="H147" s="38"/>
      <c r="I147" s="38"/>
      <c r="J147" s="38"/>
      <c r="K147" s="36"/>
      <c r="L147" s="36"/>
    </row>
    <row r="148" spans="2:12" x14ac:dyDescent="0.25">
      <c r="B148" s="35"/>
      <c r="C148" s="35"/>
      <c r="D148" s="38"/>
      <c r="E148" s="38"/>
      <c r="F148" s="36"/>
      <c r="G148" s="38" t="s">
        <v>625</v>
      </c>
      <c r="H148" s="38"/>
      <c r="I148" s="38"/>
      <c r="J148" s="38"/>
      <c r="K148" s="36"/>
      <c r="L148" s="36"/>
    </row>
    <row r="149" spans="2:12" x14ac:dyDescent="0.25">
      <c r="B149" s="35"/>
      <c r="C149" s="59"/>
      <c r="D149" s="57"/>
      <c r="E149" s="57"/>
      <c r="F149" s="60"/>
      <c r="G149" s="59"/>
      <c r="H149" s="57"/>
      <c r="I149" s="57"/>
      <c r="J149" s="57"/>
      <c r="K149" s="60"/>
      <c r="L149" s="36"/>
    </row>
    <row r="150" spans="2:12" x14ac:dyDescent="0.25">
      <c r="B150" s="35"/>
      <c r="C150" s="22" t="s">
        <v>492</v>
      </c>
      <c r="D150" s="24"/>
      <c r="E150" s="24"/>
      <c r="F150" s="23"/>
      <c r="G150" s="22" t="s">
        <v>642</v>
      </c>
      <c r="H150" s="24"/>
      <c r="I150" s="24"/>
      <c r="J150" s="24"/>
      <c r="K150" s="23"/>
      <c r="L150" s="36"/>
    </row>
    <row r="151" spans="2:12" x14ac:dyDescent="0.25">
      <c r="B151" s="35"/>
      <c r="C151" s="35" t="s">
        <v>629</v>
      </c>
      <c r="D151" s="38"/>
      <c r="E151" s="38"/>
      <c r="F151" s="36"/>
      <c r="G151" s="35" t="s">
        <v>646</v>
      </c>
      <c r="H151" s="38"/>
      <c r="I151" s="38"/>
      <c r="J151" s="38"/>
      <c r="K151" s="36"/>
      <c r="L151" s="36"/>
    </row>
    <row r="152" spans="2:12" x14ac:dyDescent="0.25">
      <c r="B152" s="35"/>
      <c r="C152" s="35"/>
      <c r="D152" s="38"/>
      <c r="E152" s="38"/>
      <c r="F152" s="36"/>
      <c r="G152" s="35" t="s">
        <v>644</v>
      </c>
      <c r="H152" s="38"/>
      <c r="I152" s="38"/>
      <c r="J152" s="38"/>
      <c r="K152" s="36"/>
      <c r="L152" s="36"/>
    </row>
    <row r="153" spans="2:12" x14ac:dyDescent="0.25">
      <c r="B153" s="35"/>
      <c r="C153" s="35"/>
      <c r="D153" s="38"/>
      <c r="E153" s="38"/>
      <c r="F153" s="36"/>
      <c r="G153" s="35" t="s">
        <v>643</v>
      </c>
      <c r="H153" s="38"/>
      <c r="I153" s="38"/>
      <c r="J153" s="38"/>
      <c r="K153" s="36"/>
      <c r="L153" s="36"/>
    </row>
    <row r="154" spans="2:12" x14ac:dyDescent="0.25">
      <c r="B154" s="35"/>
      <c r="C154" s="59"/>
      <c r="D154" s="57"/>
      <c r="E154" s="57"/>
      <c r="F154" s="60"/>
      <c r="G154" s="59"/>
      <c r="H154" s="57"/>
      <c r="I154" s="57"/>
      <c r="J154" s="57"/>
      <c r="K154" s="60"/>
      <c r="L154" s="36"/>
    </row>
    <row r="155" spans="2:12" x14ac:dyDescent="0.25">
      <c r="B155" s="35"/>
      <c r="C155" s="22" t="s">
        <v>612</v>
      </c>
      <c r="D155" s="24"/>
      <c r="E155" s="24"/>
      <c r="F155" s="23"/>
      <c r="G155" s="22" t="s">
        <v>645</v>
      </c>
      <c r="H155" s="24"/>
      <c r="I155" s="24"/>
      <c r="J155" s="24"/>
      <c r="K155" s="23"/>
      <c r="L155" s="36"/>
    </row>
    <row r="156" spans="2:12" x14ac:dyDescent="0.25">
      <c r="B156" s="35"/>
      <c r="C156" s="35" t="s">
        <v>629</v>
      </c>
      <c r="D156" s="38"/>
      <c r="E156" s="38"/>
      <c r="F156" s="36"/>
      <c r="G156" s="1" t="s">
        <v>631</v>
      </c>
      <c r="H156" s="38"/>
      <c r="I156" s="38"/>
      <c r="J156" s="38"/>
      <c r="K156" s="36"/>
      <c r="L156" s="36"/>
    </row>
    <row r="157" spans="2:12" x14ac:dyDescent="0.25">
      <c r="B157" s="35"/>
      <c r="C157" s="35"/>
      <c r="D157" s="38"/>
      <c r="E157" s="38"/>
      <c r="F157" s="36"/>
      <c r="G157" s="1" t="s">
        <v>650</v>
      </c>
      <c r="H157" s="38"/>
      <c r="I157" s="38"/>
      <c r="J157" s="38"/>
      <c r="K157" s="36"/>
      <c r="L157" s="36"/>
    </row>
    <row r="158" spans="2:12" x14ac:dyDescent="0.25">
      <c r="B158" s="35"/>
      <c r="C158" s="35"/>
      <c r="D158" s="38"/>
      <c r="E158" s="38"/>
      <c r="F158" s="36"/>
      <c r="G158" s="35" t="s">
        <v>646</v>
      </c>
      <c r="H158" s="38"/>
      <c r="I158" s="38"/>
      <c r="J158" s="38"/>
      <c r="K158" s="36"/>
      <c r="L158" s="36"/>
    </row>
    <row r="159" spans="2:12" x14ac:dyDescent="0.25">
      <c r="B159" s="35"/>
      <c r="C159" s="35"/>
      <c r="D159" s="38"/>
      <c r="E159" s="38"/>
      <c r="F159" s="36"/>
      <c r="G159" s="21" t="s">
        <v>644</v>
      </c>
      <c r="H159" s="38"/>
      <c r="I159" s="38"/>
      <c r="J159" s="38"/>
      <c r="K159" s="36"/>
      <c r="L159" s="36"/>
    </row>
    <row r="160" spans="2:12" x14ac:dyDescent="0.25">
      <c r="B160" s="35"/>
      <c r="C160" s="35"/>
      <c r="D160" s="38"/>
      <c r="E160" s="38"/>
      <c r="F160" s="36"/>
      <c r="G160" s="21" t="s">
        <v>647</v>
      </c>
      <c r="H160" s="38"/>
      <c r="I160" s="38"/>
      <c r="J160" s="38"/>
      <c r="K160" s="36"/>
      <c r="L160" s="36"/>
    </row>
    <row r="161" spans="2:14" x14ac:dyDescent="0.25">
      <c r="B161" s="35"/>
      <c r="C161" s="59"/>
      <c r="D161" s="57"/>
      <c r="E161" s="57"/>
      <c r="F161" s="60"/>
      <c r="G161" s="59"/>
      <c r="H161" s="57"/>
      <c r="I161" s="57"/>
      <c r="J161" s="57"/>
      <c r="K161" s="60"/>
      <c r="L161" s="36"/>
    </row>
    <row r="162" spans="2:14" x14ac:dyDescent="0.25">
      <c r="B162" s="35"/>
      <c r="C162" s="22" t="s">
        <v>613</v>
      </c>
      <c r="D162" s="24"/>
      <c r="E162" s="24"/>
      <c r="F162" s="23"/>
      <c r="G162" s="22" t="s">
        <v>645</v>
      </c>
      <c r="H162" s="24"/>
      <c r="I162" s="24"/>
      <c r="J162" s="24"/>
      <c r="K162" s="23"/>
      <c r="L162" s="36"/>
    </row>
    <row r="163" spans="2:14" x14ac:dyDescent="0.25">
      <c r="B163" s="35"/>
      <c r="C163" s="35" t="s">
        <v>629</v>
      </c>
      <c r="D163" s="38"/>
      <c r="E163" s="38"/>
      <c r="F163" s="36"/>
      <c r="G163" s="1" t="s">
        <v>631</v>
      </c>
      <c r="H163" s="38"/>
      <c r="I163" s="38"/>
      <c r="J163" s="38"/>
      <c r="K163" s="36"/>
      <c r="L163" s="36"/>
    </row>
    <row r="164" spans="2:14" x14ac:dyDescent="0.25">
      <c r="B164" s="35"/>
      <c r="C164" s="35"/>
      <c r="D164" s="38"/>
      <c r="E164" s="38"/>
      <c r="F164" s="36"/>
      <c r="G164" s="1" t="s">
        <v>650</v>
      </c>
      <c r="H164" s="38"/>
      <c r="I164" s="38"/>
      <c r="J164" s="38"/>
      <c r="K164" s="36"/>
      <c r="L164" s="36"/>
    </row>
    <row r="165" spans="2:14" x14ac:dyDescent="0.25">
      <c r="B165" s="35"/>
      <c r="C165" s="35"/>
      <c r="D165" s="38"/>
      <c r="E165" s="38"/>
      <c r="F165" s="36"/>
      <c r="G165" s="35" t="s">
        <v>646</v>
      </c>
      <c r="H165" s="38"/>
      <c r="I165" s="38"/>
      <c r="J165" s="38"/>
      <c r="K165" s="36"/>
      <c r="L165" s="36"/>
    </row>
    <row r="166" spans="2:14" x14ac:dyDescent="0.25">
      <c r="B166" s="35"/>
      <c r="C166" s="35"/>
      <c r="D166" s="38"/>
      <c r="E166" s="38"/>
      <c r="F166" s="36"/>
      <c r="G166" s="35" t="s">
        <v>644</v>
      </c>
      <c r="H166" s="38"/>
      <c r="I166" s="38"/>
      <c r="J166" s="38"/>
      <c r="K166" s="36"/>
      <c r="L166" s="36"/>
    </row>
    <row r="167" spans="2:14" x14ac:dyDescent="0.25">
      <c r="B167" s="35"/>
      <c r="C167" s="35"/>
      <c r="D167" s="38"/>
      <c r="E167" s="38"/>
      <c r="F167" s="36"/>
      <c r="G167" s="35" t="s">
        <v>643</v>
      </c>
      <c r="H167" s="38"/>
      <c r="I167" s="38"/>
      <c r="J167" s="38"/>
      <c r="K167" s="36"/>
      <c r="L167" s="36"/>
    </row>
    <row r="168" spans="2:14" x14ac:dyDescent="0.25">
      <c r="B168" s="35"/>
      <c r="C168" s="59"/>
      <c r="D168" s="57"/>
      <c r="E168" s="57"/>
      <c r="F168" s="60"/>
      <c r="G168" s="59"/>
      <c r="H168" s="57"/>
      <c r="I168" s="57"/>
      <c r="J168" s="57"/>
      <c r="K168" s="60"/>
      <c r="L168" s="36"/>
    </row>
    <row r="169" spans="2:14" x14ac:dyDescent="0.25">
      <c r="B169" s="35"/>
      <c r="C169" s="22" t="s">
        <v>614</v>
      </c>
      <c r="D169" s="24"/>
      <c r="E169" s="24"/>
      <c r="F169" s="23"/>
      <c r="G169" s="22" t="s">
        <v>652</v>
      </c>
      <c r="H169" s="24"/>
      <c r="I169" s="24"/>
      <c r="J169" s="24"/>
      <c r="K169" s="23"/>
      <c r="L169" s="36"/>
    </row>
    <row r="170" spans="2:14" x14ac:dyDescent="0.25">
      <c r="B170" s="35"/>
      <c r="C170" s="35"/>
      <c r="D170" s="38"/>
      <c r="E170" s="38"/>
      <c r="F170" s="36"/>
      <c r="G170" s="35" t="s">
        <v>653</v>
      </c>
      <c r="H170" s="38"/>
      <c r="I170" s="38"/>
      <c r="J170" s="38"/>
      <c r="K170" s="36"/>
      <c r="L170" s="36"/>
    </row>
    <row r="171" spans="2:14" x14ac:dyDescent="0.25">
      <c r="B171" s="35"/>
      <c r="C171" s="35"/>
      <c r="D171" s="38"/>
      <c r="E171" s="38"/>
      <c r="F171" s="36"/>
      <c r="G171" s="35" t="s">
        <v>654</v>
      </c>
      <c r="H171" s="38"/>
      <c r="I171" s="38"/>
      <c r="J171" s="38"/>
      <c r="K171" s="36"/>
      <c r="L171" s="36"/>
    </row>
    <row r="172" spans="2:14" x14ac:dyDescent="0.25">
      <c r="B172" s="35"/>
      <c r="C172" s="35"/>
      <c r="D172" s="38"/>
      <c r="E172" s="38"/>
      <c r="F172" s="36"/>
      <c r="G172" s="35" t="s">
        <v>631</v>
      </c>
      <c r="H172" s="38"/>
      <c r="I172" s="38"/>
      <c r="J172" s="38"/>
      <c r="K172" s="36"/>
      <c r="L172" s="36"/>
    </row>
    <row r="173" spans="2:14" x14ac:dyDescent="0.25">
      <c r="B173" s="35"/>
      <c r="C173" s="35"/>
      <c r="D173" s="38"/>
      <c r="E173" s="38"/>
      <c r="F173" s="36"/>
      <c r="G173" s="35" t="s">
        <v>650</v>
      </c>
      <c r="H173" s="38"/>
      <c r="I173" s="38"/>
      <c r="J173" s="38"/>
      <c r="K173" s="36"/>
      <c r="L173" s="36"/>
      <c r="N173" s="38"/>
    </row>
    <row r="174" spans="2:14" x14ac:dyDescent="0.25">
      <c r="B174" s="35"/>
      <c r="C174" s="59"/>
      <c r="D174" s="57"/>
      <c r="E174" s="57"/>
      <c r="F174" s="60"/>
      <c r="G174" s="59"/>
      <c r="H174" s="57"/>
      <c r="I174" s="57"/>
      <c r="J174" s="57"/>
      <c r="K174" s="60"/>
      <c r="L174" s="36"/>
      <c r="N174" s="38"/>
    </row>
    <row r="175" spans="2:14" x14ac:dyDescent="0.25">
      <c r="B175" s="35"/>
      <c r="C175" s="22" t="s">
        <v>659</v>
      </c>
      <c r="D175" s="24"/>
      <c r="E175" s="24"/>
      <c r="F175" s="23"/>
      <c r="G175" s="22" t="s">
        <v>657</v>
      </c>
      <c r="H175" s="24"/>
      <c r="I175" s="24"/>
      <c r="J175" s="24"/>
      <c r="K175" s="23"/>
      <c r="L175" s="36"/>
      <c r="N175" s="38"/>
    </row>
    <row r="176" spans="2:14" x14ac:dyDescent="0.25">
      <c r="B176" s="35"/>
      <c r="C176" s="35" t="s">
        <v>655</v>
      </c>
      <c r="D176" s="38"/>
      <c r="E176" s="38"/>
      <c r="F176" s="36"/>
      <c r="G176" s="35" t="s">
        <v>658</v>
      </c>
      <c r="H176" s="38"/>
      <c r="I176" s="38"/>
      <c r="J176" s="38"/>
      <c r="K176" s="36"/>
      <c r="L176" s="36"/>
      <c r="N176" s="38"/>
    </row>
    <row r="177" spans="1:14" x14ac:dyDescent="0.25">
      <c r="B177" s="35"/>
      <c r="C177" s="35"/>
      <c r="D177" s="38"/>
      <c r="E177" s="38"/>
      <c r="F177" s="36"/>
      <c r="G177" s="35" t="s">
        <v>656</v>
      </c>
      <c r="H177" s="38"/>
      <c r="I177" s="38"/>
      <c r="J177" s="38"/>
      <c r="K177" s="36"/>
      <c r="L177" s="36"/>
      <c r="N177" s="38"/>
    </row>
    <row r="178" spans="1:14" x14ac:dyDescent="0.25">
      <c r="B178" s="35"/>
      <c r="C178" s="59"/>
      <c r="D178" s="57"/>
      <c r="E178" s="57"/>
      <c r="F178" s="60"/>
      <c r="G178" s="59"/>
      <c r="H178" s="57"/>
      <c r="I178" s="57"/>
      <c r="J178" s="57"/>
      <c r="K178" s="60"/>
      <c r="L178" s="36"/>
      <c r="N178" s="38"/>
    </row>
    <row r="179" spans="1:14" x14ac:dyDescent="0.25">
      <c r="A179" s="38"/>
      <c r="B179" s="35"/>
      <c r="C179" s="22" t="s">
        <v>660</v>
      </c>
      <c r="D179" s="24"/>
      <c r="E179" s="24"/>
      <c r="F179" s="23"/>
      <c r="G179" s="22" t="s">
        <v>657</v>
      </c>
      <c r="H179" s="24"/>
      <c r="I179" s="24"/>
      <c r="J179" s="24"/>
      <c r="K179" s="23"/>
      <c r="L179" s="36"/>
      <c r="N179" s="38"/>
    </row>
    <row r="180" spans="1:14" x14ac:dyDescent="0.25">
      <c r="B180" s="35"/>
      <c r="C180" s="35" t="s">
        <v>655</v>
      </c>
      <c r="D180" s="38"/>
      <c r="E180" s="38"/>
      <c r="F180" s="36"/>
      <c r="G180" s="35" t="s">
        <v>658</v>
      </c>
      <c r="H180" s="38"/>
      <c r="I180" s="38"/>
      <c r="J180" s="38"/>
      <c r="K180" s="36"/>
      <c r="L180" s="36"/>
      <c r="N180" s="38"/>
    </row>
    <row r="181" spans="1:14" x14ac:dyDescent="0.25">
      <c r="B181" s="35"/>
      <c r="C181" s="35"/>
      <c r="D181" s="38"/>
      <c r="E181" s="38"/>
      <c r="F181" s="36"/>
      <c r="G181" s="35" t="s">
        <v>656</v>
      </c>
      <c r="H181" s="38"/>
      <c r="I181" s="38"/>
      <c r="J181" s="38"/>
      <c r="K181" s="36"/>
      <c r="L181" s="36"/>
      <c r="N181" s="38"/>
    </row>
    <row r="182" spans="1:14" x14ac:dyDescent="0.25">
      <c r="B182" s="35"/>
      <c r="C182" s="59"/>
      <c r="D182" s="57"/>
      <c r="E182" s="57"/>
      <c r="F182" s="60"/>
      <c r="G182" s="59"/>
      <c r="H182" s="57"/>
      <c r="I182" s="57"/>
      <c r="J182" s="57"/>
      <c r="K182" s="60"/>
      <c r="L182" s="36"/>
      <c r="N182" s="38"/>
    </row>
    <row r="183" spans="1:14" x14ac:dyDescent="0.25">
      <c r="B183" s="35"/>
      <c r="C183" s="35" t="s">
        <v>661</v>
      </c>
      <c r="D183" s="24"/>
      <c r="E183" s="24"/>
      <c r="F183" s="23"/>
      <c r="G183" s="22" t="s">
        <v>657</v>
      </c>
      <c r="H183" s="24"/>
      <c r="I183" s="24"/>
      <c r="J183" s="24"/>
      <c r="K183" s="23"/>
      <c r="L183" s="36"/>
      <c r="N183" s="38"/>
    </row>
    <row r="184" spans="1:14" x14ac:dyDescent="0.25">
      <c r="B184" s="35"/>
      <c r="C184" s="35" t="s">
        <v>655</v>
      </c>
      <c r="D184" s="38"/>
      <c r="E184" s="38"/>
      <c r="F184" s="36"/>
      <c r="G184" s="35" t="s">
        <v>658</v>
      </c>
      <c r="H184" s="38"/>
      <c r="I184" s="38"/>
      <c r="J184" s="38"/>
      <c r="K184" s="36"/>
      <c r="L184" s="36"/>
      <c r="N184" s="38"/>
    </row>
    <row r="185" spans="1:14" x14ac:dyDescent="0.25">
      <c r="B185" s="35"/>
      <c r="C185" s="35"/>
      <c r="D185" s="38"/>
      <c r="E185" s="38"/>
      <c r="F185" s="36"/>
      <c r="G185" s="35" t="s">
        <v>656</v>
      </c>
      <c r="H185" s="38"/>
      <c r="I185" s="38"/>
      <c r="J185" s="38"/>
      <c r="K185" s="36"/>
      <c r="L185" s="36"/>
      <c r="N185" s="38"/>
    </row>
    <row r="186" spans="1:14" x14ac:dyDescent="0.25">
      <c r="B186" s="35"/>
      <c r="C186" s="59"/>
      <c r="D186" s="57"/>
      <c r="E186" s="57"/>
      <c r="F186" s="60"/>
      <c r="G186" s="59"/>
      <c r="H186" s="57"/>
      <c r="I186" s="57"/>
      <c r="J186" s="57"/>
      <c r="K186" s="60"/>
      <c r="L186" s="36"/>
      <c r="N186" s="38"/>
    </row>
    <row r="187" spans="1:14" x14ac:dyDescent="0.25">
      <c r="B187" s="35"/>
      <c r="C187" s="35" t="s">
        <v>662</v>
      </c>
      <c r="D187" s="24"/>
      <c r="E187" s="24"/>
      <c r="F187" s="23"/>
      <c r="G187" s="22" t="s">
        <v>657</v>
      </c>
      <c r="H187" s="24"/>
      <c r="I187" s="24"/>
      <c r="J187" s="24"/>
      <c r="K187" s="23"/>
      <c r="L187" s="36"/>
      <c r="N187" s="38"/>
    </row>
    <row r="188" spans="1:14" x14ac:dyDescent="0.25">
      <c r="B188" s="35"/>
      <c r="C188" s="35" t="s">
        <v>655</v>
      </c>
      <c r="D188" s="38"/>
      <c r="E188" s="38"/>
      <c r="F188" s="36"/>
      <c r="G188" s="35" t="s">
        <v>658</v>
      </c>
      <c r="H188" s="38"/>
      <c r="I188" s="38"/>
      <c r="J188" s="38"/>
      <c r="K188" s="36"/>
      <c r="L188" s="36"/>
      <c r="N188" s="38"/>
    </row>
    <row r="189" spans="1:14" x14ac:dyDescent="0.25">
      <c r="B189" s="35"/>
      <c r="C189" s="35"/>
      <c r="D189" s="38"/>
      <c r="E189" s="38"/>
      <c r="F189" s="36"/>
      <c r="G189" s="35" t="s">
        <v>656</v>
      </c>
      <c r="H189" s="38"/>
      <c r="I189" s="38"/>
      <c r="J189" s="38"/>
      <c r="K189" s="36"/>
      <c r="L189" s="36"/>
      <c r="N189" s="38"/>
    </row>
    <row r="190" spans="1:14" x14ac:dyDescent="0.25">
      <c r="A190" s="38"/>
      <c r="B190" s="35"/>
      <c r="C190" s="59"/>
      <c r="D190" s="57"/>
      <c r="E190" s="57"/>
      <c r="F190" s="60"/>
      <c r="G190" s="59"/>
      <c r="H190" s="57"/>
      <c r="I190" s="57"/>
      <c r="J190" s="57"/>
      <c r="K190" s="60"/>
      <c r="L190" s="36"/>
      <c r="N190" s="38"/>
    </row>
    <row r="191" spans="1:14" x14ac:dyDescent="0.25">
      <c r="B191" s="35"/>
      <c r="C191" s="35" t="s">
        <v>663</v>
      </c>
      <c r="D191" s="24"/>
      <c r="E191" s="24"/>
      <c r="F191" s="23"/>
      <c r="G191" s="22" t="s">
        <v>657</v>
      </c>
      <c r="H191" s="24"/>
      <c r="I191" s="24"/>
      <c r="J191" s="24"/>
      <c r="K191" s="23"/>
      <c r="L191" s="36"/>
      <c r="N191" s="38"/>
    </row>
    <row r="192" spans="1:14" x14ac:dyDescent="0.25">
      <c r="B192" s="35"/>
      <c r="C192" s="35" t="s">
        <v>655</v>
      </c>
      <c r="D192" s="38"/>
      <c r="E192" s="38"/>
      <c r="F192" s="36"/>
      <c r="G192" s="35" t="s">
        <v>658</v>
      </c>
      <c r="H192" s="38"/>
      <c r="I192" s="38"/>
      <c r="J192" s="38"/>
      <c r="K192" s="36"/>
      <c r="L192" s="36"/>
      <c r="N192" s="38"/>
    </row>
    <row r="193" spans="1:14" x14ac:dyDescent="0.25">
      <c r="B193" s="35"/>
      <c r="C193" s="35"/>
      <c r="D193" s="38"/>
      <c r="E193" s="38"/>
      <c r="F193" s="36"/>
      <c r="G193" s="35" t="s">
        <v>656</v>
      </c>
      <c r="H193" s="38"/>
      <c r="I193" s="38"/>
      <c r="J193" s="38"/>
      <c r="K193" s="36"/>
      <c r="L193" s="36"/>
      <c r="N193" s="38"/>
    </row>
    <row r="194" spans="1:14" x14ac:dyDescent="0.25">
      <c r="B194" s="35"/>
      <c r="C194" s="59"/>
      <c r="D194" s="57"/>
      <c r="E194" s="57"/>
      <c r="F194" s="60"/>
      <c r="G194" s="59"/>
      <c r="H194" s="57"/>
      <c r="I194" s="57"/>
      <c r="J194" s="57"/>
      <c r="K194" s="60"/>
      <c r="L194" s="36"/>
      <c r="N194" s="38"/>
    </row>
    <row r="195" spans="1:14" x14ac:dyDescent="0.25">
      <c r="B195" s="35"/>
      <c r="C195" s="35" t="s">
        <v>664</v>
      </c>
      <c r="D195" s="24"/>
      <c r="E195" s="24"/>
      <c r="F195" s="23"/>
      <c r="G195" s="22" t="s">
        <v>657</v>
      </c>
      <c r="H195" s="24"/>
      <c r="I195" s="24"/>
      <c r="J195" s="24"/>
      <c r="K195" s="23"/>
      <c r="L195" s="36"/>
      <c r="N195" s="38"/>
    </row>
    <row r="196" spans="1:14" x14ac:dyDescent="0.25">
      <c r="B196" s="35"/>
      <c r="C196" s="35" t="s">
        <v>655</v>
      </c>
      <c r="D196" s="38"/>
      <c r="E196" s="38"/>
      <c r="F196" s="36"/>
      <c r="G196" s="35" t="s">
        <v>658</v>
      </c>
      <c r="H196" s="38"/>
      <c r="I196" s="38"/>
      <c r="J196" s="38"/>
      <c r="K196" s="36"/>
      <c r="L196" s="36"/>
      <c r="N196" s="38"/>
    </row>
    <row r="197" spans="1:14" x14ac:dyDescent="0.25">
      <c r="B197" s="35"/>
      <c r="C197" s="35"/>
      <c r="D197" s="38"/>
      <c r="E197" s="38"/>
      <c r="F197" s="36"/>
      <c r="G197" s="35" t="s">
        <v>656</v>
      </c>
      <c r="H197" s="38"/>
      <c r="I197" s="38"/>
      <c r="J197" s="38"/>
      <c r="K197" s="36"/>
      <c r="L197" s="36"/>
      <c r="N197" s="38"/>
    </row>
    <row r="198" spans="1:14" x14ac:dyDescent="0.25">
      <c r="B198" s="35"/>
      <c r="C198" s="59"/>
      <c r="D198" s="57"/>
      <c r="E198" s="57"/>
      <c r="F198" s="60"/>
      <c r="G198" s="59"/>
      <c r="H198" s="57"/>
      <c r="I198" s="57"/>
      <c r="J198" s="57"/>
      <c r="K198" s="60"/>
      <c r="L198" s="36"/>
      <c r="N198" s="38"/>
    </row>
    <row r="199" spans="1:14" x14ac:dyDescent="0.25">
      <c r="B199" s="35"/>
      <c r="C199" s="35" t="s">
        <v>665</v>
      </c>
      <c r="D199" s="24"/>
      <c r="E199" s="24"/>
      <c r="F199" s="23"/>
      <c r="G199" s="22" t="s">
        <v>657</v>
      </c>
      <c r="H199" s="24"/>
      <c r="I199" s="24"/>
      <c r="J199" s="24"/>
      <c r="K199" s="23"/>
      <c r="L199" s="36"/>
      <c r="N199" s="38"/>
    </row>
    <row r="200" spans="1:14" x14ac:dyDescent="0.25">
      <c r="B200" s="35"/>
      <c r="C200" s="35" t="s">
        <v>655</v>
      </c>
      <c r="D200" s="38"/>
      <c r="E200" s="38"/>
      <c r="F200" s="36"/>
      <c r="G200" s="35" t="s">
        <v>658</v>
      </c>
      <c r="H200" s="38"/>
      <c r="I200" s="38"/>
      <c r="J200" s="38"/>
      <c r="K200" s="36"/>
      <c r="L200" s="36"/>
      <c r="N200" s="38"/>
    </row>
    <row r="201" spans="1:14" x14ac:dyDescent="0.25">
      <c r="B201" s="35"/>
      <c r="C201" s="35"/>
      <c r="D201" s="38"/>
      <c r="E201" s="38"/>
      <c r="F201" s="36"/>
      <c r="G201" s="35" t="s">
        <v>656</v>
      </c>
      <c r="H201" s="38"/>
      <c r="I201" s="38"/>
      <c r="J201" s="38"/>
      <c r="K201" s="36"/>
      <c r="L201" s="36"/>
      <c r="N201" s="38"/>
    </row>
    <row r="202" spans="1:14" x14ac:dyDescent="0.25">
      <c r="B202" s="35"/>
      <c r="C202" s="59"/>
      <c r="D202" s="57"/>
      <c r="E202" s="57"/>
      <c r="F202" s="60"/>
      <c r="G202" s="59"/>
      <c r="H202" s="57"/>
      <c r="I202" s="57"/>
      <c r="J202" s="57"/>
      <c r="K202" s="60"/>
      <c r="L202" s="36"/>
      <c r="N202" s="38"/>
    </row>
    <row r="203" spans="1:14" x14ac:dyDescent="0.25">
      <c r="B203" s="35"/>
      <c r="C203" s="35" t="s">
        <v>666</v>
      </c>
      <c r="D203" s="24"/>
      <c r="E203" s="24"/>
      <c r="F203" s="23"/>
      <c r="G203" s="22" t="s">
        <v>657</v>
      </c>
      <c r="H203" s="24"/>
      <c r="I203" s="24"/>
      <c r="J203" s="24"/>
      <c r="K203" s="23"/>
      <c r="L203" s="36"/>
      <c r="N203" s="38"/>
    </row>
    <row r="204" spans="1:14" x14ac:dyDescent="0.25">
      <c r="B204" s="35"/>
      <c r="C204" s="35" t="s">
        <v>655</v>
      </c>
      <c r="D204" s="38"/>
      <c r="E204" s="38"/>
      <c r="F204" s="36"/>
      <c r="G204" s="35" t="s">
        <v>658</v>
      </c>
      <c r="H204" s="38"/>
      <c r="I204" s="38"/>
      <c r="J204" s="38"/>
      <c r="K204" s="36"/>
      <c r="L204" s="36"/>
      <c r="N204" s="38"/>
    </row>
    <row r="205" spans="1:14" x14ac:dyDescent="0.25">
      <c r="B205" s="35"/>
      <c r="C205" s="35"/>
      <c r="D205" s="38"/>
      <c r="E205" s="38"/>
      <c r="F205" s="36"/>
      <c r="G205" s="35" t="s">
        <v>656</v>
      </c>
      <c r="H205" s="38"/>
      <c r="I205" s="38"/>
      <c r="J205" s="38"/>
      <c r="K205" s="36"/>
      <c r="L205" s="36"/>
      <c r="N205" s="38"/>
    </row>
    <row r="206" spans="1:14" x14ac:dyDescent="0.25">
      <c r="B206" s="35"/>
      <c r="C206" s="59"/>
      <c r="D206" s="57"/>
      <c r="E206" s="57"/>
      <c r="F206" s="60"/>
      <c r="G206" s="59"/>
      <c r="H206" s="57"/>
      <c r="I206" s="57"/>
      <c r="J206" s="57"/>
      <c r="K206" s="60"/>
      <c r="L206" s="36"/>
      <c r="N206" s="38"/>
    </row>
    <row r="207" spans="1:14" x14ac:dyDescent="0.25">
      <c r="A207" s="38"/>
      <c r="B207" s="35"/>
      <c r="C207" s="35" t="s">
        <v>667</v>
      </c>
      <c r="D207" s="24"/>
      <c r="E207" s="24"/>
      <c r="F207" s="23"/>
      <c r="G207" s="22" t="s">
        <v>657</v>
      </c>
      <c r="H207" s="24"/>
      <c r="I207" s="24"/>
      <c r="J207" s="24"/>
      <c r="K207" s="23"/>
      <c r="L207" s="36"/>
      <c r="N207" s="38"/>
    </row>
    <row r="208" spans="1:14" x14ac:dyDescent="0.25">
      <c r="A208" s="38"/>
      <c r="B208" s="35"/>
      <c r="C208" s="35" t="s">
        <v>655</v>
      </c>
      <c r="D208" s="38"/>
      <c r="E208" s="38"/>
      <c r="F208" s="36"/>
      <c r="G208" s="35" t="s">
        <v>658</v>
      </c>
      <c r="H208" s="38"/>
      <c r="I208" s="38"/>
      <c r="J208" s="38"/>
      <c r="K208" s="36"/>
      <c r="L208" s="36"/>
      <c r="N208" s="38"/>
    </row>
    <row r="209" spans="2:14" x14ac:dyDescent="0.25">
      <c r="B209" s="35"/>
      <c r="C209" s="35"/>
      <c r="D209" s="38"/>
      <c r="E209" s="38"/>
      <c r="F209" s="36"/>
      <c r="G209" s="35" t="s">
        <v>656</v>
      </c>
      <c r="H209" s="38"/>
      <c r="I209" s="38"/>
      <c r="J209" s="38"/>
      <c r="K209" s="36"/>
      <c r="L209" s="36"/>
      <c r="N209" s="38"/>
    </row>
    <row r="210" spans="2:14" x14ac:dyDescent="0.25">
      <c r="B210" s="35"/>
      <c r="C210" s="59"/>
      <c r="D210" s="57"/>
      <c r="E210" s="57"/>
      <c r="F210" s="60"/>
      <c r="G210" s="59"/>
      <c r="H210" s="57"/>
      <c r="I210" s="57"/>
      <c r="J210" s="57"/>
      <c r="K210" s="60"/>
      <c r="L210" s="36"/>
      <c r="N210" s="38"/>
    </row>
    <row r="211" spans="2:14" x14ac:dyDescent="0.25">
      <c r="B211" s="35"/>
      <c r="C211" s="35" t="s">
        <v>668</v>
      </c>
      <c r="D211" s="24"/>
      <c r="E211" s="24"/>
      <c r="F211" s="23"/>
      <c r="G211" s="22" t="s">
        <v>657</v>
      </c>
      <c r="H211" s="24"/>
      <c r="I211" s="24"/>
      <c r="J211" s="24"/>
      <c r="K211" s="23"/>
      <c r="L211" s="36"/>
      <c r="N211" s="38"/>
    </row>
    <row r="212" spans="2:14" x14ac:dyDescent="0.25">
      <c r="B212" s="35"/>
      <c r="C212" s="35" t="s">
        <v>655</v>
      </c>
      <c r="D212" s="38"/>
      <c r="E212" s="38"/>
      <c r="F212" s="36"/>
      <c r="G212" s="35" t="s">
        <v>658</v>
      </c>
      <c r="H212" s="38"/>
      <c r="I212" s="38"/>
      <c r="J212" s="38"/>
      <c r="K212" s="36"/>
      <c r="L212" s="36"/>
      <c r="N212" s="38"/>
    </row>
    <row r="213" spans="2:14" x14ac:dyDescent="0.25">
      <c r="B213" s="35"/>
      <c r="C213" s="35"/>
      <c r="D213" s="38"/>
      <c r="E213" s="38"/>
      <c r="F213" s="36"/>
      <c r="G213" s="35" t="s">
        <v>656</v>
      </c>
      <c r="H213" s="38"/>
      <c r="I213" s="38"/>
      <c r="J213" s="38"/>
      <c r="K213" s="36"/>
      <c r="L213" s="36"/>
      <c r="N213" s="38"/>
    </row>
    <row r="214" spans="2:14" x14ac:dyDescent="0.25">
      <c r="B214" s="35"/>
      <c r="C214" s="59"/>
      <c r="D214" s="57"/>
      <c r="E214" s="57"/>
      <c r="F214" s="60"/>
      <c r="G214" s="59"/>
      <c r="H214" s="57"/>
      <c r="I214" s="57"/>
      <c r="J214" s="57"/>
      <c r="K214" s="60"/>
      <c r="L214" s="36"/>
      <c r="N214" s="38"/>
    </row>
    <row r="215" spans="2:14" x14ac:dyDescent="0.25">
      <c r="B215" s="35"/>
      <c r="C215" s="35" t="s">
        <v>669</v>
      </c>
      <c r="D215" s="24"/>
      <c r="E215" s="24"/>
      <c r="F215" s="23"/>
      <c r="G215" s="22" t="s">
        <v>657</v>
      </c>
      <c r="H215" s="24"/>
      <c r="I215" s="24"/>
      <c r="J215" s="24"/>
      <c r="K215" s="23"/>
      <c r="L215" s="36"/>
      <c r="N215" s="38"/>
    </row>
    <row r="216" spans="2:14" x14ac:dyDescent="0.25">
      <c r="B216" s="35"/>
      <c r="C216" s="35" t="s">
        <v>655</v>
      </c>
      <c r="D216" s="38"/>
      <c r="E216" s="38"/>
      <c r="F216" s="36"/>
      <c r="G216" s="35" t="s">
        <v>658</v>
      </c>
      <c r="H216" s="38"/>
      <c r="I216" s="38"/>
      <c r="J216" s="38"/>
      <c r="K216" s="36"/>
      <c r="L216" s="36"/>
      <c r="N216" s="38"/>
    </row>
    <row r="217" spans="2:14" x14ac:dyDescent="0.25">
      <c r="B217" s="35"/>
      <c r="C217" s="35"/>
      <c r="D217" s="38"/>
      <c r="E217" s="38"/>
      <c r="F217" s="36"/>
      <c r="G217" s="35" t="s">
        <v>656</v>
      </c>
      <c r="H217" s="38"/>
      <c r="I217" s="38"/>
      <c r="J217" s="38"/>
      <c r="K217" s="36"/>
      <c r="L217" s="36"/>
      <c r="N217" s="38"/>
    </row>
    <row r="218" spans="2:14" x14ac:dyDescent="0.25">
      <c r="B218" s="35"/>
      <c r="C218" s="59"/>
      <c r="D218" s="57"/>
      <c r="E218" s="57"/>
      <c r="F218" s="60"/>
      <c r="G218" s="59"/>
      <c r="H218" s="57"/>
      <c r="I218" s="57"/>
      <c r="J218" s="57"/>
      <c r="K218" s="60"/>
      <c r="L218" s="36"/>
      <c r="N218" s="38"/>
    </row>
    <row r="219" spans="2:14" x14ac:dyDescent="0.25">
      <c r="B219" s="35"/>
      <c r="C219" s="35" t="s">
        <v>670</v>
      </c>
      <c r="D219" s="24"/>
      <c r="E219" s="24"/>
      <c r="F219" s="23"/>
      <c r="G219" s="22" t="s">
        <v>657</v>
      </c>
      <c r="H219" s="24"/>
      <c r="I219" s="24"/>
      <c r="J219" s="24"/>
      <c r="K219" s="23"/>
      <c r="L219" s="36"/>
      <c r="N219" s="38"/>
    </row>
    <row r="220" spans="2:14" x14ac:dyDescent="0.25">
      <c r="B220" s="35"/>
      <c r="C220" s="35" t="s">
        <v>655</v>
      </c>
      <c r="D220" s="38"/>
      <c r="E220" s="38"/>
      <c r="F220" s="36"/>
      <c r="G220" s="35" t="s">
        <v>658</v>
      </c>
      <c r="H220" s="38"/>
      <c r="I220" s="38"/>
      <c r="J220" s="38"/>
      <c r="K220" s="36"/>
      <c r="L220" s="36"/>
      <c r="N220" s="38"/>
    </row>
    <row r="221" spans="2:14" x14ac:dyDescent="0.25">
      <c r="B221" s="35"/>
      <c r="C221" s="35"/>
      <c r="D221" s="38"/>
      <c r="E221" s="38"/>
      <c r="F221" s="36"/>
      <c r="G221" s="35" t="s">
        <v>656</v>
      </c>
      <c r="H221" s="38"/>
      <c r="I221" s="38"/>
      <c r="J221" s="38"/>
      <c r="K221" s="36"/>
      <c r="L221" s="36"/>
      <c r="N221" s="38"/>
    </row>
    <row r="222" spans="2:14" x14ac:dyDescent="0.25">
      <c r="B222" s="35"/>
      <c r="C222" s="59"/>
      <c r="D222" s="57"/>
      <c r="E222" s="57"/>
      <c r="F222" s="60"/>
      <c r="G222" s="59"/>
      <c r="H222" s="57"/>
      <c r="I222" s="57"/>
      <c r="J222" s="57"/>
      <c r="K222" s="60"/>
      <c r="L222" s="36"/>
      <c r="N222" s="38"/>
    </row>
    <row r="223" spans="2:14" x14ac:dyDescent="0.25">
      <c r="B223" s="35"/>
      <c r="C223" s="35" t="s">
        <v>615</v>
      </c>
      <c r="D223" s="38"/>
      <c r="E223" s="38"/>
      <c r="F223" s="36"/>
      <c r="G223" s="22" t="s">
        <v>657</v>
      </c>
      <c r="H223" s="24"/>
      <c r="I223" s="24"/>
      <c r="J223" s="24"/>
      <c r="K223" s="23"/>
      <c r="L223" s="36"/>
      <c r="N223" s="38"/>
    </row>
    <row r="224" spans="2:14" x14ac:dyDescent="0.25">
      <c r="B224" s="35"/>
      <c r="C224" s="35" t="s">
        <v>655</v>
      </c>
      <c r="D224" s="38"/>
      <c r="E224" s="38"/>
      <c r="F224" s="36"/>
      <c r="G224" s="35" t="s">
        <v>658</v>
      </c>
      <c r="H224" s="38"/>
      <c r="I224" s="38"/>
      <c r="J224" s="38"/>
      <c r="K224" s="36"/>
      <c r="L224" s="36"/>
      <c r="N224" s="38"/>
    </row>
    <row r="225" spans="2:14" x14ac:dyDescent="0.25">
      <c r="B225" s="35"/>
      <c r="C225" s="35"/>
      <c r="D225" s="38"/>
      <c r="E225" s="38"/>
      <c r="F225" s="36"/>
      <c r="G225" s="35" t="s">
        <v>656</v>
      </c>
      <c r="H225" s="38"/>
      <c r="I225" s="38"/>
      <c r="J225" s="38"/>
      <c r="K225" s="36"/>
      <c r="L225" s="36"/>
      <c r="N225" s="38"/>
    </row>
    <row r="226" spans="2:14" x14ac:dyDescent="0.25">
      <c r="B226" s="35"/>
      <c r="C226" s="59"/>
      <c r="D226" s="57"/>
      <c r="E226" s="57"/>
      <c r="F226" s="60"/>
      <c r="G226" s="59"/>
      <c r="H226" s="57"/>
      <c r="I226" s="57"/>
      <c r="J226" s="57"/>
      <c r="K226" s="60"/>
      <c r="L226" s="36"/>
      <c r="N226" s="38"/>
    </row>
    <row r="227" spans="2:14" x14ac:dyDescent="0.25">
      <c r="B227" s="35"/>
      <c r="C227" s="22" t="s">
        <v>616</v>
      </c>
      <c r="D227" s="24"/>
      <c r="E227" s="24"/>
      <c r="F227" s="23"/>
      <c r="G227" s="22" t="s">
        <v>657</v>
      </c>
      <c r="H227" s="24"/>
      <c r="I227" s="24"/>
      <c r="J227" s="24"/>
      <c r="K227" s="23"/>
      <c r="L227" s="36"/>
    </row>
    <row r="228" spans="2:14" x14ac:dyDescent="0.25">
      <c r="B228" s="35"/>
      <c r="C228" s="35"/>
      <c r="D228" s="38"/>
      <c r="E228" s="38"/>
      <c r="F228" s="36"/>
      <c r="G228" s="35" t="s">
        <v>658</v>
      </c>
      <c r="H228" s="38"/>
      <c r="I228" s="38"/>
      <c r="J228" s="38"/>
      <c r="K228" s="36"/>
      <c r="L228" s="36"/>
    </row>
    <row r="229" spans="2:14" x14ac:dyDescent="0.25">
      <c r="B229" s="35"/>
      <c r="C229" s="59"/>
      <c r="D229" s="57"/>
      <c r="E229" s="57"/>
      <c r="F229" s="60"/>
      <c r="G229" s="59"/>
      <c r="H229" s="57"/>
      <c r="I229" s="57"/>
      <c r="J229" s="57"/>
      <c r="K229" s="60"/>
      <c r="L229" s="36"/>
    </row>
    <row r="230" spans="2:14" x14ac:dyDescent="0.25">
      <c r="B230" s="35"/>
      <c r="D230" s="38"/>
      <c r="E230" s="38"/>
      <c r="F230" s="38"/>
      <c r="G230" s="38"/>
      <c r="H230" s="38"/>
      <c r="I230" s="38"/>
      <c r="J230" s="38"/>
      <c r="K230" s="38"/>
      <c r="L230" s="36"/>
    </row>
    <row r="231" spans="2:14" x14ac:dyDescent="0.25">
      <c r="B231" s="35"/>
      <c r="C231" s="1" t="s">
        <v>813</v>
      </c>
      <c r="D231" s="38"/>
      <c r="E231" s="38"/>
      <c r="F231" s="38"/>
      <c r="G231" s="38"/>
      <c r="H231" s="38"/>
      <c r="I231" s="38"/>
      <c r="J231" s="38"/>
      <c r="K231" s="38"/>
      <c r="L231" s="36"/>
    </row>
    <row r="232" spans="2:14" x14ac:dyDescent="0.25">
      <c r="B232" s="35"/>
      <c r="D232" s="38"/>
      <c r="E232" s="38"/>
      <c r="F232" s="38"/>
      <c r="G232" s="38"/>
      <c r="H232" s="38"/>
      <c r="I232" s="38"/>
      <c r="J232" s="38"/>
      <c r="K232" s="38"/>
      <c r="L232" s="36"/>
    </row>
    <row r="233" spans="2:14" x14ac:dyDescent="0.25">
      <c r="B233" s="35"/>
      <c r="C233" s="22" t="s">
        <v>607</v>
      </c>
      <c r="D233" s="24"/>
      <c r="E233" s="24"/>
      <c r="F233" s="24"/>
      <c r="G233" s="24"/>
      <c r="H233" s="24"/>
      <c r="I233" s="24"/>
      <c r="J233" s="24"/>
      <c r="K233" s="23"/>
      <c r="L233" s="36"/>
    </row>
    <row r="234" spans="2:14" x14ac:dyDescent="0.25">
      <c r="B234" s="35"/>
      <c r="C234" s="35"/>
      <c r="D234" s="38"/>
      <c r="E234" s="38"/>
      <c r="F234" s="38"/>
      <c r="G234" s="38"/>
      <c r="H234" s="38"/>
      <c r="I234" s="38"/>
      <c r="J234" s="38"/>
      <c r="K234" s="36"/>
      <c r="L234" s="36"/>
    </row>
    <row r="235" spans="2:14" x14ac:dyDescent="0.25">
      <c r="B235" s="35"/>
      <c r="C235" s="35" t="s">
        <v>678</v>
      </c>
      <c r="D235" s="38"/>
      <c r="E235" s="38"/>
      <c r="F235" s="38"/>
      <c r="G235" s="38"/>
      <c r="H235" s="38"/>
      <c r="I235" s="38"/>
      <c r="J235" s="38"/>
      <c r="K235" s="36"/>
      <c r="L235" s="36"/>
    </row>
    <row r="236" spans="2:14" x14ac:dyDescent="0.25">
      <c r="B236" s="35"/>
      <c r="C236" s="35" t="s">
        <v>679</v>
      </c>
      <c r="D236" s="38"/>
      <c r="E236" s="38"/>
      <c r="F236" s="38"/>
      <c r="G236" s="38"/>
      <c r="H236" s="38"/>
      <c r="I236" s="38"/>
      <c r="J236" s="38"/>
      <c r="K236" s="36"/>
      <c r="L236" s="36"/>
    </row>
    <row r="237" spans="2:14" x14ac:dyDescent="0.25">
      <c r="B237" s="35"/>
      <c r="C237" s="35" t="s">
        <v>814</v>
      </c>
      <c r="D237" s="38"/>
      <c r="E237" s="38"/>
      <c r="F237" s="38"/>
      <c r="G237" s="38"/>
      <c r="H237" s="38"/>
      <c r="I237" s="38"/>
      <c r="J237" s="38"/>
      <c r="K237" s="36"/>
      <c r="L237" s="36"/>
    </row>
    <row r="238" spans="2:14" x14ac:dyDescent="0.25">
      <c r="B238" s="35"/>
      <c r="C238" s="35"/>
      <c r="D238" s="38"/>
      <c r="E238" s="38"/>
      <c r="F238" s="38"/>
      <c r="G238" s="38"/>
      <c r="H238" s="38"/>
      <c r="I238" s="324" t="s">
        <v>103</v>
      </c>
      <c r="J238" s="324" t="s">
        <v>103</v>
      </c>
      <c r="K238" s="36"/>
      <c r="L238" s="36"/>
    </row>
    <row r="239" spans="2:14" x14ac:dyDescent="0.25">
      <c r="B239" s="35"/>
      <c r="C239" s="322" t="s">
        <v>103</v>
      </c>
      <c r="E239" s="323" t="s">
        <v>695</v>
      </c>
      <c r="F239" s="38"/>
      <c r="G239" s="38"/>
      <c r="H239" s="38"/>
      <c r="I239" s="325" t="s">
        <v>690</v>
      </c>
      <c r="J239" s="325" t="s">
        <v>685</v>
      </c>
      <c r="K239" s="36"/>
      <c r="L239" s="36"/>
    </row>
    <row r="240" spans="2:14" x14ac:dyDescent="0.25">
      <c r="B240" s="35"/>
      <c r="C240" s="35" t="s">
        <v>141</v>
      </c>
      <c r="E240" s="38" t="s">
        <v>694</v>
      </c>
      <c r="F240" s="38"/>
      <c r="G240" s="38"/>
      <c r="H240" s="38"/>
      <c r="I240" s="324"/>
      <c r="J240" s="324" t="s">
        <v>684</v>
      </c>
      <c r="K240" s="36"/>
      <c r="L240" s="36"/>
    </row>
    <row r="241" spans="2:12" x14ac:dyDescent="0.25">
      <c r="B241" s="35"/>
      <c r="C241" s="35" t="s">
        <v>680</v>
      </c>
      <c r="E241" s="38" t="s">
        <v>693</v>
      </c>
      <c r="F241" s="38"/>
      <c r="G241" s="38"/>
      <c r="H241" s="38"/>
      <c r="I241" s="324"/>
      <c r="J241" s="326" t="s">
        <v>686</v>
      </c>
      <c r="K241" s="36"/>
      <c r="L241" s="36"/>
    </row>
    <row r="242" spans="2:12" x14ac:dyDescent="0.25">
      <c r="B242" s="35"/>
      <c r="C242" s="35" t="s">
        <v>681</v>
      </c>
      <c r="E242" s="38" t="s">
        <v>692</v>
      </c>
      <c r="F242" s="38"/>
      <c r="G242" s="38"/>
      <c r="H242" s="38"/>
      <c r="I242" s="324"/>
      <c r="J242" s="326" t="s">
        <v>687</v>
      </c>
      <c r="K242" s="36"/>
      <c r="L242" s="36"/>
    </row>
    <row r="243" spans="2:12" x14ac:dyDescent="0.25">
      <c r="B243" s="35"/>
      <c r="C243" s="35" t="s">
        <v>682</v>
      </c>
      <c r="E243" s="38" t="s">
        <v>691</v>
      </c>
      <c r="F243" s="38"/>
      <c r="G243" s="38"/>
      <c r="H243" s="38"/>
      <c r="I243" s="324"/>
      <c r="J243" s="326" t="s">
        <v>688</v>
      </c>
      <c r="K243" s="36"/>
      <c r="L243" s="36"/>
    </row>
    <row r="244" spans="2:12" x14ac:dyDescent="0.25">
      <c r="B244" s="35"/>
      <c r="C244" s="35" t="s">
        <v>683</v>
      </c>
      <c r="E244" s="38" t="s">
        <v>815</v>
      </c>
      <c r="F244" s="38"/>
      <c r="G244" s="38"/>
      <c r="H244" s="38"/>
      <c r="I244" s="324"/>
      <c r="J244" s="326" t="s">
        <v>689</v>
      </c>
      <c r="K244" s="36"/>
      <c r="L244" s="36"/>
    </row>
    <row r="245" spans="2:12" x14ac:dyDescent="0.25">
      <c r="B245" s="35"/>
      <c r="C245" s="35"/>
      <c r="D245" s="38"/>
      <c r="E245" s="38"/>
      <c r="F245" s="38"/>
      <c r="G245" s="38"/>
      <c r="H245" s="38"/>
      <c r="I245" s="38"/>
      <c r="J245" s="38"/>
      <c r="K245" s="36"/>
      <c r="L245" s="36"/>
    </row>
    <row r="246" spans="2:12" x14ac:dyDescent="0.25">
      <c r="B246" s="35"/>
      <c r="C246" s="35"/>
      <c r="D246" s="38"/>
      <c r="E246" s="38"/>
      <c r="F246" s="38"/>
      <c r="G246" s="38"/>
      <c r="H246" s="38"/>
      <c r="I246" s="38"/>
      <c r="J246" s="38"/>
      <c r="K246" s="36"/>
      <c r="L246" s="36"/>
    </row>
    <row r="247" spans="2:12" x14ac:dyDescent="0.25">
      <c r="B247" s="35"/>
      <c r="C247" s="22" t="s">
        <v>608</v>
      </c>
      <c r="D247" s="24"/>
      <c r="E247" s="24"/>
      <c r="F247" s="24"/>
      <c r="G247" s="24"/>
      <c r="H247" s="24"/>
      <c r="I247" s="24"/>
      <c r="J247" s="24"/>
      <c r="K247" s="23"/>
      <c r="L247" s="36"/>
    </row>
    <row r="248" spans="2:12" x14ac:dyDescent="0.25">
      <c r="B248" s="35"/>
      <c r="C248" s="35"/>
      <c r="D248" s="38"/>
      <c r="E248" s="38"/>
      <c r="F248" s="38"/>
      <c r="G248" s="38"/>
      <c r="H248" s="38"/>
      <c r="I248" s="38"/>
      <c r="J248" s="38"/>
      <c r="K248" s="36"/>
      <c r="L248" s="36"/>
    </row>
    <row r="249" spans="2:12" x14ac:dyDescent="0.25">
      <c r="B249" s="35"/>
      <c r="C249" s="35" t="s">
        <v>696</v>
      </c>
      <c r="D249" s="38"/>
      <c r="E249" s="38"/>
      <c r="F249" s="38"/>
      <c r="G249" s="38"/>
      <c r="H249" s="38"/>
      <c r="I249" s="38"/>
      <c r="J249" s="38"/>
      <c r="K249" s="36"/>
      <c r="L249" s="36"/>
    </row>
    <row r="250" spans="2:12" x14ac:dyDescent="0.25">
      <c r="B250" s="35"/>
      <c r="C250" s="35" t="s">
        <v>679</v>
      </c>
      <c r="D250" s="38"/>
      <c r="E250" s="38"/>
      <c r="F250" s="38"/>
      <c r="G250" s="38"/>
      <c r="H250" s="38"/>
      <c r="I250" s="38"/>
      <c r="J250" s="38"/>
      <c r="K250" s="36"/>
      <c r="L250" s="36"/>
    </row>
    <row r="251" spans="2:12" x14ac:dyDescent="0.25">
      <c r="B251" s="35"/>
      <c r="C251" s="35" t="s">
        <v>814</v>
      </c>
      <c r="D251" s="38"/>
      <c r="E251" s="38"/>
      <c r="F251" s="38"/>
      <c r="G251" s="38"/>
      <c r="H251" s="38"/>
      <c r="I251" s="38"/>
      <c r="J251" s="38"/>
      <c r="K251" s="36"/>
      <c r="L251" s="36"/>
    </row>
    <row r="252" spans="2:12" x14ac:dyDescent="0.25">
      <c r="B252" s="35"/>
      <c r="C252" s="35"/>
      <c r="D252" s="38"/>
      <c r="E252" s="38"/>
      <c r="F252" s="38"/>
      <c r="G252" s="38"/>
      <c r="H252" s="38"/>
      <c r="I252" s="38"/>
      <c r="J252" s="38" t="s">
        <v>497</v>
      </c>
      <c r="K252" s="36"/>
      <c r="L252" s="36"/>
    </row>
    <row r="253" spans="2:12" x14ac:dyDescent="0.25">
      <c r="B253" s="35"/>
      <c r="C253" s="322" t="s">
        <v>102</v>
      </c>
      <c r="D253" s="38"/>
      <c r="E253" s="323" t="s">
        <v>695</v>
      </c>
      <c r="F253" s="38"/>
      <c r="G253" s="38"/>
      <c r="H253" s="38"/>
      <c r="I253" s="38"/>
      <c r="J253" s="323" t="s">
        <v>816</v>
      </c>
      <c r="K253" s="36"/>
      <c r="L253" s="36"/>
    </row>
    <row r="254" spans="2:12" x14ac:dyDescent="0.25">
      <c r="B254" s="35"/>
      <c r="C254" s="35" t="s">
        <v>146</v>
      </c>
      <c r="D254" s="38"/>
      <c r="E254" s="38" t="s">
        <v>702</v>
      </c>
      <c r="F254" s="38"/>
      <c r="G254" s="38"/>
      <c r="H254" s="38"/>
      <c r="I254" s="38"/>
      <c r="J254" s="38" t="s">
        <v>697</v>
      </c>
      <c r="K254" s="36"/>
      <c r="L254" s="36"/>
    </row>
    <row r="255" spans="2:12" x14ac:dyDescent="0.25">
      <c r="B255" s="35"/>
      <c r="C255" s="35" t="s">
        <v>147</v>
      </c>
      <c r="D255" s="38"/>
      <c r="E255" s="38" t="s">
        <v>703</v>
      </c>
      <c r="F255" s="38"/>
      <c r="G255" s="38"/>
      <c r="H255" s="38"/>
      <c r="I255" s="38"/>
      <c r="J255" s="321" t="s">
        <v>698</v>
      </c>
      <c r="K255" s="36"/>
      <c r="L255" s="36"/>
    </row>
    <row r="256" spans="2:12" x14ac:dyDescent="0.25">
      <c r="B256" s="35"/>
      <c r="C256" s="35" t="s">
        <v>148</v>
      </c>
      <c r="D256" s="38"/>
      <c r="E256" s="38" t="s">
        <v>704</v>
      </c>
      <c r="F256" s="38"/>
      <c r="G256" s="38"/>
      <c r="H256" s="38"/>
      <c r="I256" s="38"/>
      <c r="J256" s="321" t="s">
        <v>699</v>
      </c>
      <c r="K256" s="36"/>
      <c r="L256" s="36"/>
    </row>
    <row r="257" spans="2:12" x14ac:dyDescent="0.25">
      <c r="B257" s="35"/>
      <c r="C257" s="35" t="s">
        <v>149</v>
      </c>
      <c r="D257" s="38"/>
      <c r="E257" s="38" t="s">
        <v>705</v>
      </c>
      <c r="F257" s="38"/>
      <c r="G257" s="38"/>
      <c r="H257" s="38"/>
      <c r="I257" s="38"/>
      <c r="J257" s="321" t="s">
        <v>700</v>
      </c>
      <c r="K257" s="36"/>
      <c r="L257" s="36"/>
    </row>
    <row r="258" spans="2:12" x14ac:dyDescent="0.25">
      <c r="B258" s="35"/>
      <c r="C258" s="35" t="s">
        <v>150</v>
      </c>
      <c r="D258" s="38"/>
      <c r="E258" s="38" t="s">
        <v>706</v>
      </c>
      <c r="F258" s="38"/>
      <c r="G258" s="38"/>
      <c r="H258" s="38"/>
      <c r="I258" s="38"/>
      <c r="J258" s="38" t="s">
        <v>701</v>
      </c>
      <c r="K258" s="36"/>
      <c r="L258" s="36"/>
    </row>
    <row r="259" spans="2:12" x14ac:dyDescent="0.25">
      <c r="B259" s="35"/>
      <c r="C259" s="59"/>
      <c r="D259" s="57"/>
      <c r="E259" s="57"/>
      <c r="F259" s="57"/>
      <c r="G259" s="57"/>
      <c r="H259" s="57"/>
      <c r="I259" s="57"/>
      <c r="J259" s="57"/>
      <c r="K259" s="60"/>
      <c r="L259" s="36"/>
    </row>
    <row r="260" spans="2:12" x14ac:dyDescent="0.25">
      <c r="B260" s="35"/>
      <c r="C260" s="22" t="s">
        <v>492</v>
      </c>
      <c r="D260" s="24"/>
      <c r="E260" s="24"/>
      <c r="F260" s="24"/>
      <c r="G260" s="24"/>
      <c r="H260" s="24"/>
      <c r="I260" s="24"/>
      <c r="J260" s="24"/>
      <c r="K260" s="23"/>
      <c r="L260" s="36"/>
    </row>
    <row r="261" spans="2:12" x14ac:dyDescent="0.25">
      <c r="B261" s="35"/>
      <c r="C261" s="35"/>
      <c r="D261" s="38"/>
      <c r="E261" s="38"/>
      <c r="F261" s="38"/>
      <c r="G261" s="38"/>
      <c r="H261" s="38"/>
      <c r="I261" s="38"/>
      <c r="J261" s="38"/>
      <c r="K261" s="36"/>
      <c r="L261" s="36"/>
    </row>
    <row r="262" spans="2:12" x14ac:dyDescent="0.25">
      <c r="B262" s="35"/>
      <c r="C262" s="35" t="s">
        <v>713</v>
      </c>
      <c r="D262" s="38"/>
      <c r="E262" s="38"/>
      <c r="F262" s="38"/>
      <c r="G262" s="38"/>
      <c r="H262" s="38"/>
      <c r="I262" s="38"/>
      <c r="J262" s="38"/>
      <c r="K262" s="36"/>
      <c r="L262" s="36"/>
    </row>
    <row r="263" spans="2:12" x14ac:dyDescent="0.25">
      <c r="B263" s="35"/>
      <c r="C263" s="35" t="s">
        <v>714</v>
      </c>
      <c r="D263" s="38"/>
      <c r="E263" s="38"/>
      <c r="F263" s="38"/>
      <c r="G263" s="38"/>
      <c r="H263" s="38"/>
      <c r="I263" s="38"/>
      <c r="J263" s="38"/>
      <c r="K263" s="36"/>
      <c r="L263" s="36"/>
    </row>
    <row r="264" spans="2:12" x14ac:dyDescent="0.25">
      <c r="B264" s="35"/>
      <c r="C264" s="35" t="s">
        <v>716</v>
      </c>
      <c r="D264" s="38"/>
      <c r="E264" s="38"/>
      <c r="F264" s="38"/>
      <c r="G264" s="38"/>
      <c r="H264" s="38"/>
      <c r="I264" s="38"/>
      <c r="J264" s="38"/>
      <c r="K264" s="36"/>
      <c r="L264" s="36"/>
    </row>
    <row r="265" spans="2:12" x14ac:dyDescent="0.25">
      <c r="B265" s="35"/>
      <c r="C265" s="35" t="s">
        <v>715</v>
      </c>
      <c r="D265" s="38"/>
      <c r="E265" s="38"/>
      <c r="F265" s="38"/>
      <c r="G265" s="38"/>
      <c r="H265" s="38"/>
      <c r="I265" s="38"/>
      <c r="J265" s="38"/>
      <c r="K265" s="36"/>
      <c r="L265" s="36"/>
    </row>
    <row r="266" spans="2:12" x14ac:dyDescent="0.25">
      <c r="B266" s="35"/>
      <c r="C266" s="59"/>
      <c r="D266" s="57"/>
      <c r="E266" s="57"/>
      <c r="F266" s="57"/>
      <c r="G266" s="57"/>
      <c r="H266" s="57"/>
      <c r="I266" s="57"/>
      <c r="J266" s="57"/>
      <c r="K266" s="60"/>
      <c r="L266" s="36"/>
    </row>
    <row r="267" spans="2:12" x14ac:dyDescent="0.25">
      <c r="B267" s="35"/>
      <c r="C267" s="22" t="s">
        <v>612</v>
      </c>
      <c r="D267" s="24"/>
      <c r="E267" s="24"/>
      <c r="F267" s="24"/>
      <c r="G267" s="24"/>
      <c r="H267" s="24"/>
      <c r="I267" s="24"/>
      <c r="J267" s="24"/>
      <c r="K267" s="23"/>
      <c r="L267" s="36"/>
    </row>
    <row r="268" spans="2:12" x14ac:dyDescent="0.25">
      <c r="B268" s="35"/>
      <c r="C268" s="35"/>
      <c r="D268" s="38"/>
      <c r="E268" s="38"/>
      <c r="F268" s="38"/>
      <c r="G268" s="38"/>
      <c r="H268" s="38"/>
      <c r="I268" s="38"/>
      <c r="J268" s="38"/>
      <c r="K268" s="36"/>
      <c r="L268" s="36"/>
    </row>
    <row r="269" spans="2:12" x14ac:dyDescent="0.25">
      <c r="B269" s="35"/>
      <c r="C269" s="35" t="s">
        <v>710</v>
      </c>
      <c r="D269" s="38"/>
      <c r="E269" s="38"/>
      <c r="F269" s="38"/>
      <c r="G269" s="38"/>
      <c r="H269" s="38"/>
      <c r="I269" s="38"/>
      <c r="J269" s="38"/>
      <c r="K269" s="36"/>
      <c r="L269" s="36"/>
    </row>
    <row r="270" spans="2:12" x14ac:dyDescent="0.25">
      <c r="B270" s="35"/>
      <c r="C270" s="35" t="s">
        <v>707</v>
      </c>
      <c r="D270" s="38"/>
      <c r="E270" s="38"/>
      <c r="F270" s="38"/>
      <c r="G270" s="38"/>
      <c r="H270" s="38"/>
      <c r="I270" s="38"/>
      <c r="J270" s="38"/>
      <c r="K270" s="36"/>
      <c r="L270" s="36"/>
    </row>
    <row r="271" spans="2:12" ht="14.4" x14ac:dyDescent="0.3">
      <c r="B271" s="35"/>
      <c r="C271" s="35" t="s">
        <v>708</v>
      </c>
      <c r="D271" s="38"/>
      <c r="E271" s="38"/>
      <c r="F271" s="38"/>
      <c r="G271" s="327"/>
      <c r="H271" s="38"/>
      <c r="I271" s="38"/>
      <c r="J271" s="38"/>
      <c r="K271" s="36"/>
      <c r="L271" s="36"/>
    </row>
    <row r="272" spans="2:12" x14ac:dyDescent="0.25">
      <c r="B272" s="35"/>
      <c r="C272" s="35" t="s">
        <v>709</v>
      </c>
      <c r="D272" s="38"/>
      <c r="E272" s="38"/>
      <c r="F272" s="38"/>
      <c r="G272" s="38"/>
      <c r="H272" s="38"/>
      <c r="I272" s="38"/>
      <c r="J272" s="38"/>
      <c r="K272" s="36"/>
      <c r="L272" s="36"/>
    </row>
    <row r="273" spans="2:12" x14ac:dyDescent="0.25">
      <c r="B273" s="35"/>
      <c r="C273" s="35" t="s">
        <v>711</v>
      </c>
      <c r="D273" s="38"/>
      <c r="E273" s="38"/>
      <c r="F273" s="38"/>
      <c r="G273" s="38"/>
      <c r="H273" s="38"/>
      <c r="I273" s="38"/>
      <c r="J273" s="38"/>
      <c r="K273" s="36"/>
      <c r="L273" s="36"/>
    </row>
    <row r="274" spans="2:12" x14ac:dyDescent="0.25">
      <c r="B274" s="35"/>
      <c r="C274" s="59"/>
      <c r="D274" s="57"/>
      <c r="E274" s="57"/>
      <c r="F274" s="57"/>
      <c r="G274" s="57"/>
      <c r="H274" s="57"/>
      <c r="I274" s="57"/>
      <c r="J274" s="57"/>
      <c r="K274" s="60"/>
      <c r="L274" s="36"/>
    </row>
    <row r="275" spans="2:12" x14ac:dyDescent="0.25">
      <c r="B275" s="35"/>
      <c r="C275" s="22" t="s">
        <v>613</v>
      </c>
      <c r="D275" s="24"/>
      <c r="E275" s="24"/>
      <c r="F275" s="24"/>
      <c r="G275" s="24"/>
      <c r="H275" s="24"/>
      <c r="I275" s="24"/>
      <c r="J275" s="24"/>
      <c r="K275" s="23"/>
      <c r="L275" s="36"/>
    </row>
    <row r="276" spans="2:12" x14ac:dyDescent="0.25">
      <c r="B276" s="35"/>
      <c r="C276" s="35"/>
      <c r="D276" s="38"/>
      <c r="E276" s="38"/>
      <c r="F276" s="38"/>
      <c r="G276" s="38"/>
      <c r="H276" s="38"/>
      <c r="I276" s="38"/>
      <c r="J276" s="38"/>
      <c r="K276" s="36"/>
      <c r="L276" s="36"/>
    </row>
    <row r="277" spans="2:12" x14ac:dyDescent="0.25">
      <c r="B277" s="35"/>
      <c r="C277" s="35" t="s">
        <v>712</v>
      </c>
      <c r="D277" s="38"/>
      <c r="E277" s="38"/>
      <c r="F277" s="38"/>
      <c r="G277" s="38"/>
      <c r="H277" s="38"/>
      <c r="I277" s="38"/>
      <c r="J277" s="38"/>
      <c r="K277" s="36"/>
      <c r="L277" s="36"/>
    </row>
    <row r="278" spans="2:12" x14ac:dyDescent="0.25">
      <c r="B278" s="35"/>
      <c r="C278" s="35" t="s">
        <v>717</v>
      </c>
      <c r="D278" s="38"/>
      <c r="E278" s="38"/>
      <c r="F278" s="38"/>
      <c r="G278" s="38"/>
      <c r="H278" s="38"/>
      <c r="I278" s="38"/>
      <c r="J278" s="38"/>
      <c r="K278" s="36"/>
      <c r="L278" s="36"/>
    </row>
    <row r="279" spans="2:12" x14ac:dyDescent="0.25">
      <c r="B279" s="35"/>
      <c r="C279" s="59"/>
      <c r="D279" s="57"/>
      <c r="E279" s="57"/>
      <c r="F279" s="57"/>
      <c r="G279" s="57"/>
      <c r="H279" s="57"/>
      <c r="I279" s="57"/>
      <c r="J279" s="57"/>
      <c r="K279" s="60"/>
      <c r="L279" s="36"/>
    </row>
    <row r="280" spans="2:12" x14ac:dyDescent="0.25">
      <c r="B280" s="35"/>
      <c r="C280" s="24"/>
      <c r="D280" s="24"/>
      <c r="E280" s="24"/>
      <c r="F280" s="24"/>
      <c r="G280" s="24"/>
      <c r="H280" s="24"/>
      <c r="I280" s="24"/>
      <c r="J280" s="24"/>
      <c r="K280" s="24"/>
      <c r="L280" s="36"/>
    </row>
    <row r="281" spans="2:12" x14ac:dyDescent="0.25">
      <c r="B281" s="35"/>
      <c r="C281" s="38" t="s">
        <v>817</v>
      </c>
      <c r="D281" s="38"/>
      <c r="E281" s="38"/>
      <c r="F281" s="38"/>
      <c r="G281" s="38"/>
      <c r="H281" s="38"/>
      <c r="I281" s="38"/>
      <c r="J281" s="38"/>
      <c r="K281" s="38"/>
      <c r="L281" s="36"/>
    </row>
    <row r="282" spans="2:12" x14ac:dyDescent="0.25">
      <c r="B282" s="35"/>
      <c r="C282" s="38"/>
      <c r="D282" s="38"/>
      <c r="E282" s="38"/>
      <c r="F282" s="38"/>
      <c r="G282" s="38"/>
      <c r="H282" s="38"/>
      <c r="I282" s="38"/>
      <c r="J282" s="38"/>
      <c r="K282" s="38"/>
      <c r="L282" s="36"/>
    </row>
    <row r="283" spans="2:12" x14ac:dyDescent="0.25">
      <c r="B283" s="35"/>
      <c r="C283" s="209" t="s">
        <v>783</v>
      </c>
      <c r="D283" s="38"/>
      <c r="E283" s="38"/>
      <c r="F283" s="38"/>
      <c r="G283" s="38"/>
      <c r="H283" s="38"/>
      <c r="I283" s="38"/>
      <c r="J283" s="38"/>
      <c r="K283" s="38"/>
      <c r="L283" s="36"/>
    </row>
    <row r="284" spans="2:12" x14ac:dyDescent="0.25">
      <c r="B284" s="35"/>
      <c r="C284" s="22" t="s">
        <v>790</v>
      </c>
      <c r="D284" s="24"/>
      <c r="E284" s="24"/>
      <c r="F284" s="24"/>
      <c r="G284" s="24"/>
      <c r="H284" s="24"/>
      <c r="I284" s="24"/>
      <c r="J284" s="24"/>
      <c r="K284" s="23"/>
      <c r="L284" s="36"/>
    </row>
    <row r="285" spans="2:12" x14ac:dyDescent="0.25">
      <c r="B285" s="35"/>
      <c r="C285" s="35" t="s">
        <v>791</v>
      </c>
      <c r="D285" s="38"/>
      <c r="E285" s="38"/>
      <c r="F285" s="38"/>
      <c r="G285" s="38"/>
      <c r="H285" s="38"/>
      <c r="I285" s="38"/>
      <c r="J285" s="38"/>
      <c r="K285" s="36"/>
      <c r="L285" s="36"/>
    </row>
    <row r="286" spans="2:12" x14ac:dyDescent="0.25">
      <c r="B286" s="35"/>
      <c r="C286" s="35" t="s">
        <v>792</v>
      </c>
      <c r="D286" s="38"/>
      <c r="E286" s="38"/>
      <c r="F286" s="38"/>
      <c r="G286" s="38"/>
      <c r="H286" s="38"/>
      <c r="I286" s="38"/>
      <c r="J286" s="38"/>
      <c r="K286" s="36"/>
      <c r="L286" s="36"/>
    </row>
    <row r="287" spans="2:12" x14ac:dyDescent="0.25">
      <c r="B287" s="35"/>
      <c r="C287" s="35" t="s">
        <v>786</v>
      </c>
      <c r="D287" s="38"/>
      <c r="E287" s="38"/>
      <c r="F287" s="38"/>
      <c r="G287" s="38"/>
      <c r="H287" s="38"/>
      <c r="I287" s="38"/>
      <c r="J287" s="38"/>
      <c r="K287" s="36"/>
      <c r="L287" s="36"/>
    </row>
    <row r="288" spans="2:12" x14ac:dyDescent="0.25">
      <c r="B288" s="35"/>
      <c r="C288" s="35" t="s">
        <v>787</v>
      </c>
      <c r="D288" s="38"/>
      <c r="E288" s="38"/>
      <c r="F288" s="38"/>
      <c r="G288" s="38"/>
      <c r="H288" s="38"/>
      <c r="I288" s="38"/>
      <c r="J288" s="38"/>
      <c r="K288" s="36"/>
      <c r="L288" s="36"/>
    </row>
    <row r="289" spans="2:12" x14ac:dyDescent="0.25">
      <c r="B289" s="35"/>
      <c r="C289" s="35"/>
      <c r="D289" s="38" t="s">
        <v>794</v>
      </c>
      <c r="E289" s="38"/>
      <c r="F289" s="38"/>
      <c r="G289" s="38"/>
      <c r="H289" s="38"/>
      <c r="I289" s="38"/>
      <c r="J289" s="38"/>
      <c r="K289" s="36"/>
      <c r="L289" s="36"/>
    </row>
    <row r="290" spans="2:12" x14ac:dyDescent="0.25">
      <c r="B290" s="35"/>
      <c r="C290" s="35"/>
      <c r="D290" s="38" t="s">
        <v>795</v>
      </c>
      <c r="E290" s="38"/>
      <c r="F290" s="38"/>
      <c r="G290" s="38"/>
      <c r="H290" s="38"/>
      <c r="I290" s="38"/>
      <c r="J290" s="38"/>
      <c r="K290" s="36"/>
      <c r="L290" s="36"/>
    </row>
    <row r="291" spans="2:12" x14ac:dyDescent="0.25">
      <c r="B291" s="35"/>
      <c r="C291" s="35"/>
      <c r="D291" s="38" t="s">
        <v>785</v>
      </c>
      <c r="E291" s="38"/>
      <c r="F291" s="38"/>
      <c r="G291" s="38"/>
      <c r="H291" s="38"/>
      <c r="I291" s="38"/>
      <c r="J291" s="38"/>
      <c r="K291" s="36"/>
      <c r="L291" s="36"/>
    </row>
    <row r="292" spans="2:12" x14ac:dyDescent="0.25">
      <c r="B292" s="35"/>
      <c r="C292" s="35"/>
      <c r="D292" s="38" t="s">
        <v>784</v>
      </c>
      <c r="E292" s="38"/>
      <c r="F292" s="38"/>
      <c r="G292" s="38"/>
      <c r="H292" s="38"/>
      <c r="I292" s="38"/>
      <c r="J292" s="38"/>
      <c r="K292" s="36"/>
      <c r="L292" s="36"/>
    </row>
    <row r="293" spans="2:12" x14ac:dyDescent="0.25">
      <c r="B293" s="35"/>
      <c r="C293" s="35"/>
      <c r="D293" s="38" t="s">
        <v>788</v>
      </c>
      <c r="E293" s="38"/>
      <c r="F293" s="38"/>
      <c r="G293" s="38"/>
      <c r="H293" s="38"/>
      <c r="I293" s="38"/>
      <c r="J293" s="38"/>
      <c r="K293" s="36"/>
      <c r="L293" s="36"/>
    </row>
    <row r="294" spans="2:12" x14ac:dyDescent="0.25">
      <c r="B294" s="35"/>
      <c r="C294" s="35"/>
      <c r="D294" s="38" t="s">
        <v>789</v>
      </c>
      <c r="E294" s="38"/>
      <c r="F294" s="38"/>
      <c r="G294" s="38"/>
      <c r="H294" s="38"/>
      <c r="I294" s="38"/>
      <c r="J294" s="38"/>
      <c r="K294" s="36"/>
      <c r="L294" s="36"/>
    </row>
    <row r="295" spans="2:12" x14ac:dyDescent="0.25">
      <c r="B295" s="35"/>
      <c r="C295" s="35"/>
      <c r="D295" s="38" t="s">
        <v>796</v>
      </c>
      <c r="E295" s="38"/>
      <c r="F295" s="38"/>
      <c r="G295" s="38"/>
      <c r="H295" s="38"/>
      <c r="I295" s="38"/>
      <c r="J295" s="38"/>
      <c r="K295" s="36"/>
      <c r="L295" s="36"/>
    </row>
    <row r="296" spans="2:12" x14ac:dyDescent="0.25">
      <c r="B296" s="35"/>
      <c r="C296" s="35" t="s">
        <v>793</v>
      </c>
      <c r="D296" s="38"/>
      <c r="E296" s="38"/>
      <c r="F296" s="38"/>
      <c r="G296" s="38"/>
      <c r="H296" s="38"/>
      <c r="I296" s="38"/>
      <c r="J296" s="38"/>
      <c r="K296" s="36"/>
      <c r="L296" s="36"/>
    </row>
    <row r="297" spans="2:12" x14ac:dyDescent="0.25">
      <c r="B297" s="35"/>
      <c r="C297" s="35" t="s">
        <v>798</v>
      </c>
      <c r="D297" s="38"/>
      <c r="E297" s="38"/>
      <c r="F297" s="38"/>
      <c r="G297" s="38"/>
      <c r="H297" s="38"/>
      <c r="I297" s="38"/>
      <c r="J297" s="38"/>
      <c r="K297" s="36"/>
      <c r="L297" s="36"/>
    </row>
    <row r="298" spans="2:12" x14ac:dyDescent="0.25">
      <c r="B298" s="35"/>
      <c r="C298" s="35" t="s">
        <v>797</v>
      </c>
      <c r="D298" s="38"/>
      <c r="E298" s="38"/>
      <c r="F298" s="38"/>
      <c r="G298" s="38"/>
      <c r="H298" s="38"/>
      <c r="I298" s="38"/>
      <c r="J298" s="38"/>
      <c r="K298" s="36"/>
      <c r="L298" s="36"/>
    </row>
    <row r="299" spans="2:12" x14ac:dyDescent="0.25">
      <c r="B299" s="35"/>
      <c r="C299" s="35" t="s">
        <v>799</v>
      </c>
      <c r="D299" s="38"/>
      <c r="E299" s="38"/>
      <c r="F299" s="38"/>
      <c r="G299" s="38"/>
      <c r="H299" s="38"/>
      <c r="I299" s="38"/>
      <c r="J299" s="38"/>
      <c r="K299" s="36"/>
      <c r="L299" s="36"/>
    </row>
    <row r="300" spans="2:12" x14ac:dyDescent="0.25">
      <c r="B300" s="35"/>
      <c r="C300" s="59"/>
      <c r="D300" s="57"/>
      <c r="E300" s="57"/>
      <c r="F300" s="57"/>
      <c r="G300" s="57"/>
      <c r="H300" s="57"/>
      <c r="I300" s="57"/>
      <c r="J300" s="57"/>
      <c r="K300" s="60"/>
      <c r="L300" s="36"/>
    </row>
    <row r="301" spans="2:12" x14ac:dyDescent="0.25">
      <c r="B301" s="35"/>
      <c r="C301" s="38"/>
      <c r="D301" s="38"/>
      <c r="E301" s="38"/>
      <c r="F301" s="38"/>
      <c r="G301" s="38"/>
      <c r="H301" s="38"/>
      <c r="I301" s="38"/>
      <c r="J301" s="38"/>
      <c r="K301" s="38"/>
      <c r="L301" s="36"/>
    </row>
    <row r="302" spans="2:12" x14ac:dyDescent="0.25">
      <c r="B302" s="35"/>
      <c r="C302" s="209" t="s">
        <v>480</v>
      </c>
      <c r="D302" s="38"/>
      <c r="E302" s="38"/>
      <c r="F302" s="38"/>
      <c r="G302" s="38"/>
      <c r="H302" s="38"/>
      <c r="I302" s="38"/>
      <c r="J302" s="38"/>
      <c r="K302" s="38"/>
      <c r="L302" s="36"/>
    </row>
    <row r="303" spans="2:12" x14ac:dyDescent="0.25">
      <c r="B303" s="35"/>
      <c r="C303" s="22" t="s">
        <v>718</v>
      </c>
      <c r="D303" s="24"/>
      <c r="E303" s="24"/>
      <c r="F303" s="24"/>
      <c r="G303" s="24"/>
      <c r="H303" s="24"/>
      <c r="I303" s="24"/>
      <c r="J303" s="24"/>
      <c r="K303" s="23"/>
      <c r="L303" s="36"/>
    </row>
    <row r="304" spans="2:12" x14ac:dyDescent="0.25">
      <c r="B304" s="35"/>
      <c r="C304" s="35" t="s">
        <v>719</v>
      </c>
      <c r="D304" s="38"/>
      <c r="E304" s="38"/>
      <c r="F304" s="38"/>
      <c r="G304" s="38"/>
      <c r="H304" s="38"/>
      <c r="I304" s="38"/>
      <c r="J304" s="38"/>
      <c r="K304" s="36"/>
      <c r="L304" s="36"/>
    </row>
    <row r="305" spans="2:12" x14ac:dyDescent="0.25">
      <c r="B305" s="35"/>
      <c r="C305" s="35" t="s">
        <v>720</v>
      </c>
      <c r="D305" s="38"/>
      <c r="E305" s="38"/>
      <c r="F305" s="38"/>
      <c r="G305" s="38"/>
      <c r="H305" s="38"/>
      <c r="I305" s="38"/>
      <c r="J305" s="38"/>
      <c r="K305" s="36"/>
      <c r="L305" s="36"/>
    </row>
    <row r="306" spans="2:12" x14ac:dyDescent="0.25">
      <c r="B306" s="35"/>
      <c r="C306" s="35"/>
      <c r="D306" s="38"/>
      <c r="E306" s="38"/>
      <c r="F306" s="38"/>
      <c r="G306" s="38"/>
      <c r="H306" s="38"/>
      <c r="I306" s="38"/>
      <c r="J306" s="38"/>
      <c r="K306" s="36"/>
      <c r="L306" s="36"/>
    </row>
    <row r="307" spans="2:12" x14ac:dyDescent="0.25">
      <c r="B307" s="35"/>
      <c r="C307" s="35" t="s">
        <v>723</v>
      </c>
      <c r="D307" s="38"/>
      <c r="E307" s="38"/>
      <c r="F307" s="38"/>
      <c r="G307" s="38"/>
      <c r="H307" s="38"/>
      <c r="I307" s="38"/>
      <c r="J307" s="38"/>
      <c r="K307" s="36"/>
      <c r="L307" s="36"/>
    </row>
    <row r="308" spans="2:12" x14ac:dyDescent="0.25">
      <c r="B308" s="35"/>
      <c r="C308" s="35" t="s">
        <v>721</v>
      </c>
      <c r="D308" s="38"/>
      <c r="E308" s="38"/>
      <c r="F308" s="38"/>
      <c r="G308" s="38"/>
      <c r="H308" s="38"/>
      <c r="I308" s="38"/>
      <c r="J308" s="38"/>
      <c r="K308" s="36"/>
      <c r="L308" s="36"/>
    </row>
    <row r="309" spans="2:12" x14ac:dyDescent="0.25">
      <c r="B309" s="35"/>
      <c r="C309" s="59"/>
      <c r="D309" s="57"/>
      <c r="E309" s="57"/>
      <c r="F309" s="57"/>
      <c r="G309" s="57"/>
      <c r="H309" s="57"/>
      <c r="I309" s="57"/>
      <c r="J309" s="57"/>
      <c r="K309" s="60"/>
      <c r="L309" s="36"/>
    </row>
    <row r="310" spans="2:12" x14ac:dyDescent="0.25">
      <c r="B310" s="35"/>
      <c r="C310" s="38"/>
      <c r="D310" s="38"/>
      <c r="E310" s="38"/>
      <c r="F310" s="38"/>
      <c r="G310" s="38"/>
      <c r="H310" s="38"/>
      <c r="I310" s="38"/>
      <c r="J310" s="38"/>
      <c r="K310" s="38"/>
      <c r="L310" s="36"/>
    </row>
    <row r="311" spans="2:12" x14ac:dyDescent="0.25">
      <c r="B311" s="35"/>
      <c r="C311" s="342" t="s">
        <v>476</v>
      </c>
      <c r="D311" s="38"/>
      <c r="E311" s="38"/>
      <c r="F311" s="38"/>
      <c r="G311" s="38"/>
      <c r="H311" s="38"/>
      <c r="I311" s="38"/>
      <c r="J311" s="38"/>
      <c r="K311" s="38"/>
      <c r="L311" s="36"/>
    </row>
    <row r="312" spans="2:12" x14ac:dyDescent="0.25">
      <c r="B312" s="35"/>
      <c r="C312" s="328" t="s">
        <v>501</v>
      </c>
      <c r="D312" s="24"/>
      <c r="E312" s="24"/>
      <c r="F312" s="24"/>
      <c r="G312" s="24"/>
      <c r="H312" s="24"/>
      <c r="I312" s="24"/>
      <c r="J312" s="24"/>
      <c r="K312" s="23"/>
      <c r="L312" s="36"/>
    </row>
    <row r="313" spans="2:12" x14ac:dyDescent="0.25">
      <c r="B313" s="35"/>
      <c r="C313" s="35" t="s">
        <v>724</v>
      </c>
      <c r="D313" s="38"/>
      <c r="E313" s="38"/>
      <c r="F313" s="38"/>
      <c r="G313" s="38"/>
      <c r="H313" s="38"/>
      <c r="I313" s="38"/>
      <c r="J313" s="38"/>
      <c r="K313" s="36"/>
      <c r="L313" s="36"/>
    </row>
    <row r="314" spans="2:12" x14ac:dyDescent="0.25">
      <c r="B314" s="35"/>
      <c r="C314" s="35" t="s">
        <v>800</v>
      </c>
      <c r="D314" s="38"/>
      <c r="E314" s="38"/>
      <c r="F314" s="38"/>
      <c r="G314" s="38"/>
      <c r="H314" s="38"/>
      <c r="I314" s="38"/>
      <c r="J314" s="38"/>
      <c r="K314" s="36"/>
      <c r="L314" s="36"/>
    </row>
    <row r="315" spans="2:12" x14ac:dyDescent="0.25">
      <c r="B315" s="35"/>
      <c r="C315" s="35" t="s">
        <v>801</v>
      </c>
      <c r="D315" s="38"/>
      <c r="E315" s="38"/>
      <c r="F315" s="38"/>
      <c r="G315" s="38"/>
      <c r="H315" s="38"/>
      <c r="I315" s="38"/>
      <c r="J315" s="38"/>
      <c r="K315" s="36"/>
      <c r="L315" s="36"/>
    </row>
    <row r="316" spans="2:12" x14ac:dyDescent="0.25">
      <c r="B316" s="35"/>
      <c r="C316" s="35"/>
      <c r="D316" s="38"/>
      <c r="E316" s="38"/>
      <c r="F316" s="38"/>
      <c r="G316" s="38"/>
      <c r="H316" s="38"/>
      <c r="I316" s="38"/>
      <c r="J316" s="38"/>
      <c r="K316" s="36"/>
      <c r="L316" s="36"/>
    </row>
    <row r="317" spans="2:12" x14ac:dyDescent="0.25">
      <c r="B317" s="35"/>
      <c r="C317" s="329" t="s">
        <v>469</v>
      </c>
      <c r="D317" s="38"/>
      <c r="E317" s="38"/>
      <c r="F317" s="38"/>
      <c r="G317" s="38"/>
      <c r="H317" s="38"/>
      <c r="I317" s="38"/>
      <c r="J317" s="38"/>
      <c r="K317" s="36"/>
      <c r="L317" s="36"/>
    </row>
    <row r="318" spans="2:12" x14ac:dyDescent="0.25">
      <c r="B318" s="35"/>
      <c r="C318" s="35" t="s">
        <v>725</v>
      </c>
      <c r="D318" s="38"/>
      <c r="E318" s="38"/>
      <c r="F318" s="38"/>
      <c r="G318" s="38"/>
      <c r="H318" s="38"/>
      <c r="I318" s="38"/>
      <c r="J318" s="38"/>
      <c r="K318" s="36"/>
      <c r="L318" s="36"/>
    </row>
    <row r="319" spans="2:12" x14ac:dyDescent="0.25">
      <c r="B319" s="35"/>
      <c r="C319" s="35" t="s">
        <v>758</v>
      </c>
      <c r="D319" s="38"/>
      <c r="E319" s="38"/>
      <c r="F319" s="38"/>
      <c r="G319" s="38"/>
      <c r="H319" s="38"/>
      <c r="I319" s="38"/>
      <c r="J319" s="38"/>
      <c r="K319" s="36"/>
      <c r="L319" s="36"/>
    </row>
    <row r="320" spans="2:12" x14ac:dyDescent="0.25">
      <c r="B320" s="35"/>
      <c r="C320" s="35" t="s">
        <v>759</v>
      </c>
      <c r="D320" s="38"/>
      <c r="E320" s="38"/>
      <c r="F320" s="38"/>
      <c r="G320" s="38"/>
      <c r="H320" s="38"/>
      <c r="I320" s="38"/>
      <c r="J320" s="38"/>
      <c r="K320" s="36"/>
      <c r="L320" s="36"/>
    </row>
    <row r="321" spans="2:12" x14ac:dyDescent="0.25">
      <c r="B321" s="35"/>
      <c r="C321" s="35" t="s">
        <v>760</v>
      </c>
      <c r="D321" s="38"/>
      <c r="E321" s="38"/>
      <c r="F321" s="38"/>
      <c r="G321" s="38"/>
      <c r="H321" s="38"/>
      <c r="I321" s="38"/>
      <c r="J321" s="38"/>
      <c r="K321" s="36"/>
      <c r="L321" s="36"/>
    </row>
    <row r="322" spans="2:12" x14ac:dyDescent="0.25">
      <c r="B322" s="35"/>
      <c r="C322" s="35" t="s">
        <v>761</v>
      </c>
      <c r="D322" s="38"/>
      <c r="E322" s="38"/>
      <c r="F322" s="38"/>
      <c r="G322" s="38"/>
      <c r="H322" s="38"/>
      <c r="I322" s="38"/>
      <c r="J322" s="38"/>
      <c r="K322" s="36"/>
      <c r="L322" s="36"/>
    </row>
    <row r="323" spans="2:12" x14ac:dyDescent="0.25">
      <c r="B323" s="35"/>
      <c r="C323" s="35" t="s">
        <v>818</v>
      </c>
      <c r="D323" s="38"/>
      <c r="E323" s="38"/>
      <c r="F323" s="38"/>
      <c r="G323" s="38"/>
      <c r="H323" s="38"/>
      <c r="I323" s="38"/>
      <c r="J323" s="38"/>
      <c r="K323" s="36"/>
      <c r="L323" s="36"/>
    </row>
    <row r="324" spans="2:12" x14ac:dyDescent="0.25">
      <c r="B324" s="35"/>
      <c r="C324" s="35" t="s">
        <v>757</v>
      </c>
      <c r="D324" s="38"/>
      <c r="E324" s="38"/>
      <c r="F324" s="38"/>
      <c r="G324" s="38"/>
      <c r="H324" s="38"/>
      <c r="I324" s="38"/>
      <c r="J324" s="38"/>
      <c r="K324" s="36"/>
      <c r="L324" s="36"/>
    </row>
    <row r="325" spans="2:12" x14ac:dyDescent="0.25">
      <c r="B325" s="35"/>
      <c r="C325" s="35" t="s">
        <v>819</v>
      </c>
      <c r="D325" s="38"/>
      <c r="E325" s="38"/>
      <c r="F325" s="38"/>
      <c r="G325" s="38"/>
      <c r="H325" s="38"/>
      <c r="I325" s="38"/>
      <c r="J325" s="38"/>
      <c r="K325" s="36"/>
      <c r="L325" s="36"/>
    </row>
    <row r="326" spans="2:12" x14ac:dyDescent="0.25">
      <c r="B326" s="35"/>
      <c r="C326" s="59"/>
      <c r="D326" s="57"/>
      <c r="E326" s="57"/>
      <c r="F326" s="57"/>
      <c r="G326" s="57"/>
      <c r="H326" s="57"/>
      <c r="I326" s="57"/>
      <c r="J326" s="57"/>
      <c r="K326" s="60"/>
      <c r="L326" s="36"/>
    </row>
    <row r="327" spans="2:12" x14ac:dyDescent="0.25">
      <c r="B327" s="35"/>
      <c r="C327" s="38"/>
      <c r="D327" s="38"/>
      <c r="E327" s="38"/>
      <c r="F327" s="38"/>
      <c r="G327" s="38"/>
      <c r="H327" s="38"/>
      <c r="I327" s="38"/>
      <c r="J327" s="38"/>
      <c r="K327" s="38"/>
      <c r="L327" s="36"/>
    </row>
    <row r="328" spans="2:12" x14ac:dyDescent="0.25">
      <c r="B328" s="35"/>
      <c r="C328" s="342" t="s">
        <v>474</v>
      </c>
      <c r="D328" s="38"/>
      <c r="E328" s="38"/>
      <c r="F328" s="38"/>
      <c r="G328" s="38"/>
      <c r="H328" s="38"/>
      <c r="I328" s="38"/>
      <c r="J328" s="38"/>
      <c r="K328" s="38"/>
      <c r="L328" s="36"/>
    </row>
    <row r="329" spans="2:12" x14ac:dyDescent="0.25">
      <c r="B329" s="35"/>
      <c r="C329" s="328" t="s">
        <v>294</v>
      </c>
      <c r="D329" s="24"/>
      <c r="E329" s="24"/>
      <c r="F329" s="24"/>
      <c r="G329" s="24"/>
      <c r="H329" s="24"/>
      <c r="I329" s="24"/>
      <c r="J329" s="24"/>
      <c r="K329" s="23"/>
      <c r="L329" s="36"/>
    </row>
    <row r="330" spans="2:12" x14ac:dyDescent="0.25">
      <c r="B330" s="35"/>
      <c r="C330" s="35" t="s">
        <v>727</v>
      </c>
      <c r="D330" s="38"/>
      <c r="E330" s="38"/>
      <c r="F330" s="38"/>
      <c r="G330" s="38"/>
      <c r="H330" s="38"/>
      <c r="I330" s="38"/>
      <c r="J330" s="38"/>
      <c r="K330" s="36"/>
      <c r="L330" s="36"/>
    </row>
    <row r="331" spans="2:12" x14ac:dyDescent="0.25">
      <c r="B331" s="35"/>
      <c r="C331" s="35" t="s">
        <v>766</v>
      </c>
      <c r="D331" s="38"/>
      <c r="E331" s="38"/>
      <c r="F331" s="38"/>
      <c r="G331" s="38"/>
      <c r="H331" s="38"/>
      <c r="I331" s="38"/>
      <c r="J331" s="38"/>
      <c r="K331" s="36"/>
      <c r="L331" s="36"/>
    </row>
    <row r="332" spans="2:12" x14ac:dyDescent="0.25">
      <c r="B332" s="35"/>
      <c r="C332" s="35" t="s">
        <v>767</v>
      </c>
      <c r="D332" s="38"/>
      <c r="E332" s="38"/>
      <c r="F332" s="38"/>
      <c r="G332" s="38"/>
      <c r="H332" s="38"/>
      <c r="I332" s="38"/>
      <c r="J332" s="38"/>
      <c r="K332" s="36"/>
      <c r="L332" s="36"/>
    </row>
    <row r="333" spans="2:12" x14ac:dyDescent="0.25">
      <c r="B333" s="35"/>
      <c r="C333" s="35" t="s">
        <v>728</v>
      </c>
      <c r="D333" s="38"/>
      <c r="E333" s="38"/>
      <c r="F333" s="38"/>
      <c r="G333" s="38"/>
      <c r="H333" s="38"/>
      <c r="I333" s="38"/>
      <c r="J333" s="38"/>
      <c r="K333" s="36"/>
      <c r="L333" s="36"/>
    </row>
    <row r="334" spans="2:12" x14ac:dyDescent="0.25">
      <c r="B334" s="35"/>
      <c r="C334" s="35" t="s">
        <v>726</v>
      </c>
      <c r="D334" s="38"/>
      <c r="E334" s="38"/>
      <c r="F334" s="38"/>
      <c r="G334" s="38"/>
      <c r="H334" s="38"/>
      <c r="I334" s="38"/>
      <c r="J334" s="38"/>
      <c r="K334" s="36"/>
      <c r="L334" s="36"/>
    </row>
    <row r="335" spans="2:12" x14ac:dyDescent="0.25">
      <c r="B335" s="35"/>
      <c r="C335" s="35" t="s">
        <v>768</v>
      </c>
      <c r="D335" s="38"/>
      <c r="E335" s="38"/>
      <c r="F335" s="38"/>
      <c r="G335" s="38"/>
      <c r="H335" s="38"/>
      <c r="I335" s="38"/>
      <c r="J335" s="38"/>
      <c r="K335" s="36"/>
      <c r="L335" s="36"/>
    </row>
    <row r="336" spans="2:12" x14ac:dyDescent="0.25">
      <c r="B336" s="35"/>
      <c r="C336" s="35" t="s">
        <v>729</v>
      </c>
      <c r="D336" s="38"/>
      <c r="E336" s="38"/>
      <c r="F336" s="38"/>
      <c r="G336" s="38"/>
      <c r="H336" s="38"/>
      <c r="I336" s="38"/>
      <c r="J336" s="38"/>
      <c r="K336" s="36"/>
      <c r="L336" s="36"/>
    </row>
    <row r="337" spans="2:12" x14ac:dyDescent="0.25">
      <c r="B337" s="35"/>
      <c r="C337" s="35" t="s">
        <v>733</v>
      </c>
      <c r="D337" s="38"/>
      <c r="E337" s="38"/>
      <c r="F337" s="38"/>
      <c r="G337" s="38"/>
      <c r="H337" s="38"/>
      <c r="I337" s="38"/>
      <c r="J337" s="38"/>
      <c r="K337" s="36"/>
      <c r="L337" s="36"/>
    </row>
    <row r="338" spans="2:12" x14ac:dyDescent="0.25">
      <c r="B338" s="35"/>
      <c r="C338" s="35" t="s">
        <v>769</v>
      </c>
      <c r="D338" s="38"/>
      <c r="E338" s="38"/>
      <c r="F338" s="38"/>
      <c r="G338" s="38"/>
      <c r="H338" s="38"/>
      <c r="I338" s="38"/>
      <c r="J338" s="38"/>
      <c r="K338" s="36"/>
      <c r="L338" s="36"/>
    </row>
    <row r="339" spans="2:12" x14ac:dyDescent="0.25">
      <c r="B339" s="35"/>
      <c r="C339" s="35" t="s">
        <v>734</v>
      </c>
      <c r="D339" s="38"/>
      <c r="E339" s="38"/>
      <c r="F339" s="38"/>
      <c r="G339" s="38"/>
      <c r="H339" s="38"/>
      <c r="I339" s="38"/>
      <c r="J339" s="38"/>
      <c r="K339" s="36"/>
      <c r="L339" s="36"/>
    </row>
    <row r="340" spans="2:12" x14ac:dyDescent="0.25">
      <c r="B340" s="35"/>
      <c r="C340" s="35" t="s">
        <v>730</v>
      </c>
      <c r="D340" s="38"/>
      <c r="E340" s="38"/>
      <c r="F340" s="38"/>
      <c r="G340" s="38"/>
      <c r="H340" s="38"/>
      <c r="I340" s="38"/>
      <c r="J340" s="38"/>
      <c r="K340" s="36"/>
      <c r="L340" s="36"/>
    </row>
    <row r="341" spans="2:12" x14ac:dyDescent="0.25">
      <c r="B341" s="35"/>
      <c r="C341" s="35" t="s">
        <v>731</v>
      </c>
      <c r="D341" s="38"/>
      <c r="E341" s="38"/>
      <c r="F341" s="38"/>
      <c r="G341" s="38"/>
      <c r="H341" s="38"/>
      <c r="I341" s="38"/>
      <c r="J341" s="38"/>
      <c r="K341" s="36"/>
      <c r="L341" s="36"/>
    </row>
    <row r="342" spans="2:12" x14ac:dyDescent="0.25">
      <c r="B342" s="35"/>
      <c r="C342" s="35" t="s">
        <v>735</v>
      </c>
      <c r="D342" s="38"/>
      <c r="E342" s="38"/>
      <c r="F342" s="38"/>
      <c r="G342" s="38"/>
      <c r="H342" s="38"/>
      <c r="I342" s="38"/>
      <c r="J342" s="38"/>
      <c r="K342" s="36"/>
      <c r="L342" s="36"/>
    </row>
    <row r="343" spans="2:12" x14ac:dyDescent="0.25">
      <c r="B343" s="35"/>
      <c r="C343" s="35" t="s">
        <v>732</v>
      </c>
      <c r="D343" s="38"/>
      <c r="E343" s="38"/>
      <c r="F343" s="38"/>
      <c r="G343" s="38"/>
      <c r="H343" s="38"/>
      <c r="I343" s="38"/>
      <c r="J343" s="38"/>
      <c r="K343" s="36"/>
      <c r="L343" s="36"/>
    </row>
    <row r="344" spans="2:12" x14ac:dyDescent="0.25">
      <c r="B344" s="35"/>
      <c r="C344" s="35" t="s">
        <v>770</v>
      </c>
      <c r="D344" s="38"/>
      <c r="E344" s="38"/>
      <c r="F344" s="38"/>
      <c r="G344" s="38"/>
      <c r="H344" s="38"/>
      <c r="I344" s="38"/>
      <c r="J344" s="38"/>
      <c r="K344" s="36"/>
      <c r="L344" s="36"/>
    </row>
    <row r="345" spans="2:12" x14ac:dyDescent="0.25">
      <c r="B345" s="35"/>
      <c r="C345" s="35"/>
      <c r="D345" s="38"/>
      <c r="E345" s="38"/>
      <c r="F345" s="38"/>
      <c r="G345" s="38"/>
      <c r="H345" s="38"/>
      <c r="I345" s="38"/>
      <c r="J345" s="38"/>
      <c r="K345" s="36"/>
      <c r="L345" s="36"/>
    </row>
    <row r="346" spans="2:12" x14ac:dyDescent="0.25">
      <c r="B346" s="35"/>
      <c r="C346" s="329" t="s">
        <v>309</v>
      </c>
      <c r="D346" s="38"/>
      <c r="E346" s="38"/>
      <c r="F346" s="38"/>
      <c r="G346" s="38"/>
      <c r="H346" s="38"/>
      <c r="I346" s="38"/>
      <c r="J346" s="38"/>
      <c r="K346" s="36"/>
      <c r="L346" s="36"/>
    </row>
    <row r="347" spans="2:12" x14ac:dyDescent="0.25">
      <c r="B347" s="35"/>
      <c r="C347" s="35" t="s">
        <v>737</v>
      </c>
      <c r="D347" s="38"/>
      <c r="E347" s="38"/>
      <c r="F347" s="38"/>
      <c r="G347" s="38"/>
      <c r="H347" s="38"/>
      <c r="I347" s="38"/>
      <c r="J347" s="38"/>
      <c r="K347" s="36"/>
      <c r="L347" s="36"/>
    </row>
    <row r="348" spans="2:12" x14ac:dyDescent="0.25">
      <c r="B348" s="35"/>
      <c r="C348" s="35" t="s">
        <v>736</v>
      </c>
      <c r="D348" s="38"/>
      <c r="E348" s="38"/>
      <c r="F348" s="38"/>
      <c r="G348" s="38"/>
      <c r="H348" s="38"/>
      <c r="I348" s="38"/>
      <c r="J348" s="38"/>
      <c r="K348" s="36"/>
      <c r="L348" s="36"/>
    </row>
    <row r="349" spans="2:12" x14ac:dyDescent="0.25">
      <c r="B349" s="35"/>
      <c r="C349" s="59"/>
      <c r="D349" s="57"/>
      <c r="E349" s="57"/>
      <c r="F349" s="57"/>
      <c r="G349" s="57"/>
      <c r="H349" s="57"/>
      <c r="I349" s="57"/>
      <c r="J349" s="57"/>
      <c r="K349" s="60"/>
      <c r="L349" s="36"/>
    </row>
    <row r="350" spans="2:12" x14ac:dyDescent="0.25">
      <c r="B350" s="35"/>
      <c r="C350" s="38"/>
      <c r="D350" s="38"/>
      <c r="E350" s="38"/>
      <c r="F350" s="38"/>
      <c r="G350" s="38"/>
      <c r="H350" s="38"/>
      <c r="I350" s="38"/>
      <c r="J350" s="38"/>
      <c r="K350" s="38"/>
      <c r="L350" s="36"/>
    </row>
    <row r="351" spans="2:12" x14ac:dyDescent="0.25">
      <c r="B351" s="35"/>
      <c r="C351" s="342" t="s">
        <v>475</v>
      </c>
      <c r="D351" s="38"/>
      <c r="E351" s="38"/>
      <c r="F351" s="38"/>
      <c r="G351" s="38"/>
      <c r="H351" s="38"/>
      <c r="I351" s="38"/>
      <c r="J351" s="38"/>
      <c r="K351" s="38"/>
      <c r="L351" s="36"/>
    </row>
    <row r="352" spans="2:12" x14ac:dyDescent="0.25">
      <c r="B352" s="35"/>
      <c r="C352" s="22" t="s">
        <v>738</v>
      </c>
      <c r="D352" s="24"/>
      <c r="E352" s="24"/>
      <c r="F352" s="24"/>
      <c r="G352" s="24"/>
      <c r="H352" s="24"/>
      <c r="I352" s="24"/>
      <c r="J352" s="24"/>
      <c r="K352" s="23"/>
      <c r="L352" s="36"/>
    </row>
    <row r="353" spans="2:12" x14ac:dyDescent="0.25">
      <c r="B353" s="35"/>
      <c r="C353" s="35" t="s">
        <v>771</v>
      </c>
      <c r="D353" s="38"/>
      <c r="E353" s="38"/>
      <c r="F353" s="38"/>
      <c r="G353" s="38"/>
      <c r="H353" s="38"/>
      <c r="I353" s="38"/>
      <c r="J353" s="38"/>
      <c r="K353" s="36"/>
      <c r="L353" s="36"/>
    </row>
    <row r="354" spans="2:12" x14ac:dyDescent="0.25">
      <c r="B354" s="35"/>
      <c r="C354" s="35" t="s">
        <v>739</v>
      </c>
      <c r="D354" s="38"/>
      <c r="E354" s="38"/>
      <c r="F354" s="38"/>
      <c r="G354" s="38"/>
      <c r="H354" s="38"/>
      <c r="I354" s="38"/>
      <c r="J354" s="38"/>
      <c r="K354" s="36"/>
      <c r="L354" s="36"/>
    </row>
    <row r="355" spans="2:12" x14ac:dyDescent="0.25">
      <c r="B355" s="35"/>
      <c r="C355" s="35" t="s">
        <v>820</v>
      </c>
      <c r="D355" s="38"/>
      <c r="E355" s="38"/>
      <c r="F355" s="38"/>
      <c r="G355" s="38"/>
      <c r="H355" s="38"/>
      <c r="I355" s="38"/>
      <c r="J355" s="38"/>
      <c r="K355" s="36"/>
      <c r="L355" s="36"/>
    </row>
    <row r="356" spans="2:12" x14ac:dyDescent="0.25">
      <c r="B356" s="35"/>
      <c r="C356" s="59"/>
      <c r="D356" s="57"/>
      <c r="E356" s="57"/>
      <c r="F356" s="57"/>
      <c r="G356" s="57"/>
      <c r="H356" s="57"/>
      <c r="I356" s="57"/>
      <c r="J356" s="57"/>
      <c r="K356" s="60"/>
      <c r="L356" s="36"/>
    </row>
    <row r="357" spans="2:12" x14ac:dyDescent="0.25">
      <c r="B357" s="35"/>
      <c r="C357" s="38"/>
      <c r="D357" s="38"/>
      <c r="E357" s="38"/>
      <c r="F357" s="38"/>
      <c r="G357" s="38"/>
      <c r="H357" s="38"/>
      <c r="I357" s="38"/>
      <c r="J357" s="38"/>
      <c r="K357" s="38"/>
      <c r="L357" s="36"/>
    </row>
    <row r="358" spans="2:12" x14ac:dyDescent="0.25">
      <c r="B358" s="35"/>
      <c r="C358" s="342" t="s">
        <v>477</v>
      </c>
      <c r="D358" s="38"/>
      <c r="E358" s="38"/>
      <c r="F358" s="38"/>
      <c r="G358" s="38"/>
      <c r="H358" s="38"/>
      <c r="I358" s="38"/>
      <c r="J358" s="38"/>
      <c r="K358" s="38"/>
      <c r="L358" s="36"/>
    </row>
    <row r="359" spans="2:12" x14ac:dyDescent="0.25">
      <c r="B359" s="35"/>
      <c r="C359" s="22" t="s">
        <v>740</v>
      </c>
      <c r="D359" s="24"/>
      <c r="E359" s="24"/>
      <c r="F359" s="24"/>
      <c r="G359" s="24"/>
      <c r="H359" s="24"/>
      <c r="I359" s="24"/>
      <c r="J359" s="24"/>
      <c r="K359" s="23"/>
      <c r="L359" s="36"/>
    </row>
    <row r="360" spans="2:12" x14ac:dyDescent="0.25">
      <c r="B360" s="35"/>
      <c r="C360" s="35" t="s">
        <v>741</v>
      </c>
      <c r="D360" s="38"/>
      <c r="E360" s="38"/>
      <c r="F360" s="38"/>
      <c r="G360" s="38"/>
      <c r="H360" s="38"/>
      <c r="I360" s="38"/>
      <c r="J360" s="38"/>
      <c r="K360" s="36"/>
      <c r="L360" s="36"/>
    </row>
    <row r="361" spans="2:12" x14ac:dyDescent="0.25">
      <c r="B361" s="35"/>
      <c r="C361" s="35" t="s">
        <v>742</v>
      </c>
      <c r="D361" s="38"/>
      <c r="E361" s="38"/>
      <c r="F361" s="38"/>
      <c r="G361" s="38"/>
      <c r="H361" s="38"/>
      <c r="I361" s="38"/>
      <c r="J361" s="38"/>
      <c r="K361" s="36"/>
      <c r="L361" s="36"/>
    </row>
    <row r="362" spans="2:12" x14ac:dyDescent="0.25">
      <c r="B362" s="35"/>
      <c r="C362" s="35" t="s">
        <v>743</v>
      </c>
      <c r="D362" s="38"/>
      <c r="E362" s="38"/>
      <c r="F362" s="38"/>
      <c r="G362" s="38"/>
      <c r="H362" s="38"/>
      <c r="I362" s="38"/>
      <c r="J362" s="38"/>
      <c r="K362" s="36"/>
      <c r="L362" s="36"/>
    </row>
    <row r="363" spans="2:12" x14ac:dyDescent="0.25">
      <c r="B363" s="35"/>
      <c r="C363" s="35" t="s">
        <v>744</v>
      </c>
      <c r="D363" s="38"/>
      <c r="E363" s="38"/>
      <c r="F363" s="38"/>
      <c r="G363" s="38"/>
      <c r="H363" s="38"/>
      <c r="I363" s="38"/>
      <c r="J363" s="38"/>
      <c r="K363" s="36"/>
      <c r="L363" s="36"/>
    </row>
    <row r="364" spans="2:12" x14ac:dyDescent="0.25">
      <c r="B364" s="35"/>
      <c r="C364" s="35" t="s">
        <v>745</v>
      </c>
      <c r="D364" s="38"/>
      <c r="E364" s="38"/>
      <c r="F364" s="38"/>
      <c r="G364" s="38"/>
      <c r="H364" s="38"/>
      <c r="I364" s="38"/>
      <c r="J364" s="38"/>
      <c r="K364" s="36"/>
      <c r="L364" s="36"/>
    </row>
    <row r="365" spans="2:12" x14ac:dyDescent="0.25">
      <c r="B365" s="35"/>
      <c r="C365" s="35" t="s">
        <v>747</v>
      </c>
      <c r="D365" s="38"/>
      <c r="E365" s="38"/>
      <c r="F365" s="38"/>
      <c r="G365" s="38"/>
      <c r="H365" s="38"/>
      <c r="I365" s="38"/>
      <c r="J365" s="38"/>
      <c r="K365" s="36"/>
      <c r="L365" s="36"/>
    </row>
    <row r="366" spans="2:12" x14ac:dyDescent="0.25">
      <c r="B366" s="35"/>
      <c r="C366" s="35"/>
      <c r="D366" s="38"/>
      <c r="E366" s="38"/>
      <c r="F366" s="38"/>
      <c r="G366" s="38"/>
      <c r="H366" s="38"/>
      <c r="I366" s="38"/>
      <c r="J366" s="38"/>
      <c r="K366" s="36"/>
      <c r="L366" s="36"/>
    </row>
    <row r="367" spans="2:12" x14ac:dyDescent="0.25">
      <c r="B367" s="35"/>
      <c r="C367" s="35" t="s">
        <v>746</v>
      </c>
      <c r="D367" s="38"/>
      <c r="E367" s="38"/>
      <c r="F367" s="38"/>
      <c r="G367" s="38"/>
      <c r="H367" s="38"/>
      <c r="I367" s="38"/>
      <c r="J367" s="38"/>
      <c r="K367" s="36"/>
      <c r="L367" s="36"/>
    </row>
    <row r="368" spans="2:12" x14ac:dyDescent="0.25">
      <c r="B368" s="35"/>
      <c r="C368" s="35" t="s">
        <v>748</v>
      </c>
      <c r="D368" s="38"/>
      <c r="E368" s="38"/>
      <c r="F368" s="38"/>
      <c r="G368" s="38"/>
      <c r="H368" s="38"/>
      <c r="I368" s="38"/>
      <c r="J368" s="38"/>
      <c r="K368" s="36"/>
      <c r="L368" s="36"/>
    </row>
    <row r="369" spans="2:12" x14ac:dyDescent="0.25">
      <c r="B369" s="35"/>
      <c r="C369" s="35"/>
      <c r="D369" s="38"/>
      <c r="E369" s="38"/>
      <c r="F369" s="38"/>
      <c r="G369" s="38"/>
      <c r="H369" s="38"/>
      <c r="I369" s="38"/>
      <c r="J369" s="38"/>
      <c r="K369" s="36"/>
      <c r="L369" s="36"/>
    </row>
    <row r="370" spans="2:12" x14ac:dyDescent="0.25">
      <c r="B370" s="35"/>
      <c r="C370" s="35" t="s">
        <v>749</v>
      </c>
      <c r="D370" s="38"/>
      <c r="E370" s="38"/>
      <c r="F370" s="38"/>
      <c r="G370" s="38"/>
      <c r="H370" s="38"/>
      <c r="I370" s="38"/>
      <c r="J370" s="38"/>
      <c r="K370" s="36"/>
      <c r="L370" s="36"/>
    </row>
    <row r="371" spans="2:12" x14ac:dyDescent="0.25">
      <c r="B371" s="35"/>
      <c r="C371" s="35" t="s">
        <v>802</v>
      </c>
      <c r="D371" s="38"/>
      <c r="E371" s="38"/>
      <c r="F371" s="38"/>
      <c r="G371" s="38"/>
      <c r="H371" s="38"/>
      <c r="I371" s="38"/>
      <c r="J371" s="38"/>
      <c r="K371" s="36"/>
      <c r="L371" s="36"/>
    </row>
    <row r="372" spans="2:12" x14ac:dyDescent="0.25">
      <c r="B372" s="35"/>
      <c r="C372" s="59"/>
      <c r="D372" s="57"/>
      <c r="E372" s="57"/>
      <c r="F372" s="57"/>
      <c r="G372" s="57"/>
      <c r="H372" s="57"/>
      <c r="I372" s="57"/>
      <c r="J372" s="57"/>
      <c r="K372" s="60"/>
      <c r="L372" s="36"/>
    </row>
    <row r="373" spans="2:12" x14ac:dyDescent="0.25">
      <c r="B373" s="35"/>
      <c r="C373" s="38"/>
      <c r="D373" s="38"/>
      <c r="E373" s="38"/>
      <c r="F373" s="38"/>
      <c r="G373" s="38"/>
      <c r="H373" s="38"/>
      <c r="I373" s="38"/>
      <c r="J373" s="38"/>
      <c r="K373" s="38"/>
      <c r="L373" s="36"/>
    </row>
    <row r="374" spans="2:12" x14ac:dyDescent="0.25">
      <c r="B374" s="35"/>
      <c r="C374" s="342" t="s">
        <v>478</v>
      </c>
      <c r="D374" s="38"/>
      <c r="E374" s="38"/>
      <c r="F374" s="38"/>
      <c r="G374" s="38"/>
      <c r="H374" s="38"/>
      <c r="I374" s="38"/>
      <c r="J374" s="38"/>
      <c r="K374" s="38"/>
      <c r="L374" s="36"/>
    </row>
    <row r="375" spans="2:12" x14ac:dyDescent="0.25">
      <c r="B375" s="35"/>
      <c r="C375" s="22" t="s">
        <v>750</v>
      </c>
      <c r="D375" s="24"/>
      <c r="E375" s="24"/>
      <c r="F375" s="24"/>
      <c r="G375" s="24"/>
      <c r="H375" s="24"/>
      <c r="I375" s="24"/>
      <c r="J375" s="24"/>
      <c r="K375" s="23"/>
      <c r="L375" s="36"/>
    </row>
    <row r="376" spans="2:12" x14ac:dyDescent="0.25">
      <c r="B376" s="35"/>
      <c r="C376" s="35" t="s">
        <v>803</v>
      </c>
      <c r="D376" s="38"/>
      <c r="E376" s="38"/>
      <c r="F376" s="38"/>
      <c r="G376" s="38"/>
      <c r="H376" s="38"/>
      <c r="I376" s="38"/>
      <c r="J376" s="38"/>
      <c r="K376" s="36"/>
      <c r="L376" s="36"/>
    </row>
    <row r="377" spans="2:12" x14ac:dyDescent="0.25">
      <c r="B377" s="35"/>
      <c r="C377" s="35" t="s">
        <v>821</v>
      </c>
      <c r="D377" s="38"/>
      <c r="E377" s="38"/>
      <c r="F377" s="38"/>
      <c r="G377" s="38"/>
      <c r="H377" s="38"/>
      <c r="I377" s="38"/>
      <c r="J377" s="38"/>
      <c r="K377" s="36"/>
      <c r="L377" s="36"/>
    </row>
    <row r="378" spans="2:12" x14ac:dyDescent="0.25">
      <c r="B378" s="35"/>
      <c r="C378" s="35" t="s">
        <v>804</v>
      </c>
      <c r="D378" s="38"/>
      <c r="E378" s="38"/>
      <c r="F378" s="38"/>
      <c r="G378" s="38"/>
      <c r="H378" s="38"/>
      <c r="I378" s="38"/>
      <c r="J378" s="38"/>
      <c r="K378" s="36"/>
      <c r="L378" s="36"/>
    </row>
    <row r="379" spans="2:12" x14ac:dyDescent="0.25">
      <c r="B379" s="35"/>
      <c r="C379" s="35" t="s">
        <v>751</v>
      </c>
      <c r="D379" s="38"/>
      <c r="E379" s="38"/>
      <c r="F379" s="38"/>
      <c r="G379" s="38"/>
      <c r="H379" s="38"/>
      <c r="I379" s="38"/>
      <c r="J379" s="38"/>
      <c r="K379" s="36"/>
      <c r="L379" s="36"/>
    </row>
    <row r="380" spans="2:12" x14ac:dyDescent="0.25">
      <c r="B380" s="35"/>
      <c r="C380" s="35" t="s">
        <v>822</v>
      </c>
      <c r="D380" s="38"/>
      <c r="E380" s="38"/>
      <c r="F380" s="38"/>
      <c r="G380" s="38"/>
      <c r="H380" s="38"/>
      <c r="I380" s="38"/>
      <c r="J380" s="38"/>
      <c r="K380" s="36"/>
      <c r="L380" s="36"/>
    </row>
    <row r="381" spans="2:12" x14ac:dyDescent="0.25">
      <c r="B381" s="35"/>
      <c r="C381" s="35" t="s">
        <v>752</v>
      </c>
      <c r="D381" s="38"/>
      <c r="E381" s="38"/>
      <c r="F381" s="38"/>
      <c r="G381" s="38"/>
      <c r="H381" s="38"/>
      <c r="I381" s="38"/>
      <c r="J381" s="38"/>
      <c r="K381" s="36"/>
      <c r="L381" s="36"/>
    </row>
    <row r="382" spans="2:12" x14ac:dyDescent="0.25">
      <c r="B382" s="35"/>
      <c r="C382" s="35" t="s">
        <v>805</v>
      </c>
      <c r="D382" s="38"/>
      <c r="E382" s="38"/>
      <c r="F382" s="38"/>
      <c r="G382" s="38"/>
      <c r="H382" s="38"/>
      <c r="I382" s="38"/>
      <c r="J382" s="38"/>
      <c r="K382" s="36"/>
      <c r="L382" s="36"/>
    </row>
    <row r="383" spans="2:12" x14ac:dyDescent="0.25">
      <c r="B383" s="35"/>
      <c r="C383" s="59"/>
      <c r="D383" s="57"/>
      <c r="E383" s="57"/>
      <c r="F383" s="57"/>
      <c r="G383" s="57"/>
      <c r="H383" s="57"/>
      <c r="I383" s="57"/>
      <c r="J383" s="57"/>
      <c r="K383" s="60"/>
      <c r="L383" s="36"/>
    </row>
    <row r="384" spans="2:12" x14ac:dyDescent="0.25">
      <c r="B384" s="35"/>
      <c r="C384" s="38"/>
      <c r="D384" s="38"/>
      <c r="E384" s="38"/>
      <c r="F384" s="38"/>
      <c r="G384" s="38"/>
      <c r="H384" s="38"/>
      <c r="I384" s="38"/>
      <c r="J384" s="38"/>
      <c r="K384" s="38"/>
      <c r="L384" s="36"/>
    </row>
    <row r="385" spans="2:12" x14ac:dyDescent="0.25">
      <c r="B385" s="35"/>
      <c r="C385" s="342" t="s">
        <v>479</v>
      </c>
      <c r="D385" s="38"/>
      <c r="E385" s="38"/>
      <c r="F385" s="38"/>
      <c r="G385" s="38"/>
      <c r="H385" s="38"/>
      <c r="I385" s="38"/>
      <c r="J385" s="38"/>
      <c r="K385" s="38"/>
      <c r="L385" s="36"/>
    </row>
    <row r="386" spans="2:12" x14ac:dyDescent="0.25">
      <c r="B386" s="35"/>
      <c r="C386" s="22" t="s">
        <v>754</v>
      </c>
      <c r="D386" s="24"/>
      <c r="E386" s="24"/>
      <c r="F386" s="24"/>
      <c r="G386" s="24"/>
      <c r="H386" s="24"/>
      <c r="I386" s="24"/>
      <c r="J386" s="24"/>
      <c r="K386" s="23"/>
      <c r="L386" s="36"/>
    </row>
    <row r="387" spans="2:12" x14ac:dyDescent="0.25">
      <c r="B387" s="35"/>
      <c r="C387" s="35" t="s">
        <v>755</v>
      </c>
      <c r="D387" s="38"/>
      <c r="E387" s="38"/>
      <c r="F387" s="38"/>
      <c r="G387" s="38"/>
      <c r="H387" s="38"/>
      <c r="I387" s="38"/>
      <c r="J387" s="38"/>
      <c r="K387" s="36"/>
      <c r="L387" s="36"/>
    </row>
    <row r="388" spans="2:12" x14ac:dyDescent="0.25">
      <c r="B388" s="35"/>
      <c r="C388" s="35" t="s">
        <v>823</v>
      </c>
      <c r="D388" s="38"/>
      <c r="E388" s="38"/>
      <c r="F388" s="38"/>
      <c r="G388" s="38"/>
      <c r="H388" s="38"/>
      <c r="I388" s="38"/>
      <c r="J388" s="38"/>
      <c r="K388" s="36"/>
      <c r="L388" s="36"/>
    </row>
    <row r="389" spans="2:12" x14ac:dyDescent="0.25">
      <c r="B389" s="35"/>
      <c r="C389" s="35" t="s">
        <v>756</v>
      </c>
      <c r="D389" s="38"/>
      <c r="E389" s="38"/>
      <c r="F389" s="38"/>
      <c r="G389" s="38"/>
      <c r="H389" s="38"/>
      <c r="I389" s="38"/>
      <c r="J389" s="38"/>
      <c r="K389" s="36"/>
      <c r="L389" s="36"/>
    </row>
    <row r="390" spans="2:12" x14ac:dyDescent="0.25">
      <c r="B390" s="35"/>
      <c r="C390" s="35" t="s">
        <v>807</v>
      </c>
      <c r="D390" s="38"/>
      <c r="E390" s="38"/>
      <c r="F390" s="38"/>
      <c r="G390" s="38"/>
      <c r="H390" s="38"/>
      <c r="I390" s="38"/>
      <c r="J390" s="38"/>
      <c r="K390" s="36"/>
      <c r="L390" s="36"/>
    </row>
    <row r="391" spans="2:12" x14ac:dyDescent="0.25">
      <c r="B391" s="35"/>
      <c r="C391" s="35" t="s">
        <v>806</v>
      </c>
      <c r="D391" s="38"/>
      <c r="E391" s="38"/>
      <c r="F391" s="38"/>
      <c r="G391" s="38"/>
      <c r="H391" s="38"/>
      <c r="I391" s="38"/>
      <c r="J391" s="38"/>
      <c r="K391" s="36"/>
      <c r="L391" s="36"/>
    </row>
    <row r="392" spans="2:12" x14ac:dyDescent="0.25">
      <c r="B392" s="35"/>
      <c r="C392" s="35" t="s">
        <v>808</v>
      </c>
      <c r="D392" s="38"/>
      <c r="E392" s="38"/>
      <c r="F392" s="38"/>
      <c r="G392" s="38"/>
      <c r="H392" s="38"/>
      <c r="I392" s="38"/>
      <c r="J392" s="38"/>
      <c r="K392" s="36"/>
      <c r="L392" s="36"/>
    </row>
    <row r="393" spans="2:12" x14ac:dyDescent="0.25">
      <c r="B393" s="35"/>
      <c r="C393" s="35" t="s">
        <v>809</v>
      </c>
      <c r="D393" s="38"/>
      <c r="E393" s="38"/>
      <c r="F393" s="38"/>
      <c r="G393" s="38"/>
      <c r="H393" s="38"/>
      <c r="I393" s="38"/>
      <c r="J393" s="38"/>
      <c r="K393" s="36"/>
      <c r="L393" s="36"/>
    </row>
    <row r="394" spans="2:12" x14ac:dyDescent="0.25">
      <c r="B394" s="35"/>
      <c r="C394" s="35" t="s">
        <v>810</v>
      </c>
      <c r="D394" s="38"/>
      <c r="E394" s="38"/>
      <c r="F394" s="38"/>
      <c r="G394" s="38"/>
      <c r="H394" s="38"/>
      <c r="I394" s="38"/>
      <c r="J394" s="38"/>
      <c r="K394" s="36"/>
      <c r="L394" s="36"/>
    </row>
    <row r="395" spans="2:12" x14ac:dyDescent="0.25">
      <c r="B395" s="35"/>
      <c r="C395" s="35" t="s">
        <v>824</v>
      </c>
      <c r="D395" s="38"/>
      <c r="E395" s="38"/>
      <c r="F395" s="38"/>
      <c r="G395" s="38"/>
      <c r="H395" s="38"/>
      <c r="I395" s="38"/>
      <c r="J395" s="38"/>
      <c r="K395" s="36"/>
      <c r="L395" s="36"/>
    </row>
    <row r="396" spans="2:12" x14ac:dyDescent="0.25">
      <c r="B396" s="35"/>
      <c r="C396" s="35" t="s">
        <v>811</v>
      </c>
      <c r="D396" s="38"/>
      <c r="E396" s="38"/>
      <c r="F396" s="38"/>
      <c r="G396" s="38"/>
      <c r="H396" s="38"/>
      <c r="I396" s="38"/>
      <c r="J396" s="38"/>
      <c r="K396" s="36"/>
      <c r="L396" s="36"/>
    </row>
    <row r="397" spans="2:12" x14ac:dyDescent="0.25">
      <c r="B397" s="35"/>
      <c r="C397" s="35" t="s">
        <v>825</v>
      </c>
      <c r="D397" s="38"/>
      <c r="E397" s="38"/>
      <c r="F397" s="38"/>
      <c r="G397" s="38"/>
      <c r="H397" s="38"/>
      <c r="I397" s="38"/>
      <c r="J397" s="38"/>
      <c r="K397" s="36"/>
      <c r="L397" s="36"/>
    </row>
    <row r="398" spans="2:12" x14ac:dyDescent="0.25">
      <c r="B398" s="35"/>
      <c r="C398" s="35" t="s">
        <v>812</v>
      </c>
      <c r="D398" s="38"/>
      <c r="E398" s="38"/>
      <c r="F398" s="38"/>
      <c r="G398" s="38"/>
      <c r="H398" s="38"/>
      <c r="I398" s="38"/>
      <c r="J398" s="38"/>
      <c r="K398" s="36"/>
      <c r="L398" s="36"/>
    </row>
    <row r="399" spans="2:12" x14ac:dyDescent="0.25">
      <c r="B399" s="35"/>
      <c r="C399" s="59"/>
      <c r="D399" s="57"/>
      <c r="E399" s="57"/>
      <c r="F399" s="57"/>
      <c r="G399" s="57"/>
      <c r="H399" s="57"/>
      <c r="I399" s="57"/>
      <c r="J399" s="57"/>
      <c r="K399" s="60"/>
      <c r="L399" s="36"/>
    </row>
    <row r="400" spans="2:12" x14ac:dyDescent="0.25">
      <c r="B400" s="35"/>
      <c r="C400" s="38"/>
      <c r="D400" s="38"/>
      <c r="E400" s="38"/>
      <c r="F400" s="38"/>
      <c r="G400" s="38"/>
      <c r="H400" s="38"/>
      <c r="I400" s="38"/>
      <c r="J400" s="38"/>
      <c r="K400" s="38"/>
      <c r="L400" s="36"/>
    </row>
    <row r="401" spans="2:12" x14ac:dyDescent="0.25">
      <c r="B401" s="35"/>
      <c r="C401" s="38"/>
      <c r="D401" s="38"/>
      <c r="E401" s="38"/>
      <c r="F401" s="38"/>
      <c r="G401" s="38"/>
      <c r="H401" s="38"/>
      <c r="I401" s="38"/>
      <c r="J401" s="38"/>
      <c r="K401" s="38"/>
      <c r="L401" s="36"/>
    </row>
    <row r="402" spans="2:12" x14ac:dyDescent="0.25">
      <c r="B402" s="35"/>
      <c r="C402" s="38"/>
      <c r="D402" s="38"/>
      <c r="E402" s="38"/>
      <c r="F402" s="38"/>
      <c r="G402" s="38"/>
      <c r="H402" s="38"/>
      <c r="I402" s="38"/>
      <c r="J402" s="38"/>
      <c r="K402" s="38"/>
      <c r="L402" s="36"/>
    </row>
    <row r="403" spans="2:12" x14ac:dyDescent="0.25">
      <c r="B403" s="35"/>
      <c r="C403" s="38"/>
      <c r="D403" s="38"/>
      <c r="E403" s="38"/>
      <c r="F403" s="38"/>
      <c r="G403" s="38"/>
      <c r="H403" s="38"/>
      <c r="I403" s="38"/>
      <c r="J403" s="38"/>
      <c r="K403" s="38"/>
      <c r="L403" s="36"/>
    </row>
    <row r="404" spans="2:12" x14ac:dyDescent="0.25">
      <c r="B404" s="35"/>
      <c r="C404" s="38"/>
      <c r="D404" s="38"/>
      <c r="E404" s="38"/>
      <c r="F404" s="38"/>
      <c r="G404" s="38"/>
      <c r="H404" s="38"/>
      <c r="I404" s="38"/>
      <c r="J404" s="38"/>
      <c r="K404" s="38"/>
      <c r="L404" s="36"/>
    </row>
    <row r="405" spans="2:12" x14ac:dyDescent="0.25">
      <c r="B405" s="59"/>
      <c r="C405" s="57"/>
      <c r="D405" s="57"/>
      <c r="E405" s="57"/>
      <c r="F405" s="57"/>
      <c r="G405" s="57"/>
      <c r="H405" s="57"/>
      <c r="I405" s="57"/>
      <c r="J405" s="57"/>
      <c r="K405" s="57"/>
      <c r="L405" s="60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2017-10-12T03:34:14Z</dcterms:modified>
</cp:coreProperties>
</file>