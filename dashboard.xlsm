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C:\Users\charl\Documents\GitHub\RoadAnalytics\"/>
    </mc:Choice>
  </mc:AlternateContent>
  <bookViews>
    <workbookView xWindow="0" yWindow="0" windowWidth="23040" windowHeight="9492" activeTab="1"/>
  </bookViews>
  <sheets>
    <sheet name="PCS" sheetId="1" r:id="rId1"/>
    <sheet name="RONET" sheetId="9" r:id="rId2"/>
    <sheet name="Installation" sheetId="11" state="hidden" r:id="rId3"/>
    <sheet name="RONET_mirror" sheetId="10" state="hidden" r:id="rId4"/>
    <sheet name="AGGREGATE" sheetId="3" state="hidden" r:id="rId5"/>
    <sheet name="ROUGHNESS" sheetId="5" state="hidden" r:id="rId6"/>
    <sheet name="HAZARD" sheetId="4" state="hidden" r:id="rId7"/>
    <sheet name="POV" sheetId="7" state="hidden" r:id="rId8"/>
    <sheet name="CRITICALITY" sheetId="6" state="hidden" r:id="rId9"/>
    <sheet name="Ref" sheetId="2" state="hidden" r:id="rId10"/>
  </sheet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7" i="6" l="1"/>
  <c r="Q7" i="6"/>
  <c r="P8" i="6"/>
  <c r="Q8" i="6"/>
  <c r="P9" i="6"/>
  <c r="Q9" i="6"/>
  <c r="P10" i="6"/>
  <c r="Q10" i="6"/>
  <c r="Q6" i="6" l="1"/>
  <c r="P6" i="6"/>
  <c r="Q5" i="6"/>
  <c r="P5" i="6"/>
  <c r="Q4" i="6"/>
  <c r="P4" i="6"/>
  <c r="Q3" i="6"/>
  <c r="P3" i="6"/>
  <c r="Q2" i="6"/>
  <c r="P2" i="6"/>
  <c r="B3" i="6"/>
  <c r="C3" i="6"/>
  <c r="D3" i="6"/>
  <c r="E3" i="6"/>
  <c r="F3" i="6"/>
  <c r="G3" i="6"/>
  <c r="H3" i="6"/>
  <c r="B4" i="6"/>
  <c r="C4" i="6"/>
  <c r="D4" i="6"/>
  <c r="E4" i="6"/>
  <c r="F4" i="6"/>
  <c r="G4" i="6"/>
  <c r="H4" i="6"/>
  <c r="B5" i="6"/>
  <c r="C5" i="6"/>
  <c r="D5" i="6"/>
  <c r="E5" i="6"/>
  <c r="F5" i="6"/>
  <c r="G5" i="6"/>
  <c r="H5" i="6"/>
  <c r="B6" i="6"/>
  <c r="C6" i="6"/>
  <c r="D6" i="6"/>
  <c r="E6" i="6"/>
  <c r="F6" i="6"/>
  <c r="G6" i="6"/>
  <c r="H6" i="6"/>
  <c r="E3" i="9" l="1"/>
  <c r="B7" i="3"/>
  <c r="E5" i="9" l="1"/>
  <c r="C3" i="10" l="1"/>
  <c r="C4" i="10"/>
  <c r="C5" i="10"/>
  <c r="C2" i="10"/>
  <c r="E4" i="9" l="1"/>
  <c r="L3" i="10" l="1"/>
  <c r="M3" i="10"/>
  <c r="N3" i="10"/>
  <c r="O3" i="10"/>
  <c r="L4" i="10"/>
  <c r="M4" i="10"/>
  <c r="N4" i="10"/>
  <c r="O4" i="10"/>
  <c r="L5" i="10"/>
  <c r="M5" i="10"/>
  <c r="N5" i="10"/>
  <c r="O5" i="10"/>
  <c r="O2" i="10"/>
  <c r="N2" i="10"/>
  <c r="M2" i="10"/>
  <c r="L2" i="10"/>
  <c r="K3" i="10"/>
  <c r="K4" i="10"/>
  <c r="K5" i="10"/>
  <c r="K2" i="10"/>
  <c r="G3" i="10"/>
  <c r="H3" i="10"/>
  <c r="I3" i="10"/>
  <c r="G4" i="10"/>
  <c r="H4" i="10"/>
  <c r="I4" i="10"/>
  <c r="G5" i="10"/>
  <c r="H5" i="10"/>
  <c r="I5" i="10"/>
  <c r="J3" i="10"/>
  <c r="J4" i="10"/>
  <c r="J5" i="10"/>
  <c r="J2" i="10"/>
  <c r="I2" i="10"/>
  <c r="H2" i="10"/>
  <c r="G2" i="10"/>
  <c r="F3" i="10"/>
  <c r="F4" i="10"/>
  <c r="F5" i="10"/>
  <c r="F2" i="10"/>
  <c r="E3" i="10"/>
  <c r="E4" i="10"/>
  <c r="E5" i="10"/>
  <c r="E2" i="10"/>
  <c r="D3" i="10"/>
  <c r="D4" i="10"/>
  <c r="D5" i="10"/>
  <c r="D2" i="10"/>
  <c r="B3" i="10"/>
  <c r="B4" i="10"/>
  <c r="B5" i="10"/>
  <c r="B2" i="10"/>
  <c r="P3" i="10"/>
  <c r="P4" i="10"/>
  <c r="P5" i="10"/>
  <c r="P2" i="10"/>
  <c r="M3" i="6" l="1"/>
  <c r="N3" i="6"/>
  <c r="O3" i="6"/>
  <c r="M4" i="6"/>
  <c r="N4" i="6"/>
  <c r="O4" i="6"/>
  <c r="M5" i="6"/>
  <c r="N5" i="6"/>
  <c r="O5" i="6"/>
  <c r="M6" i="6"/>
  <c r="N6" i="6"/>
  <c r="O6" i="6"/>
  <c r="M7" i="6"/>
  <c r="N7" i="6"/>
  <c r="O7" i="6"/>
  <c r="N2" i="6"/>
  <c r="O2" i="6"/>
  <c r="M2" i="6"/>
  <c r="C3" i="5" l="1"/>
  <c r="C4" i="5"/>
  <c r="C5" i="5"/>
  <c r="C2" i="5"/>
  <c r="C2" i="7"/>
  <c r="D2" i="7"/>
  <c r="E2" i="7"/>
  <c r="B2" i="7" s="1"/>
  <c r="C3" i="7"/>
  <c r="D3" i="7"/>
  <c r="E3" i="7"/>
  <c r="B3" i="7" s="1"/>
  <c r="C4" i="7"/>
  <c r="D4" i="7"/>
  <c r="E4" i="7"/>
  <c r="B4" i="7" s="1"/>
  <c r="C5" i="7"/>
  <c r="D5" i="7"/>
  <c r="E5" i="7"/>
  <c r="B5" i="7" s="1"/>
  <c r="C6" i="7"/>
  <c r="D6" i="7"/>
  <c r="E6" i="7"/>
  <c r="B6" i="7" s="1"/>
  <c r="C7" i="7"/>
  <c r="D7" i="7"/>
  <c r="E7" i="7"/>
  <c r="B7" i="7" s="1"/>
  <c r="C8" i="7"/>
  <c r="D8" i="7"/>
  <c r="E8" i="7"/>
  <c r="B8" i="7" s="1"/>
  <c r="C9" i="7"/>
  <c r="D9" i="7"/>
  <c r="E9" i="7"/>
  <c r="B9" i="7" s="1"/>
  <c r="C10" i="7"/>
  <c r="D10" i="7"/>
  <c r="E10" i="7"/>
  <c r="B10" i="7" s="1"/>
  <c r="C11" i="7"/>
  <c r="D11" i="7"/>
  <c r="E11" i="7"/>
  <c r="B11" i="7" s="1"/>
  <c r="H2" i="6"/>
  <c r="L2" i="6" l="1"/>
  <c r="K2" i="6"/>
  <c r="J2" i="6"/>
  <c r="I2" i="6"/>
  <c r="E2" i="6"/>
  <c r="F2" i="6"/>
  <c r="G2" i="6"/>
  <c r="D2" i="6"/>
  <c r="C2" i="6"/>
  <c r="B2" i="6"/>
  <c r="K83" i="1" l="1"/>
  <c r="K82" i="1"/>
  <c r="K81" i="1"/>
  <c r="K80" i="1"/>
  <c r="M75" i="1"/>
  <c r="K75" i="1" s="1"/>
  <c r="D105" i="1"/>
  <c r="D111" i="1"/>
  <c r="F20" i="4"/>
  <c r="G20" i="4"/>
  <c r="H20" i="4"/>
  <c r="D59" i="1"/>
  <c r="F10" i="4" l="1"/>
  <c r="G10" i="4"/>
  <c r="H10" i="4"/>
  <c r="F11" i="4"/>
  <c r="G11" i="4"/>
  <c r="H11" i="4"/>
  <c r="F12" i="4"/>
  <c r="G12" i="4"/>
  <c r="H12" i="4"/>
  <c r="F3" i="4" l="1"/>
  <c r="G3" i="4"/>
  <c r="H3" i="4"/>
  <c r="F19" i="4"/>
  <c r="G19" i="4"/>
  <c r="H19" i="4"/>
  <c r="F13" i="4"/>
  <c r="G13" i="4"/>
  <c r="H13" i="4"/>
  <c r="F14" i="4"/>
  <c r="G14" i="4"/>
  <c r="H14" i="4"/>
  <c r="F15" i="4"/>
  <c r="G15" i="4"/>
  <c r="H15" i="4"/>
  <c r="F16" i="4"/>
  <c r="G16" i="4"/>
  <c r="H16" i="4"/>
  <c r="F17" i="4"/>
  <c r="G17" i="4"/>
  <c r="H17" i="4"/>
  <c r="F18" i="4"/>
  <c r="G18" i="4"/>
  <c r="H18" i="4"/>
  <c r="F4" i="4"/>
  <c r="G4" i="4"/>
  <c r="H4" i="4"/>
  <c r="F5" i="4"/>
  <c r="G5" i="4"/>
  <c r="H5" i="4"/>
  <c r="F6" i="4"/>
  <c r="G6" i="4"/>
  <c r="H6" i="4"/>
  <c r="F7" i="4"/>
  <c r="G7" i="4"/>
  <c r="H7" i="4"/>
  <c r="F8" i="4"/>
  <c r="G8" i="4"/>
  <c r="H8" i="4"/>
  <c r="F9" i="4"/>
  <c r="G9" i="4"/>
  <c r="H9" i="4"/>
  <c r="G2" i="4"/>
  <c r="H2" i="4"/>
  <c r="F2" i="4"/>
  <c r="C59" i="1" l="1"/>
  <c r="D24" i="1" l="1"/>
  <c r="C24" i="1" s="1"/>
  <c r="B3" i="3"/>
  <c r="B4" i="3"/>
  <c r="B5" i="3"/>
  <c r="B6" i="3"/>
  <c r="B2" i="3"/>
  <c r="M19" i="1"/>
  <c r="L20" i="1" s="1"/>
</calcChain>
</file>

<file path=xl/comments1.xml><?xml version="1.0" encoding="utf-8"?>
<comments xmlns="http://schemas.openxmlformats.org/spreadsheetml/2006/main">
  <authors>
    <author>Charles Fox</author>
  </authors>
  <commentList>
    <comment ref="B3" authorId="0" shapeId="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 ref="D3" authorId="0" shapeId="0">
      <text>
        <r>
          <rPr>
            <b/>
            <sz val="9"/>
            <color indexed="81"/>
            <rFont val="Tahoma"/>
            <family val="2"/>
          </rPr>
          <t>Charles Fox:</t>
        </r>
        <r>
          <rPr>
            <sz val="9"/>
            <color indexed="81"/>
            <rFont val="Tahoma"/>
            <family val="2"/>
          </rPr>
          <t xml:space="preserve">
make sure this cell includes a valid sub-folder name in 'Runtime' and 'Outputs'</t>
        </r>
      </text>
    </comment>
    <comment ref="F40" authorId="0" shapeId="0">
      <text>
        <r>
          <rPr>
            <b/>
            <sz val="9"/>
            <color indexed="81"/>
            <rFont val="Tahoma"/>
            <family val="2"/>
          </rPr>
          <t>Charles Fox:</t>
        </r>
        <r>
          <rPr>
            <sz val="9"/>
            <color indexed="81"/>
            <rFont val="Tahoma"/>
            <family val="2"/>
          </rPr>
          <t xml:space="preserve">
Value is wind speed in metres per second</t>
        </r>
      </text>
    </comment>
    <comment ref="F41" authorId="0" shapeId="0">
      <text>
        <r>
          <rPr>
            <b/>
            <sz val="9"/>
            <color indexed="81"/>
            <rFont val="Tahoma"/>
            <family val="2"/>
          </rPr>
          <t>Charles Fox:</t>
        </r>
        <r>
          <rPr>
            <sz val="9"/>
            <color indexed="81"/>
            <rFont val="Tahoma"/>
            <family val="2"/>
          </rPr>
          <t xml:space="preserve">
value is wind speed in metres per second</t>
        </r>
      </text>
    </comment>
    <comment ref="F51"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2"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3"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C63" authorId="0" shapeId="0">
      <text>
        <r>
          <rPr>
            <b/>
            <sz val="9"/>
            <color indexed="81"/>
            <rFont val="Tahoma"/>
            <family val="2"/>
          </rPr>
          <t>Charles Fox:</t>
        </r>
        <r>
          <rPr>
            <sz val="9"/>
            <color indexed="81"/>
            <rFont val="Tahoma"/>
            <family val="2"/>
          </rPr>
          <t xml:space="preserve">
for these layers, set the scalar column to 'Default'</t>
        </r>
      </text>
    </comment>
    <comment ref="C76"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76"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C84"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84"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E84" authorId="0" shapeId="0">
      <text>
        <r>
          <rPr>
            <b/>
            <sz val="9"/>
            <color indexed="81"/>
            <rFont val="Tahoma"/>
            <family val="2"/>
          </rPr>
          <t>Charles Fox:</t>
        </r>
        <r>
          <rPr>
            <sz val="9"/>
            <color indexed="81"/>
            <rFont val="Tahoma"/>
            <family val="2"/>
          </rPr>
          <t xml:space="preserve">
Penalty, added to disruption cost, for journeys that have to be cancelled due to road disruption</t>
        </r>
      </text>
    </comment>
    <comment ref="F84" authorId="0" shapeId="0">
      <text>
        <r>
          <rPr>
            <b/>
            <sz val="9"/>
            <color indexed="81"/>
            <rFont val="Tahoma"/>
            <family val="2"/>
          </rPr>
          <t>Charles Fox:</t>
        </r>
        <r>
          <rPr>
            <sz val="9"/>
            <color indexed="81"/>
            <rFont val="Tahoma"/>
            <family val="2"/>
          </rPr>
          <t xml:space="preserve">
Number of trips the average person makes to these destination types in a given year</t>
        </r>
      </text>
    </comment>
    <comment ref="G84" authorId="0" shapeId="0">
      <text>
        <r>
          <rPr>
            <b/>
            <sz val="9"/>
            <color indexed="81"/>
            <rFont val="Tahoma"/>
            <family val="2"/>
          </rPr>
          <t>Charles Fox:</t>
        </r>
        <r>
          <rPr>
            <sz val="9"/>
            <color indexed="81"/>
            <rFont val="Tahoma"/>
            <family val="2"/>
          </rPr>
          <t xml:space="preserve">
1 = distance less important e.g. trips to next town to sell / buy household items
5 = distance very important e.g. emergency trips to hospital</t>
        </r>
      </text>
    </comment>
    <comment ref="E102" authorId="0" shapeId="0">
      <text>
        <r>
          <rPr>
            <b/>
            <sz val="9"/>
            <color indexed="81"/>
            <rFont val="Tahoma"/>
            <family val="2"/>
          </rPr>
          <t>Charles Fox:</t>
        </r>
        <r>
          <rPr>
            <sz val="9"/>
            <color indexed="81"/>
            <rFont val="Tahoma"/>
            <family val="2"/>
          </rPr>
          <t xml:space="preserve">
factor contributing to per km cost of driving along the road</t>
        </r>
      </text>
    </comment>
    <comment ref="C109" authorId="0" shapeId="0">
      <text>
        <r>
          <rPr>
            <b/>
            <sz val="9"/>
            <color indexed="81"/>
            <rFont val="Tahoma"/>
            <family val="2"/>
          </rPr>
          <t>Charles Fox:</t>
        </r>
        <r>
          <rPr>
            <sz val="9"/>
            <color indexed="81"/>
            <rFont val="Tahoma"/>
            <family val="2"/>
          </rPr>
          <t xml:space="preserve">
USD cost of disruption to this road. Uses penalty value where trip can no longer be completed</t>
        </r>
      </text>
    </comment>
    <comment ref="C110" authorId="0" shapeId="0">
      <text>
        <r>
          <rPr>
            <b/>
            <sz val="9"/>
            <color indexed="81"/>
            <rFont val="Tahoma"/>
            <family val="2"/>
          </rPr>
          <t>Charles Fox:</t>
        </r>
        <r>
          <rPr>
            <sz val="9"/>
            <color indexed="81"/>
            <rFont val="Tahoma"/>
            <family val="2"/>
          </rPr>
          <t xml:space="preserve">
number of journeys that must be abandoned as a result of the removal of the road</t>
        </r>
      </text>
    </comment>
  </commentList>
</comments>
</file>

<file path=xl/comments2.xml><?xml version="1.0" encoding="utf-8"?>
<comments xmlns="http://schemas.openxmlformats.org/spreadsheetml/2006/main">
  <authors>
    <author>Charles Fox</author>
  </authors>
  <commentList>
    <comment ref="B3" authorId="0" shapeId="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List>
</comments>
</file>

<file path=xl/sharedStrings.xml><?xml version="1.0" encoding="utf-8"?>
<sst xmlns="http://schemas.openxmlformats.org/spreadsheetml/2006/main" count="576" uniqueCount="392">
  <si>
    <t>Proportion of people living in a house with solid roof</t>
  </si>
  <si>
    <t>roof_1cm</t>
  </si>
  <si>
    <t>Proportion of people living in a house with piped water</t>
  </si>
  <si>
    <t>water_1cm</t>
  </si>
  <si>
    <t>Proportion of ethnic minority population</t>
  </si>
  <si>
    <t>ethnic_cm</t>
  </si>
  <si>
    <t>pelderly_cm</t>
  </si>
  <si>
    <t>Proportion of elderly (above 60 years old)at commune level</t>
  </si>
  <si>
    <t>Proportion of children (below 15 years old) at commune level</t>
  </si>
  <si>
    <t>pchild_cm</t>
  </si>
  <si>
    <t>Average household size</t>
  </si>
  <si>
    <t>hhsize_cm</t>
  </si>
  <si>
    <t>Proportion of head of household with upper secondary or post secondary</t>
  </si>
  <si>
    <t>edchd_4cm</t>
  </si>
  <si>
    <t>Proportion of people living in a household with a motorbike</t>
  </si>
  <si>
    <t>dmotorbike_cm</t>
  </si>
  <si>
    <t>mean</t>
  </si>
  <si>
    <t>Per capita expenditure (thousand VND)</t>
  </si>
  <si>
    <t>toilet_1cm</t>
  </si>
  <si>
    <t>Proportion of people living in a house with other types of toilet</t>
  </si>
  <si>
    <t>Proportion of people living in a house with solid wall</t>
  </si>
  <si>
    <t>wall_1cm</t>
  </si>
  <si>
    <t>Proportion of people living in a house with semi-solid wall</t>
  </si>
  <si>
    <t>wall_2cm</t>
  </si>
  <si>
    <t>Proportion of people living in a house with semi-solid roof</t>
  </si>
  <si>
    <t>roof_2cm</t>
  </si>
  <si>
    <t>Proportion of people living in a house with well protected or deep well</t>
  </si>
  <si>
    <t>water_2cm</t>
  </si>
  <si>
    <t>Proportion of people living in a house with flush toilet</t>
  </si>
  <si>
    <t>toilet_2cm</t>
  </si>
  <si>
    <t xml:space="preserve">Proportion of household heads with primary degree </t>
  </si>
  <si>
    <t>edchd_2cm</t>
  </si>
  <si>
    <t>Proportion of household head with lower-secondary</t>
  </si>
  <si>
    <t>edchd_3cm</t>
  </si>
  <si>
    <t>livingareapc</t>
  </si>
  <si>
    <t>Proportion of people living in a household with a television</t>
  </si>
  <si>
    <t>dtivi_cm</t>
  </si>
  <si>
    <t>Proportion of people living in a household with a computer</t>
  </si>
  <si>
    <t>dcomputer_cm</t>
  </si>
  <si>
    <t>Proportion of people living in a household with a fridge</t>
  </si>
  <si>
    <t>dfridge_cm</t>
  </si>
  <si>
    <t>Proportion of people living in a household with a telephone</t>
  </si>
  <si>
    <t>ddeskphone_cm</t>
  </si>
  <si>
    <t>Proportion of member not working in household at commune level</t>
  </si>
  <si>
    <t>pnotworking_cm</t>
  </si>
  <si>
    <t>Proportion of member working in household sector in household at commune level</t>
  </si>
  <si>
    <t>phouseholdwork_cm</t>
  </si>
  <si>
    <t>Proportion of member working in private sector in household at commune level</t>
  </si>
  <si>
    <t>pprivatework_cm</t>
  </si>
  <si>
    <t>Proportion of member working in state office in household at commune level</t>
  </si>
  <si>
    <t>pstatework_cm</t>
  </si>
  <si>
    <t>Total population in commune</t>
  </si>
  <si>
    <t>nindividuals</t>
  </si>
  <si>
    <t>Standard error of Per capita expenditure (thousand VND)</t>
  </si>
  <si>
    <t>stderr</t>
  </si>
  <si>
    <t>Proportion of expenditure poor (poverty rate)</t>
  </si>
  <si>
    <t>avg_fgt0</t>
  </si>
  <si>
    <t>Poverty gap index</t>
  </si>
  <si>
    <t>avg_fgt1</t>
  </si>
  <si>
    <t>Poverty severity index</t>
  </si>
  <si>
    <t>avg_fgt2</t>
  </si>
  <si>
    <t>Gini coefficient</t>
  </si>
  <si>
    <t>avg_gini</t>
  </si>
  <si>
    <t>Expenditure percentiles 90th/10th</t>
  </si>
  <si>
    <t>avg_r1090</t>
  </si>
  <si>
    <t>Expenditure percentiles 95th/5th</t>
  </si>
  <si>
    <t>avg_r595</t>
  </si>
  <si>
    <t>Theil GE(0) index</t>
  </si>
  <si>
    <t>avg_ge0</t>
  </si>
  <si>
    <t>Theil GE(1) index</t>
  </si>
  <si>
    <t>avg_ge1</t>
  </si>
  <si>
    <t>Theil GE(2) index</t>
  </si>
  <si>
    <t>avg_ge2</t>
  </si>
  <si>
    <t>Weighting</t>
  </si>
  <si>
    <t>A</t>
  </si>
  <si>
    <t>B</t>
  </si>
  <si>
    <t>C</t>
  </si>
  <si>
    <t>D</t>
  </si>
  <si>
    <t>Average per capita living area (m2)</t>
  </si>
  <si>
    <t>GOST: Spatial Context Score V1</t>
  </si>
  <si>
    <t>Risk Layer</t>
  </si>
  <si>
    <t>Typhoon - 100 year return period event</t>
  </si>
  <si>
    <t>Typhoon - 200 year return period event</t>
  </si>
  <si>
    <t>Earthquake - 475 year return period event</t>
  </si>
  <si>
    <t>Extreme Heat - 5 year return period event</t>
  </si>
  <si>
    <t>Extreme Heat - 20 year return period event</t>
  </si>
  <si>
    <t>Extreme Heat - 100 year return period event</t>
  </si>
  <si>
    <t>WildFire - 2 year return period event</t>
  </si>
  <si>
    <t>WildFire - 10 year return period event</t>
  </si>
  <si>
    <t>WildFire - 30 year return period event</t>
  </si>
  <si>
    <t>Project Context Score - Component Weighting</t>
  </si>
  <si>
    <t>1.) Poverty Score</t>
  </si>
  <si>
    <t>2.) Risk Score</t>
  </si>
  <si>
    <t>PCS Component</t>
  </si>
  <si>
    <t>3.) Criticality Score</t>
  </si>
  <si>
    <t>Total</t>
  </si>
  <si>
    <t>Povcomp1</t>
  </si>
  <si>
    <t>Povcomp2</t>
  </si>
  <si>
    <t>Povcomp3</t>
  </si>
  <si>
    <t>Povcomp4</t>
  </si>
  <si>
    <t>Povcomp5</t>
  </si>
  <si>
    <t>Povcomp6</t>
  </si>
  <si>
    <t>Povcomp7</t>
  </si>
  <si>
    <t>Povcomp8</t>
  </si>
  <si>
    <t>Povcomp9</t>
  </si>
  <si>
    <t>Povcomp10</t>
  </si>
  <si>
    <t>PCS_POV</t>
  </si>
  <si>
    <t>PCS_RISK</t>
  </si>
  <si>
    <t>PCS_CRIT</t>
  </si>
  <si>
    <t>PCS_ACCESS</t>
  </si>
  <si>
    <t>PCS_ROUGH</t>
  </si>
  <si>
    <t>Relative or Abs</t>
  </si>
  <si>
    <t>Relative</t>
  </si>
  <si>
    <t>Some layers will be 'Relative' - that is, the units do not hold meaning beyond an intensity value. As such, the 'score' for each road</t>
  </si>
  <si>
    <t>Choose the weightings on our pre-loaded risk layers. Adjust the weightings to represent how much more damaging one type of disaster</t>
  </si>
  <si>
    <t>is versus another. A high weighting contributes more to the Risk Score.</t>
  </si>
  <si>
    <t xml:space="preserve">Some layers have the option to be 'Absolute' - e.g. the flood layers - and the values describe flood depths. Here, if a layer is Absolute, </t>
  </si>
  <si>
    <t>Layers for which the intensity value is unitless will be set to 'Relative' and cannot be changed, e.g. Wildfires</t>
  </si>
  <si>
    <t>RASTER</t>
  </si>
  <si>
    <t>PATH</t>
  </si>
  <si>
    <t>MIN</t>
  </si>
  <si>
    <t>MAX</t>
  </si>
  <si>
    <t>REL_ABS</t>
  </si>
  <si>
    <t>WEIGHT</t>
  </si>
  <si>
    <t>NAME</t>
  </si>
  <si>
    <t>VALUE_DEF</t>
  </si>
  <si>
    <t>ABS_VAL</t>
  </si>
  <si>
    <t>Canadian Fire Weather Index - compound indicator</t>
  </si>
  <si>
    <t>Wind gust speed in meters per second (m/s) per return period</t>
  </si>
  <si>
    <t>Depth in metres of flood event</t>
  </si>
  <si>
    <t>Fluvial Flood - 5 year return period event</t>
  </si>
  <si>
    <t>Pluvial Flood - 5 year return period event</t>
  </si>
  <si>
    <t>Coastal Flood  - 5 year return period event</t>
  </si>
  <si>
    <t>Fluvial Flood  - 10 year return period event</t>
  </si>
  <si>
    <t>Pluvial Flood - 10 year return period event</t>
  </si>
  <si>
    <t>Coastal Flood - 10 year return period event</t>
  </si>
  <si>
    <t>Coastal Flood - 50 year return period event</t>
  </si>
  <si>
    <t>Pluvial Flood - 50 year return period event</t>
  </si>
  <si>
    <t>Fluvial Flood - 50 year return period event</t>
  </si>
  <si>
    <t>The PCS Score will be from 0 - 5, with 5 being the most urgent road to repair.</t>
  </si>
  <si>
    <t xml:space="preserve">Input in the yellow cells the relative weights for each of the components of the overall PCS Score. </t>
  </si>
  <si>
    <t>Ensure total the total weights sum to 100%</t>
  </si>
  <si>
    <t>Poverty Indicator Description</t>
  </si>
  <si>
    <t xml:space="preserve">Choose up to ten indicators to make a poverty index for each Vietnamese Commune. </t>
  </si>
  <si>
    <t xml:space="preserve">Weight these indicators. Ensure 'Weights' sum to 100%. If using fewer than ten poverty indicators, then set weight to 0. </t>
  </si>
  <si>
    <t>a Road Engineer can define the depth of flood which destroys a road.</t>
  </si>
  <si>
    <t>The 'destruction threshold' column is only used if the factor is set to 'absolute'.</t>
  </si>
  <si>
    <t xml:space="preserve">will reflect their relative exposure to the hazard versus the highest recorded intensity value for all of Vietnam for that risk layer. </t>
  </si>
  <si>
    <t xml:space="preserve">A '100 year return period event' means the most damaging event that is predicted to occur in 100 years. </t>
  </si>
  <si>
    <t>.For example: the worst flood to occur in a 50 year period will be much deeper than the worst flood to occur in an average 5 year period.</t>
  </si>
  <si>
    <t>DATASET</t>
  </si>
  <si>
    <t>WEALTHVALUE</t>
  </si>
  <si>
    <t>CODE</t>
  </si>
  <si>
    <t>E</t>
  </si>
  <si>
    <t>Wet Bulb Global Temperature Data, degrees celsius</t>
  </si>
  <si>
    <t>Impact Threshold</t>
  </si>
  <si>
    <t>Landslide</t>
  </si>
  <si>
    <t>Origins</t>
  </si>
  <si>
    <t>Name</t>
  </si>
  <si>
    <t>Scalar Column</t>
  </si>
  <si>
    <t>Penalty</t>
  </si>
  <si>
    <t>Annual Trips</t>
  </si>
  <si>
    <t>adm_centroids</t>
  </si>
  <si>
    <t>Pop</t>
  </si>
  <si>
    <t>Criticality Score Composition</t>
  </si>
  <si>
    <t>Disruption Cost</t>
  </si>
  <si>
    <t>Factor</t>
  </si>
  <si>
    <t>Number of isolated journeys</t>
  </si>
  <si>
    <t>Total Cost Function</t>
  </si>
  <si>
    <t>IRI coefficient: IRI ranges from 0 (perfectly smooth) to 14 (Very Rough)</t>
  </si>
  <si>
    <t>Base cost per km (USD)</t>
  </si>
  <si>
    <t xml:space="preserve">Total Cost of traversing a road section = </t>
  </si>
  <si>
    <t>Define a cost function describing the per-kilometre cost of driving along a road. The base cost should reflect fuel, vehicle maintenance costs.</t>
  </si>
  <si>
    <t>5.) Surface Condition</t>
  </si>
  <si>
    <t xml:space="preserve">Here, we define a measure of how rough the road is based on the IRI score gathered via Road Lab Pro. </t>
  </si>
  <si>
    <t>Median IRI</t>
  </si>
  <si>
    <t>IRI Score =  (</t>
  </si>
  <si>
    <t xml:space="preserve">Minimum IRI </t>
  </si>
  <si>
    <t>Maximum IRI</t>
  </si>
  <si>
    <t>Mean IRI</t>
  </si>
  <si>
    <t>Set the Weightings column to assign coeffcients to each measure of IRI for a given road section.</t>
  </si>
  <si>
    <t xml:space="preserve">     1.) Poverty Score</t>
  </si>
  <si>
    <t xml:space="preserve">     2.) Risk Score</t>
  </si>
  <si>
    <t xml:space="preserve">     3.) Criticality Score</t>
  </si>
  <si>
    <t xml:space="preserve">     4.) Accessibility Score</t>
  </si>
  <si>
    <t xml:space="preserve">     5.) Surface Condition Score</t>
  </si>
  <si>
    <t>FACTOR</t>
  </si>
  <si>
    <t>iri_med</t>
  </si>
  <si>
    <t>iri_min</t>
  </si>
  <si>
    <t>iri_max</t>
  </si>
  <si>
    <t>iri_mean</t>
  </si>
  <si>
    <t>IRI_Coeff</t>
  </si>
  <si>
    <t>Disrupt_Weight</t>
  </si>
  <si>
    <t>Base_cost_km</t>
  </si>
  <si>
    <t xml:space="preserve"> </t>
  </si>
  <si>
    <t>OName</t>
  </si>
  <si>
    <t>DName</t>
  </si>
  <si>
    <t>DPenalty</t>
  </si>
  <si>
    <t>OScalar</t>
  </si>
  <si>
    <t>Isolate_Weight</t>
  </si>
  <si>
    <t>COL_ID</t>
  </si>
  <si>
    <t>DScalar</t>
  </si>
  <si>
    <t>DImportance</t>
  </si>
  <si>
    <t>DAnnual</t>
  </si>
  <si>
    <t>Distance Importance</t>
  </si>
  <si>
    <t>Weight</t>
  </si>
  <si>
    <t>Component</t>
  </si>
  <si>
    <t>Combinations</t>
  </si>
  <si>
    <t>Combination number</t>
  </si>
  <si>
    <t>Origin</t>
  </si>
  <si>
    <t>Destination</t>
  </si>
  <si>
    <t>ComboNumber</t>
  </si>
  <si>
    <t>ComboO</t>
  </si>
  <si>
    <t>ComboD</t>
  </si>
  <si>
    <t>Python Location:</t>
  </si>
  <si>
    <t>Fluvial_Flood\\VN_fluvial_undefended\\Merged\\VN-FU-5.tif</t>
  </si>
  <si>
    <t>Fluvial_Flood\\VN_fluvial_undefended\\Merged\\VN-FU-20.tif</t>
  </si>
  <si>
    <t>Fluvial_Flood\\VN_fluvial_undefended\\Merged\\VN-FU-50.tif</t>
  </si>
  <si>
    <t>Pluvial_Flood\\VN_pluvial_undefended\\Merged\\VN-PU-5.tif</t>
  </si>
  <si>
    <t>Pluvial_Flood\\VN_pluvial_undefended\\Merged\\VN-PU-20.tif</t>
  </si>
  <si>
    <t>Pluvial_Flood\\VN_pluvial_undefended\\Merged\\VN-PU-50.tif</t>
  </si>
  <si>
    <t>Coastal_Flood\\Flood_depth\\rp0002m_tif\\rp0002m.tif</t>
  </si>
  <si>
    <t>Coastal_Flood\\Flood_depth\\rp0025m_tif\\rp0025m.tif</t>
  </si>
  <si>
    <t>Coastal_Flood\\Flood_depth\\rp0100m_tif\\rp0100m.tif</t>
  </si>
  <si>
    <t>ExtremeHeat\\EH_5.tif</t>
  </si>
  <si>
    <t>ExtremeHeat\\EH_20.tif</t>
  </si>
  <si>
    <t>ExtremeHeat\\EH_100.tif</t>
  </si>
  <si>
    <t>Wildfires\\CSIRO_WF_max_FWI_RP2.tif</t>
  </si>
  <si>
    <t>Wildfires\\CSIRO_WF_max_FWI_RP10.tif</t>
  </si>
  <si>
    <t>Wildfires\\CSIRO_WF_max_FWI_RP30.tif</t>
  </si>
  <si>
    <t>Earthquake\\EQ_475.tif</t>
  </si>
  <si>
    <t>Landslide\\LS.tif</t>
  </si>
  <si>
    <t>Typhoon - 100 year return period</t>
  </si>
  <si>
    <t>Typhoon - 200 year return period</t>
  </si>
  <si>
    <t>Fluvial Flood - 5 year return period</t>
  </si>
  <si>
    <t>Fluvial Flood - 20 year return period</t>
  </si>
  <si>
    <t>Fluvial Flood - 50 year return period</t>
  </si>
  <si>
    <t>Pluvial Flood - 5 year return period</t>
  </si>
  <si>
    <t>Pluvial Flood - 20 year return period</t>
  </si>
  <si>
    <t>Pluvial Flood - 50 year return period</t>
  </si>
  <si>
    <t>Coastal Flood - 2 year return period</t>
  </si>
  <si>
    <t>Coastal Flood - 25 year return period</t>
  </si>
  <si>
    <t>Coastal Flood - 50 year return period</t>
  </si>
  <si>
    <t>Extreme Heat - 5 year return period</t>
  </si>
  <si>
    <t>Extreme Heat - 20 year return period</t>
  </si>
  <si>
    <t>Extreme Heat - 100 year return period</t>
  </si>
  <si>
    <t>WildFire - 2 year return period</t>
  </si>
  <si>
    <t>WildFire - 10 year return period</t>
  </si>
  <si>
    <t>WildFire - 30 year return period</t>
  </si>
  <si>
    <t>Earthquake - 475 year return period</t>
  </si>
  <si>
    <t>Lanes</t>
  </si>
  <si>
    <t>SurfaceType</t>
  </si>
  <si>
    <t>RoadClass</t>
  </si>
  <si>
    <t>RoadType</t>
  </si>
  <si>
    <t>Terrain</t>
  </si>
  <si>
    <t>Temperature</t>
  </si>
  <si>
    <t>Moisture</t>
  </si>
  <si>
    <t>TrafficLevel</t>
  </si>
  <si>
    <t>TrafficGrowth</t>
  </si>
  <si>
    <t>ConditionClass</t>
  </si>
  <si>
    <t>Key</t>
  </si>
  <si>
    <t>Value</t>
  </si>
  <si>
    <t>Default</t>
  </si>
  <si>
    <t>Default for Provincial roads</t>
  </si>
  <si>
    <t>Default for District roads</t>
  </si>
  <si>
    <t>Default for Commune roads</t>
  </si>
  <si>
    <t xml:space="preserve"> One Lane</t>
  </si>
  <si>
    <t xml:space="preserve"> Narrow Two Lanes</t>
  </si>
  <si>
    <t xml:space="preserve"> Two Lanes</t>
  </si>
  <si>
    <t xml:space="preserve"> Wide Two Lanes</t>
  </si>
  <si>
    <t xml:space="preserve"> Four Lanes</t>
  </si>
  <si>
    <t xml:space="preserve"> Six Lanes</t>
  </si>
  <si>
    <t xml:space="preserve"> Eight Lanes</t>
  </si>
  <si>
    <t>Default for unrecognised VPROMMS_ID</t>
  </si>
  <si>
    <t xml:space="preserve"> Cement Concrete</t>
  </si>
  <si>
    <t xml:space="preserve"> Asphalt Concrete  </t>
  </si>
  <si>
    <t xml:space="preserve"> Surface Treatment  </t>
  </si>
  <si>
    <t xml:space="preserve"> Gravel   </t>
  </si>
  <si>
    <t xml:space="preserve"> Earth  </t>
  </si>
  <si>
    <t xml:space="preserve"> Macadam</t>
  </si>
  <si>
    <t xml:space="preserve"> Cobblestone</t>
  </si>
  <si>
    <t xml:space="preserve"> Class I</t>
  </si>
  <si>
    <t xml:space="preserve"> Class II</t>
  </si>
  <si>
    <t xml:space="preserve"> Class III</t>
  </si>
  <si>
    <t xml:space="preserve"> Class IV</t>
  </si>
  <si>
    <t xml:space="preserve"> Class V</t>
  </si>
  <si>
    <t xml:space="preserve"> Class VI</t>
  </si>
  <si>
    <t xml:space="preserve"> A</t>
  </si>
  <si>
    <t xml:space="preserve"> B</t>
  </si>
  <si>
    <t xml:space="preserve"> C</t>
  </si>
  <si>
    <t xml:space="preserve"> D</t>
  </si>
  <si>
    <t xml:space="preserve"> Paved</t>
  </si>
  <si>
    <t xml:space="preserve"> Unpaved</t>
  </si>
  <si>
    <t xml:space="preserve"> Flat </t>
  </si>
  <si>
    <t xml:space="preserve"> Hilly </t>
  </si>
  <si>
    <t xml:space="preserve"> Mountainous</t>
  </si>
  <si>
    <t xml:space="preserve"> Tropical</t>
  </si>
  <si>
    <t xml:space="preserve"> Sub-tropical Hot</t>
  </si>
  <si>
    <t xml:space="preserve"> Sub-tropical Cool</t>
  </si>
  <si>
    <t xml:space="preserve"> Temperate Cool</t>
  </si>
  <si>
    <t xml:space="preserve"> Temperate Freeze</t>
  </si>
  <si>
    <t xml:space="preserve"> Arid</t>
  </si>
  <si>
    <t xml:space="preserve"> Semi-arid</t>
  </si>
  <si>
    <t xml:space="preserve"> Sub-humid</t>
  </si>
  <si>
    <t xml:space="preserve"> Humid</t>
  </si>
  <si>
    <t xml:space="preserve"> Per-humid</t>
  </si>
  <si>
    <t>Default for all roads</t>
  </si>
  <si>
    <t>Traffic Level</t>
  </si>
  <si>
    <t xml:space="preserve"> &lt; 50</t>
  </si>
  <si>
    <t xml:space="preserve"> Very Low</t>
  </si>
  <si>
    <t xml:space="preserve"> Low</t>
  </si>
  <si>
    <t xml:space="preserve"> Medium</t>
  </si>
  <si>
    <t xml:space="preserve"> High</t>
  </si>
  <si>
    <t xml:space="preserve"> Very High</t>
  </si>
  <si>
    <t>CC_vgood</t>
  </si>
  <si>
    <t>CC_good</t>
  </si>
  <si>
    <t>CC_fair</t>
  </si>
  <si>
    <t>CC_poor</t>
  </si>
  <si>
    <t>Good</t>
  </si>
  <si>
    <t>Fair</t>
  </si>
  <si>
    <t>Poor</t>
  </si>
  <si>
    <t>Very Poor</t>
  </si>
  <si>
    <t>Very Good</t>
  </si>
  <si>
    <t xml:space="preserve">iri below: </t>
  </si>
  <si>
    <t>Upper bound for each class</t>
  </si>
  <si>
    <t>noIRI</t>
  </si>
  <si>
    <t>unrecognised</t>
  </si>
  <si>
    <t>Default Setting Selection</t>
  </si>
  <si>
    <t>When IRI not recorded, force condition class to:</t>
  </si>
  <si>
    <t>RONET Control Panel</t>
  </si>
  <si>
    <t>Ronet requires a large number of inputs to run. These may not always be available. The below drop down menus allow the user to configure</t>
  </si>
  <si>
    <t xml:space="preserve">the algorithm that pre-populates the RONET input table, streamlining data preparation for the analysis. </t>
  </si>
  <si>
    <t>Citations</t>
  </si>
  <si>
    <t>Data</t>
  </si>
  <si>
    <t>Extreme Heat: VITO produced under contract for GFDRR ThinkHazard!</t>
  </si>
  <si>
    <t>Wildfire: CSIRO produced under contract for GFDRR ThinkHazard!</t>
  </si>
  <si>
    <t>Landslide: NASA: Stanley, T., and D. B. Kirschbaum (2017), A heuristic approach to global landslide susceptibility mapping, Nat. Hazards, 1–20, doi:10.1007/s11069-017-2757-y. Link to article: http://link.springer.com/article/10.1007%2Fs11069-017-2757-y</t>
  </si>
  <si>
    <t>Coastal Flood: Muis, S., Verlaan, M., Winsemius, H.C., Aerts, J.C.J.H., Ward, P.J., 2016. A global reanalysis of storm surge and extreme sea levels. Na. Commun. 7, -11. doi:10.1038/ncomms11969</t>
  </si>
  <si>
    <t>Earthquake: 2007 USGS Model for South East Asia. https://hazardwiki.openquake.org/sea2007%20intro</t>
  </si>
  <si>
    <t>Methodology</t>
  </si>
  <si>
    <t xml:space="preserve">Criticality Analysis: Julie Rozenberg, Sustainable Development Chief Economist's Office, World Bank 2017. </t>
  </si>
  <si>
    <t xml:space="preserve">Poverty, Risk, Roughness Analysis; platform design: Charles Fox, Sustainable Development Chief Economist's Office, World Bank 2017. </t>
  </si>
  <si>
    <t>Typhoon: KIT, avaialble from ThinkHazard! Under Creative Commons Attribution-ShareAlike 3.0 Unported</t>
  </si>
  <si>
    <t>C:\Users\charl\Anaconda2\Python.exe</t>
  </si>
  <si>
    <t>Typhoon\\hazard-viet100_1km_4326.tif</t>
  </si>
  <si>
    <t>Typhoon\\hazard-viet200_1km_4326.tif</t>
  </si>
  <si>
    <t>Width</t>
  </si>
  <si>
    <t>The current defaults are based on statistical analysis of all of the VPROMMS data we currently have available (17,200 recorded segments)</t>
  </si>
  <si>
    <t>N.B. These defaults to be set by road engineers - statistical</t>
  </si>
  <si>
    <t>analysis from existing VPROMMS information not sufficient</t>
  </si>
  <si>
    <t>pip install ema_workbench</t>
  </si>
  <si>
    <t>Install Anaconda2</t>
  </si>
  <si>
    <t xml:space="preserve">conda install -c conda-forge rasterstats rasterio geopandas osmnx salib ipyparallel </t>
  </si>
  <si>
    <t>Clone Github repository</t>
  </si>
  <si>
    <t>Configure excel dashboard</t>
  </si>
  <si>
    <t>RoadLabPro_Utils repository clone location:</t>
  </si>
  <si>
    <t>Take a look at the criticality path defintions</t>
  </si>
  <si>
    <t>District</t>
  </si>
  <si>
    <t>DISTRICT</t>
  </si>
  <si>
    <t>Default Layer Preparation</t>
  </si>
  <si>
    <t>Prepare?</t>
  </si>
  <si>
    <t>yes</t>
  </si>
  <si>
    <t>DefaultLayer</t>
  </si>
  <si>
    <t>PrepDefault</t>
  </si>
  <si>
    <t>Province_PeopleCommittee_61</t>
  </si>
  <si>
    <t>District_PeopleCommittee</t>
  </si>
  <si>
    <t>Commune_PeopleCommittee</t>
  </si>
  <si>
    <t>Local_gov_building</t>
  </si>
  <si>
    <t>Major_cities</t>
  </si>
  <si>
    <t>Airport</t>
  </si>
  <si>
    <t>Railway_stations</t>
  </si>
  <si>
    <t>Riverports_2005</t>
  </si>
  <si>
    <t xml:space="preserve">  </t>
  </si>
  <si>
    <t>C:\Users\charl\Documents\GitHub\RoadAnalytics</t>
  </si>
  <si>
    <t>RoadAnalytics repository clone location:</t>
  </si>
  <si>
    <t>Destinations</t>
  </si>
  <si>
    <t>Health_Facilities</t>
  </si>
  <si>
    <t>Vietbando_YD</t>
  </si>
  <si>
    <t xml:space="preserve"> &gt; 40,001</t>
  </si>
  <si>
    <t xml:space="preserve"> 51 - 100</t>
  </si>
  <si>
    <t xml:space="preserve"> 101 - 250</t>
  </si>
  <si>
    <t xml:space="preserve"> 251 - 500</t>
  </si>
  <si>
    <t xml:space="preserve"> 501 - 1,000</t>
  </si>
  <si>
    <t xml:space="preserve"> 1,001 - 3,000</t>
  </si>
  <si>
    <t xml:space="preserve"> 3,001 - 5,000</t>
  </si>
  <si>
    <t xml:space="preserve"> 5,001 - 7,000</t>
  </si>
  <si>
    <t xml:space="preserve"> 7,001 - 9,000</t>
  </si>
  <si>
    <t xml:space="preserve"> 9,001 - 12,000</t>
  </si>
  <si>
    <t xml:space="preserve"> 12,001 - 15,000</t>
  </si>
  <si>
    <t xml:space="preserve"> 15,001 - 20,000</t>
  </si>
  <si>
    <t xml:space="preserve"> 20,001 - 30,000</t>
  </si>
  <si>
    <t xml:space="preserve"> 30,001 - 40,000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</si>
</sst>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 m/s winds&quot;"/>
    <numFmt numFmtId="165" formatCode="#,##0.#&quot;+ metre flood depth&quot;"/>
    <numFmt numFmtId="166" formatCode="#,###\ &quot;Degrees Centigrade&quot;"/>
    <numFmt numFmtId="167" formatCode="&quot;$&quot;#,##0"/>
  </numFmts>
  <fonts count="38"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color theme="0"/>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11"/>
      <color theme="4" tint="-0.249977111117893"/>
      <name val="Calibri"/>
      <family val="2"/>
      <scheme val="minor"/>
    </font>
    <font>
      <b/>
      <sz val="11"/>
      <color theme="1"/>
      <name val="Calibri"/>
      <family val="2"/>
      <scheme val="minor"/>
    </font>
    <font>
      <sz val="11"/>
      <color theme="1"/>
      <name val="Calibri"/>
      <family val="2"/>
      <scheme val="minor"/>
    </font>
    <font>
      <sz val="11"/>
      <color rgb="FF000000"/>
      <name val="Calibri"/>
      <family val="2"/>
    </font>
    <font>
      <sz val="11"/>
      <color theme="1"/>
      <name val="Calibri"/>
      <family val="2"/>
      <scheme val="minor"/>
    </font>
    <font>
      <i/>
      <sz val="11"/>
      <color theme="1"/>
      <name val="Calibri"/>
      <family val="2"/>
      <scheme val="minor"/>
    </font>
    <font>
      <b/>
      <sz val="11"/>
      <color theme="1"/>
      <name val="Calibri"/>
      <family val="2"/>
      <scheme val="minor"/>
    </font>
    <font>
      <sz val="11"/>
      <color theme="1"/>
      <name val="Calibri"/>
      <family val="2"/>
      <scheme val="minor"/>
    </font>
    <font>
      <sz val="20"/>
      <color theme="0"/>
      <name val="Calibri Light"/>
      <family val="2"/>
      <scheme val="major"/>
    </font>
    <font>
      <sz val="11"/>
      <color theme="1"/>
      <name val="Calibri"/>
      <family val="2"/>
      <scheme val="minor"/>
    </font>
    <font>
      <b/>
      <sz val="11"/>
      <color theme="0"/>
      <name val="Calibri"/>
      <family val="2"/>
      <scheme val="minor"/>
    </font>
    <font>
      <b/>
      <sz val="11"/>
      <color theme="1"/>
      <name val="Calibri"/>
      <family val="2"/>
      <scheme val="minor"/>
    </font>
    <font>
      <sz val="11"/>
      <color theme="1"/>
      <name val="Times New Roman"/>
      <family val="1"/>
    </font>
    <font>
      <i/>
      <sz val="11"/>
      <color theme="0" tint="-0.499984740745262"/>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20"/>
      <color theme="0"/>
      <name val="Calibri Light"/>
      <family val="2"/>
      <scheme val="major"/>
    </font>
    <font>
      <sz val="20"/>
      <color theme="0"/>
      <name val="Garamond"/>
      <family val="1"/>
    </font>
    <font>
      <sz val="11"/>
      <color theme="1"/>
      <name val="Calibri"/>
      <family val="2"/>
      <scheme val="minor"/>
    </font>
    <font>
      <sz val="11"/>
      <color theme="4" tint="-0.499984740745262"/>
      <name val="Calibri"/>
      <family val="2"/>
      <scheme val="minor"/>
    </font>
    <font>
      <sz val="16"/>
      <color theme="0"/>
      <name val="Calibri Light"/>
      <family val="2"/>
      <scheme val="major"/>
    </font>
    <font>
      <sz val="11"/>
      <color theme="0"/>
      <name val="Calibri"/>
      <family val="2"/>
      <scheme val="minor"/>
    </font>
    <font>
      <sz val="11"/>
      <color rgb="FFFF0000"/>
      <name val="Calibri"/>
      <family val="2"/>
      <scheme val="minor"/>
    </font>
    <font>
      <i/>
      <sz val="11"/>
      <color rgb="FFFF0000"/>
      <name val="Calibri"/>
      <family val="2"/>
      <scheme val="minor"/>
    </font>
    <font>
      <b/>
      <sz val="11"/>
      <color theme="1"/>
      <name val="Calibri"/>
      <family val="2"/>
      <scheme val="minor"/>
    </font>
    <font>
      <i/>
      <sz val="11"/>
      <color theme="1"/>
      <name val="Calibri"/>
      <family val="2"/>
      <scheme val="minor"/>
    </font>
    <font>
      <b/>
      <i/>
      <sz val="11"/>
      <color rgb="FFFF0000"/>
      <name val="Calibri"/>
      <family val="2"/>
      <scheme val="minor"/>
    </font>
    <font>
      <sz val="11"/>
      <color theme="1" tint="0.249977111117893"/>
      <name val="Calibri"/>
      <family val="2"/>
      <scheme val="minor"/>
    </font>
    <font>
      <b/>
      <sz val="11"/>
      <color theme="0"/>
      <name val="Calibri"/>
      <family val="2"/>
      <scheme val="minor"/>
    </font>
  </fonts>
  <fills count="20">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rgb="FFFF2929"/>
        <bgColor indexed="64"/>
      </patternFill>
    </fill>
    <fill>
      <patternFill patternType="solid">
        <fgColor rgb="FFFFEBEB"/>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0000"/>
        <bgColor indexed="64"/>
      </patternFill>
    </fill>
    <fill>
      <patternFill patternType="solid">
        <fgColor theme="0" tint="-0.14999847407452621"/>
        <bgColor indexed="64"/>
      </patternFill>
    </fill>
  </fills>
  <borders count="85">
    <border>
      <left/>
      <right/>
      <top/>
      <bottom/>
      <diagonal/>
    </border>
    <border>
      <left style="dashed">
        <color theme="4"/>
      </left>
      <right style="dashed">
        <color theme="4"/>
      </right>
      <top style="dashed">
        <color theme="4"/>
      </top>
      <bottom style="dashed">
        <color theme="4"/>
      </bottom>
      <diagonal/>
    </border>
    <border>
      <left style="thin">
        <color theme="4" tint="-0.249977111117893"/>
      </left>
      <right/>
      <top style="thin">
        <color theme="4" tint="-0.249977111117893"/>
      </top>
      <bottom/>
      <diagonal/>
    </border>
    <border>
      <left/>
      <right/>
      <top style="thin">
        <color theme="4" tint="-0.249977111117893"/>
      </top>
      <bottom/>
      <diagonal/>
    </border>
    <border>
      <left/>
      <right style="thin">
        <color theme="4" tint="-0.249977111117893"/>
      </right>
      <top style="thin">
        <color theme="4" tint="-0.249977111117893"/>
      </top>
      <bottom/>
      <diagonal/>
    </border>
    <border>
      <left style="thin">
        <color theme="4" tint="-0.249977111117893"/>
      </left>
      <right style="dashed">
        <color theme="4"/>
      </right>
      <top style="dashed">
        <color theme="4"/>
      </top>
      <bottom style="dashed">
        <color theme="4"/>
      </bottom>
      <diagonal/>
    </border>
    <border>
      <left style="dashed">
        <color theme="4"/>
      </left>
      <right style="thin">
        <color theme="4" tint="-0.249977111117893"/>
      </right>
      <top style="dashed">
        <color theme="4"/>
      </top>
      <bottom style="dashed">
        <color theme="4"/>
      </bottom>
      <diagonal/>
    </border>
    <border>
      <left style="thin">
        <color theme="4" tint="-0.249977111117893"/>
      </left>
      <right style="dashed">
        <color theme="4"/>
      </right>
      <top style="dashed">
        <color theme="4"/>
      </top>
      <bottom style="thin">
        <color theme="4" tint="-0.249977111117893"/>
      </bottom>
      <diagonal/>
    </border>
    <border>
      <left style="dashed">
        <color theme="4"/>
      </left>
      <right style="dashed">
        <color theme="4"/>
      </right>
      <top style="dashed">
        <color theme="4"/>
      </top>
      <bottom style="thin">
        <color theme="4" tint="-0.249977111117893"/>
      </bottom>
      <diagonal/>
    </border>
    <border>
      <left style="thin">
        <color theme="9" tint="-0.499984740745262"/>
      </left>
      <right/>
      <top/>
      <bottom/>
      <diagonal/>
    </border>
    <border>
      <left/>
      <right style="thin">
        <color theme="9" tint="-0.499984740745262"/>
      </right>
      <top/>
      <bottom/>
      <diagonal/>
    </border>
    <border>
      <left style="thin">
        <color theme="9" tint="-0.499984740745262"/>
      </left>
      <right/>
      <top/>
      <bottom style="thin">
        <color theme="9" tint="-0.499984740745262"/>
      </bottom>
      <diagonal/>
    </border>
    <border>
      <left/>
      <right/>
      <top/>
      <bottom style="thin">
        <color theme="9" tint="-0.499984740745262"/>
      </bottom>
      <diagonal/>
    </border>
    <border>
      <left/>
      <right style="thin">
        <color theme="9" tint="-0.499984740745262"/>
      </right>
      <top/>
      <bottom style="thin">
        <color theme="9" tint="-0.499984740745262"/>
      </bottom>
      <diagonal/>
    </border>
    <border>
      <left style="thin">
        <color theme="5" tint="-0.249977111117893"/>
      </left>
      <right/>
      <top style="thin">
        <color theme="5" tint="-0.249977111117893"/>
      </top>
      <bottom/>
      <diagonal/>
    </border>
    <border>
      <left/>
      <right/>
      <top style="thin">
        <color theme="5" tint="-0.249977111117893"/>
      </top>
      <bottom/>
      <diagonal/>
    </border>
    <border>
      <left/>
      <right style="thin">
        <color theme="5" tint="-0.249977111117893"/>
      </right>
      <top style="thin">
        <color theme="5" tint="-0.249977111117893"/>
      </top>
      <bottom/>
      <diagonal/>
    </border>
    <border>
      <left style="thin">
        <color theme="5" tint="-0.249977111117893"/>
      </left>
      <right/>
      <top/>
      <bottom/>
      <diagonal/>
    </border>
    <border>
      <left/>
      <right style="thin">
        <color theme="5" tint="-0.249977111117893"/>
      </right>
      <top/>
      <bottom/>
      <diagonal/>
    </border>
    <border>
      <left style="thin">
        <color theme="5" tint="-0.249977111117893"/>
      </left>
      <right/>
      <top/>
      <bottom style="thin">
        <color theme="5" tint="-0.249977111117893"/>
      </bottom>
      <diagonal/>
    </border>
    <border>
      <left/>
      <right/>
      <top/>
      <bottom style="thin">
        <color theme="5" tint="-0.249977111117893"/>
      </bottom>
      <diagonal/>
    </border>
    <border>
      <left/>
      <right style="thin">
        <color theme="5" tint="-0.249977111117893"/>
      </right>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right style="thin">
        <color theme="5" tint="-0.249977111117893"/>
      </right>
      <top style="thin">
        <color theme="5" tint="-0.249977111117893"/>
      </top>
      <bottom style="thin">
        <color theme="5" tint="-0.249977111117893"/>
      </bottom>
      <diagonal/>
    </border>
    <border>
      <left style="dashed">
        <color theme="4"/>
      </left>
      <right style="thin">
        <color theme="5" tint="-0.249977111117893"/>
      </right>
      <top/>
      <bottom style="dashed">
        <color theme="4"/>
      </bottom>
      <diagonal/>
    </border>
    <border>
      <left style="thin">
        <color theme="8" tint="-0.249977111117893"/>
      </left>
      <right/>
      <top style="thin">
        <color theme="8" tint="-0.249977111117893"/>
      </top>
      <bottom/>
      <diagonal/>
    </border>
    <border>
      <left/>
      <right/>
      <top style="thin">
        <color theme="8" tint="-0.249977111117893"/>
      </top>
      <bottom/>
      <diagonal/>
    </border>
    <border>
      <left/>
      <right style="thin">
        <color theme="8" tint="-0.249977111117893"/>
      </right>
      <top style="thin">
        <color theme="8" tint="-0.249977111117893"/>
      </top>
      <bottom/>
      <diagonal/>
    </border>
    <border>
      <left style="thin">
        <color theme="8" tint="-0.249977111117893"/>
      </left>
      <right/>
      <top/>
      <bottom/>
      <diagonal/>
    </border>
    <border>
      <left/>
      <right style="thin">
        <color theme="8" tint="-0.249977111117893"/>
      </right>
      <top/>
      <bottom/>
      <diagonal/>
    </border>
    <border>
      <left style="thin">
        <color theme="8" tint="-0.249977111117893"/>
      </left>
      <right/>
      <top/>
      <bottom style="thin">
        <color theme="8" tint="-0.249977111117893"/>
      </bottom>
      <diagonal/>
    </border>
    <border>
      <left/>
      <right/>
      <top/>
      <bottom style="thin">
        <color theme="8" tint="-0.249977111117893"/>
      </bottom>
      <diagonal/>
    </border>
    <border>
      <left/>
      <right style="thin">
        <color theme="8" tint="-0.249977111117893"/>
      </right>
      <top/>
      <bottom style="thin">
        <color theme="8" tint="-0.249977111117893"/>
      </bottom>
      <diagonal/>
    </border>
    <border>
      <left style="dashed">
        <color theme="4" tint="-0.499984740745262"/>
      </left>
      <right style="dashed">
        <color theme="4" tint="-0.499984740745262"/>
      </right>
      <top style="dashed">
        <color theme="4" tint="-0.499984740745262"/>
      </top>
      <bottom style="dashed">
        <color theme="4" tint="-0.499984740745262"/>
      </bottom>
      <diagonal/>
    </border>
    <border>
      <left/>
      <right/>
      <top style="dashed">
        <color theme="4"/>
      </top>
      <bottom style="thin">
        <color theme="9" tint="-0.499984740745262"/>
      </bottom>
      <diagonal/>
    </border>
    <border>
      <left style="thin">
        <color theme="1" tint="0.14999847407452621"/>
      </left>
      <right/>
      <top/>
      <bottom/>
      <diagonal/>
    </border>
    <border>
      <left/>
      <right style="thin">
        <color theme="1" tint="0.14999847407452621"/>
      </right>
      <top/>
      <bottom/>
      <diagonal/>
    </border>
    <border>
      <left style="thin">
        <color theme="1" tint="0.14999847407452621"/>
      </left>
      <right/>
      <top/>
      <bottom style="thin">
        <color theme="1" tint="0.14999847407452621"/>
      </bottom>
      <diagonal/>
    </border>
    <border>
      <left/>
      <right/>
      <top/>
      <bottom style="thin">
        <color theme="1" tint="0.14999847407452621"/>
      </bottom>
      <diagonal/>
    </border>
    <border>
      <left/>
      <right style="thin">
        <color theme="1" tint="0.14999847407452621"/>
      </right>
      <top/>
      <bottom style="thin">
        <color theme="1" tint="0.14999847407452621"/>
      </bottom>
      <diagonal/>
    </border>
    <border>
      <left style="dashed">
        <color theme="4"/>
      </left>
      <right style="dashed">
        <color theme="4"/>
      </right>
      <top style="dashed">
        <color theme="4"/>
      </top>
      <bottom/>
      <diagonal/>
    </border>
    <border>
      <left style="thin">
        <color theme="1" tint="0.14999847407452621"/>
      </left>
      <right/>
      <top style="thin">
        <color theme="1" tint="0.14999847407452621"/>
      </top>
      <bottom style="thin">
        <color theme="1" tint="0.14999847407452621"/>
      </bottom>
      <diagonal/>
    </border>
    <border>
      <left/>
      <right/>
      <top style="thin">
        <color theme="1" tint="0.14999847407452621"/>
      </top>
      <bottom style="thin">
        <color theme="1" tint="0.14999847407452621"/>
      </bottom>
      <diagonal/>
    </border>
    <border>
      <left/>
      <right style="thin">
        <color theme="1" tint="0.14999847407452621"/>
      </right>
      <top style="thin">
        <color theme="1" tint="0.14999847407452621"/>
      </top>
      <bottom style="thin">
        <color theme="1" tint="0.14999847407452621"/>
      </bottom>
      <diagonal/>
    </border>
    <border>
      <left style="thin">
        <color rgb="FFFF2929"/>
      </left>
      <right/>
      <top style="thin">
        <color rgb="FFFF2929"/>
      </top>
      <bottom/>
      <diagonal/>
    </border>
    <border>
      <left/>
      <right/>
      <top style="thin">
        <color rgb="FFFF2929"/>
      </top>
      <bottom/>
      <diagonal/>
    </border>
    <border>
      <left/>
      <right style="thin">
        <color rgb="FFFF2929"/>
      </right>
      <top style="thin">
        <color rgb="FFFF2929"/>
      </top>
      <bottom/>
      <diagonal/>
    </border>
    <border>
      <left style="thin">
        <color rgb="FFFF2929"/>
      </left>
      <right/>
      <top/>
      <bottom/>
      <diagonal/>
    </border>
    <border>
      <left/>
      <right style="thin">
        <color rgb="FFFF2929"/>
      </right>
      <top/>
      <bottom/>
      <diagonal/>
    </border>
    <border>
      <left style="thin">
        <color theme="4"/>
      </left>
      <right/>
      <top style="thin">
        <color theme="4"/>
      </top>
      <bottom style="thin">
        <color theme="4"/>
      </bottom>
      <diagonal/>
    </border>
    <border>
      <left/>
      <right/>
      <top style="thin">
        <color theme="4"/>
      </top>
      <bottom style="thin">
        <color theme="4"/>
      </bottom>
      <diagonal/>
    </border>
    <border>
      <left style="dashed">
        <color theme="4"/>
      </left>
      <right style="thin">
        <color theme="4"/>
      </right>
      <top style="thin">
        <color theme="4"/>
      </top>
      <bottom style="thin">
        <color theme="4"/>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dashed">
        <color theme="4"/>
      </left>
      <right/>
      <top style="dashed">
        <color theme="4"/>
      </top>
      <bottom style="dashed">
        <color theme="4"/>
      </bottom>
      <diagonal/>
    </border>
    <border>
      <left style="thin">
        <color theme="9" tint="-0.499984740745262"/>
      </left>
      <right/>
      <top style="thin">
        <color theme="9" tint="-0.499984740745262"/>
      </top>
      <bottom/>
      <diagonal/>
    </border>
    <border>
      <left/>
      <right style="thin">
        <color theme="9" tint="-0.499984740745262"/>
      </right>
      <top style="thin">
        <color theme="9" tint="-0.499984740745262"/>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1" tint="0.14999847407452621"/>
      </left>
      <right/>
      <top style="thin">
        <color theme="1" tint="0.14999847407452621"/>
      </top>
      <bottom/>
      <diagonal/>
    </border>
    <border>
      <left/>
      <right/>
      <top style="thin">
        <color theme="1" tint="0.14999847407452621"/>
      </top>
      <bottom/>
      <diagonal/>
    </border>
    <border>
      <left/>
      <right style="thin">
        <color theme="1" tint="0.14999847407452621"/>
      </right>
      <top style="thin">
        <color theme="1" tint="0.14999847407452621"/>
      </top>
      <bottom/>
      <diagonal/>
    </border>
    <border>
      <left style="thin">
        <color theme="4" tint="-0.249977111117893"/>
      </left>
      <right/>
      <top/>
      <bottom/>
      <diagonal/>
    </border>
    <border>
      <left/>
      <right style="thin">
        <color theme="4" tint="-0.249977111117893"/>
      </right>
      <top/>
      <bottom/>
      <diagonal/>
    </border>
    <border>
      <left style="thin">
        <color theme="4" tint="-0.249977111117893"/>
      </left>
      <right/>
      <top/>
      <bottom style="thin">
        <color theme="4" tint="-0.249977111117893"/>
      </bottom>
      <diagonal/>
    </border>
    <border>
      <left/>
      <right style="thin">
        <color theme="4" tint="-0.249977111117893"/>
      </right>
      <top/>
      <bottom style="thin">
        <color theme="4" tint="-0.249977111117893"/>
      </bottom>
      <diagonal/>
    </border>
    <border>
      <left style="dashed">
        <color theme="4"/>
      </left>
      <right style="thin">
        <color theme="4" tint="-0.249977111117893"/>
      </right>
      <top style="thin">
        <color theme="4"/>
      </top>
      <bottom style="thin">
        <color theme="4"/>
      </bottom>
      <diagonal/>
    </border>
    <border>
      <left style="thin">
        <color rgb="FFFF2929"/>
      </left>
      <right/>
      <top/>
      <bottom style="thin">
        <color rgb="FFC00000"/>
      </bottom>
      <diagonal/>
    </border>
    <border>
      <left/>
      <right/>
      <top/>
      <bottom style="thin">
        <color rgb="FFC00000"/>
      </bottom>
      <diagonal/>
    </border>
    <border>
      <left/>
      <right style="thin">
        <color rgb="FFFF2929"/>
      </right>
      <top/>
      <bottom style="thin">
        <color rgb="FFC00000"/>
      </bottom>
      <diagonal/>
    </border>
  </borders>
  <cellStyleXfs count="2">
    <xf numFmtId="0" fontId="0" fillId="0" borderId="0"/>
    <xf numFmtId="9" fontId="5" fillId="0" borderId="0" applyFont="0" applyFill="0" applyBorder="0" applyAlignment="0" applyProtection="0"/>
  </cellStyleXfs>
  <cellXfs count="215">
    <xf numFmtId="0" fontId="0" fillId="0" borderId="0" xfId="0"/>
    <xf numFmtId="2" fontId="0" fillId="0" borderId="0" xfId="0" applyNumberFormat="1"/>
    <xf numFmtId="0" fontId="0" fillId="0" borderId="0" xfId="0" applyFont="1"/>
    <xf numFmtId="0" fontId="1" fillId="10" borderId="0" xfId="0" applyFont="1" applyFill="1"/>
    <xf numFmtId="9" fontId="0" fillId="0" borderId="0" xfId="0" applyNumberFormat="1"/>
    <xf numFmtId="9" fontId="1" fillId="15" borderId="0" xfId="1" applyFont="1" applyFill="1"/>
    <xf numFmtId="0" fontId="1" fillId="15" borderId="0" xfId="0" applyFont="1" applyFill="1"/>
    <xf numFmtId="9" fontId="1" fillId="16" borderId="0" xfId="1" applyFont="1" applyFill="1"/>
    <xf numFmtId="0" fontId="1" fillId="16" borderId="0" xfId="0" applyFont="1" applyFill="1"/>
    <xf numFmtId="0" fontId="1" fillId="17" borderId="0" xfId="0" applyFont="1" applyFill="1"/>
    <xf numFmtId="9" fontId="4" fillId="18" borderId="0" xfId="1" applyFont="1" applyFill="1"/>
    <xf numFmtId="1" fontId="0" fillId="0" borderId="0" xfId="0" applyNumberFormat="1"/>
    <xf numFmtId="0" fontId="6" fillId="0" borderId="0" xfId="0" applyFont="1"/>
    <xf numFmtId="0" fontId="7" fillId="0" borderId="0" xfId="0" applyFont="1"/>
    <xf numFmtId="0" fontId="7" fillId="0" borderId="0" xfId="0" quotePrefix="1" applyFont="1"/>
    <xf numFmtId="0" fontId="8" fillId="2" borderId="33" xfId="0" applyFont="1" applyFill="1" applyBorder="1" applyAlignment="1">
      <alignment horizontal="left"/>
    </xf>
    <xf numFmtId="9" fontId="7" fillId="0" borderId="0" xfId="0" applyNumberFormat="1" applyFont="1" applyAlignment="1">
      <alignment horizontal="right"/>
    </xf>
    <xf numFmtId="0" fontId="7" fillId="0" borderId="0" xfId="0" applyFont="1" applyAlignment="1">
      <alignment horizontal="right"/>
    </xf>
    <xf numFmtId="0" fontId="0" fillId="0" borderId="0" xfId="0" applyAlignment="1">
      <alignment horizontal="left"/>
    </xf>
    <xf numFmtId="0" fontId="9" fillId="0" borderId="0" xfId="0" applyFont="1"/>
    <xf numFmtId="0" fontId="10" fillId="0" borderId="0" xfId="0" applyFont="1"/>
    <xf numFmtId="9" fontId="10" fillId="0" borderId="0" xfId="0" applyNumberFormat="1" applyFont="1"/>
    <xf numFmtId="0" fontId="12" fillId="0" borderId="49" xfId="0" applyFont="1" applyBorder="1"/>
    <xf numFmtId="0" fontId="12" fillId="0" borderId="50" xfId="0" applyFont="1" applyBorder="1"/>
    <xf numFmtId="0" fontId="13" fillId="0" borderId="0" xfId="0" applyFont="1" applyBorder="1"/>
    <xf numFmtId="0" fontId="14" fillId="0" borderId="0" xfId="0" applyFont="1"/>
    <xf numFmtId="0" fontId="15" fillId="0" borderId="0" xfId="0" applyFont="1"/>
    <xf numFmtId="2" fontId="15" fillId="0" borderId="0" xfId="0" applyNumberFormat="1" applyFont="1"/>
    <xf numFmtId="0" fontId="0" fillId="0" borderId="0" xfId="0" applyAlignment="1">
      <alignment horizontal="right"/>
    </xf>
    <xf numFmtId="0" fontId="16" fillId="5" borderId="0" xfId="0" applyFont="1" applyFill="1"/>
    <xf numFmtId="0" fontId="17" fillId="0" borderId="0" xfId="0" applyFont="1"/>
    <xf numFmtId="0" fontId="18" fillId="4" borderId="25" xfId="0" applyFont="1" applyFill="1" applyBorder="1" applyAlignment="1">
      <alignment horizontal="centerContinuous"/>
    </xf>
    <xf numFmtId="0" fontId="18" fillId="4" borderId="26" xfId="0" applyFont="1" applyFill="1" applyBorder="1" applyAlignment="1">
      <alignment horizontal="centerContinuous"/>
    </xf>
    <xf numFmtId="0" fontId="18" fillId="4" borderId="27" xfId="0" applyFont="1" applyFill="1" applyBorder="1" applyAlignment="1">
      <alignment horizontal="centerContinuous"/>
    </xf>
    <xf numFmtId="0" fontId="17" fillId="0" borderId="28" xfId="0" applyFont="1" applyBorder="1"/>
    <xf numFmtId="0" fontId="17" fillId="0" borderId="0" xfId="0" applyFont="1" applyBorder="1"/>
    <xf numFmtId="0" fontId="17" fillId="0" borderId="0" xfId="0" applyFont="1" applyBorder="1" applyAlignment="1">
      <alignment horizontal="left"/>
    </xf>
    <xf numFmtId="0" fontId="17" fillId="0" borderId="29" xfId="0" applyFont="1" applyBorder="1"/>
    <xf numFmtId="0" fontId="17" fillId="3" borderId="28" xfId="0" applyFont="1" applyFill="1" applyBorder="1"/>
    <xf numFmtId="0" fontId="19" fillId="3" borderId="0" xfId="0" applyFont="1" applyFill="1" applyBorder="1"/>
    <xf numFmtId="0" fontId="17" fillId="3" borderId="0" xfId="0" applyFont="1" applyFill="1" applyBorder="1"/>
    <xf numFmtId="0" fontId="19" fillId="3" borderId="0" xfId="0" applyFont="1" applyFill="1" applyBorder="1" applyAlignment="1">
      <alignment horizontal="left"/>
    </xf>
    <xf numFmtId="0" fontId="17" fillId="3" borderId="29" xfId="0" applyFont="1" applyFill="1" applyBorder="1"/>
    <xf numFmtId="0" fontId="17" fillId="2" borderId="73" xfId="0" applyFont="1" applyFill="1" applyBorder="1" applyAlignment="1">
      <alignment horizontal="center"/>
    </xf>
    <xf numFmtId="0" fontId="20" fillId="0" borderId="0" xfId="0" applyFont="1" applyBorder="1" applyAlignment="1">
      <alignment horizontal="left"/>
    </xf>
    <xf numFmtId="0" fontId="19" fillId="0" borderId="0" xfId="0" applyFont="1" applyBorder="1" applyAlignment="1">
      <alignment horizontal="left"/>
    </xf>
    <xf numFmtId="0" fontId="20" fillId="0" borderId="0" xfId="0" quotePrefix="1" applyFont="1" applyBorder="1" applyAlignment="1">
      <alignment horizontal="left"/>
    </xf>
    <xf numFmtId="0" fontId="20" fillId="0" borderId="0" xfId="0" applyFont="1" applyBorder="1" applyAlignment="1">
      <alignment horizontal="center"/>
    </xf>
    <xf numFmtId="0" fontId="19" fillId="3" borderId="0" xfId="0" applyFont="1" applyFill="1" applyBorder="1" applyAlignment="1">
      <alignment horizontal="right"/>
    </xf>
    <xf numFmtId="0" fontId="17" fillId="0" borderId="0" xfId="0" applyFont="1" applyBorder="1" applyAlignment="1">
      <alignment horizontal="right"/>
    </xf>
    <xf numFmtId="0" fontId="17" fillId="0" borderId="30" xfId="0" applyFont="1" applyBorder="1"/>
    <xf numFmtId="0" fontId="17" fillId="0" borderId="31" xfId="0" applyFont="1" applyBorder="1"/>
    <xf numFmtId="0" fontId="17" fillId="0" borderId="31" xfId="0" applyFont="1" applyBorder="1" applyAlignment="1">
      <alignment horizontal="left"/>
    </xf>
    <xf numFmtId="0" fontId="17" fillId="0" borderId="32" xfId="0" applyFont="1" applyBorder="1"/>
    <xf numFmtId="0" fontId="17" fillId="0" borderId="0" xfId="0" applyFont="1" applyAlignment="1">
      <alignment horizontal="left"/>
    </xf>
    <xf numFmtId="0" fontId="0" fillId="0" borderId="0" xfId="0" quotePrefix="1" applyFont="1"/>
    <xf numFmtId="0" fontId="20" fillId="0" borderId="0" xfId="0" applyFont="1" applyFill="1" applyBorder="1" applyAlignment="1">
      <alignment horizontal="left"/>
    </xf>
    <xf numFmtId="0" fontId="17" fillId="0" borderId="0" xfId="0" applyFont="1" applyFill="1" applyBorder="1" applyAlignment="1">
      <alignment horizontal="left"/>
    </xf>
    <xf numFmtId="0" fontId="17" fillId="0" borderId="29" xfId="0" applyFont="1" applyFill="1" applyBorder="1"/>
    <xf numFmtId="0" fontId="19" fillId="0" borderId="2" xfId="0" applyFont="1" applyFill="1" applyBorder="1" applyAlignment="1">
      <alignment horizontal="left"/>
    </xf>
    <xf numFmtId="0" fontId="19" fillId="0" borderId="4" xfId="0" applyFont="1" applyFill="1" applyBorder="1" applyAlignment="1">
      <alignment horizontal="left"/>
    </xf>
    <xf numFmtId="0" fontId="20" fillId="0" borderId="77" xfId="0" applyFont="1" applyFill="1" applyBorder="1" applyAlignment="1">
      <alignment horizontal="left"/>
    </xf>
    <xf numFmtId="0" fontId="17" fillId="0" borderId="78" xfId="0" applyFont="1" applyFill="1" applyBorder="1" applyAlignment="1">
      <alignment horizontal="left"/>
    </xf>
    <xf numFmtId="0" fontId="20" fillId="0" borderId="79" xfId="0" applyFont="1" applyFill="1" applyBorder="1" applyAlignment="1">
      <alignment horizontal="left"/>
    </xf>
    <xf numFmtId="0" fontId="17" fillId="0" borderId="80" xfId="0" applyFont="1" applyFill="1" applyBorder="1" applyAlignment="1">
      <alignment horizontal="left"/>
    </xf>
    <xf numFmtId="0" fontId="0" fillId="0" borderId="49" xfId="0" applyFont="1" applyBorder="1"/>
    <xf numFmtId="0" fontId="19" fillId="0" borderId="0" xfId="0" applyFont="1" applyFill="1" applyBorder="1"/>
    <xf numFmtId="0" fontId="22" fillId="0" borderId="0" xfId="0" applyFont="1"/>
    <xf numFmtId="9" fontId="21" fillId="19" borderId="81" xfId="0" applyNumberFormat="1" applyFont="1" applyFill="1" applyBorder="1" applyAlignment="1">
      <alignment horizontal="left"/>
    </xf>
    <xf numFmtId="0" fontId="17" fillId="0" borderId="50" xfId="0" applyFont="1" applyBorder="1"/>
    <xf numFmtId="9" fontId="21" fillId="19" borderId="51" xfId="0" applyNumberFormat="1" applyFont="1" applyFill="1" applyBorder="1" applyAlignment="1">
      <alignment horizontal="center"/>
    </xf>
    <xf numFmtId="0" fontId="23" fillId="0" borderId="0" xfId="0" applyFont="1"/>
    <xf numFmtId="0" fontId="24" fillId="0" borderId="0" xfId="0" applyFont="1"/>
    <xf numFmtId="2" fontId="24" fillId="0" borderId="0" xfId="0" applyNumberFormat="1" applyFont="1"/>
    <xf numFmtId="9" fontId="24" fillId="0" borderId="0" xfId="0" applyNumberFormat="1" applyFont="1" applyAlignment="1">
      <alignment horizontal="right"/>
    </xf>
    <xf numFmtId="0" fontId="25" fillId="5" borderId="0" xfId="0" applyFont="1" applyFill="1"/>
    <xf numFmtId="0" fontId="26" fillId="5" borderId="0" xfId="0" applyFont="1" applyFill="1"/>
    <xf numFmtId="0" fontId="27" fillId="0" borderId="0" xfId="0" applyFont="1"/>
    <xf numFmtId="0" fontId="27" fillId="0" borderId="49" xfId="0" applyFont="1" applyBorder="1"/>
    <xf numFmtId="0" fontId="27" fillId="0" borderId="50" xfId="0" applyFont="1" applyBorder="1"/>
    <xf numFmtId="9" fontId="28" fillId="2" borderId="51" xfId="0" applyNumberFormat="1" applyFont="1" applyFill="1" applyBorder="1" applyAlignment="1">
      <alignment horizontal="center"/>
    </xf>
    <xf numFmtId="9" fontId="28" fillId="2" borderId="51" xfId="0" applyNumberFormat="1" applyFont="1" applyFill="1" applyBorder="1" applyAlignment="1">
      <alignment horizontal="left"/>
    </xf>
    <xf numFmtId="0" fontId="29" fillId="4" borderId="25" xfId="0" applyFont="1" applyFill="1" applyBorder="1" applyAlignment="1">
      <alignment horizontal="centerContinuous"/>
    </xf>
    <xf numFmtId="0" fontId="29" fillId="4" borderId="26" xfId="0" applyFont="1" applyFill="1" applyBorder="1" applyAlignment="1">
      <alignment horizontal="centerContinuous"/>
    </xf>
    <xf numFmtId="0" fontId="27" fillId="4" borderId="26" xfId="0" applyFont="1" applyFill="1" applyBorder="1" applyAlignment="1">
      <alignment horizontal="centerContinuous"/>
    </xf>
    <xf numFmtId="0" fontId="27" fillId="4" borderId="27" xfId="0" applyFont="1" applyFill="1" applyBorder="1" applyAlignment="1">
      <alignment horizontal="centerContinuous"/>
    </xf>
    <xf numFmtId="0" fontId="29" fillId="8" borderId="14" xfId="0" applyFont="1" applyFill="1" applyBorder="1" applyAlignment="1">
      <alignment horizontal="centerContinuous"/>
    </xf>
    <xf numFmtId="0" fontId="30" fillId="8" borderId="15" xfId="0" applyFont="1" applyFill="1" applyBorder="1" applyAlignment="1">
      <alignment horizontal="centerContinuous"/>
    </xf>
    <xf numFmtId="0" fontId="30" fillId="8" borderId="16" xfId="0" applyFont="1" applyFill="1" applyBorder="1" applyAlignment="1">
      <alignment horizontal="centerContinuous"/>
    </xf>
    <xf numFmtId="0" fontId="27" fillId="3" borderId="28" xfId="0" applyFont="1" applyFill="1" applyBorder="1"/>
    <xf numFmtId="0" fontId="27" fillId="3" borderId="0" xfId="0" applyFont="1" applyFill="1" applyBorder="1"/>
    <xf numFmtId="0" fontId="27" fillId="3" borderId="29" xfId="0" applyFont="1" applyFill="1" applyBorder="1"/>
    <xf numFmtId="0" fontId="27" fillId="0" borderId="17" xfId="0" applyFont="1" applyBorder="1"/>
    <xf numFmtId="0" fontId="27" fillId="0" borderId="0" xfId="0" applyFont="1" applyBorder="1"/>
    <xf numFmtId="0" fontId="27" fillId="0" borderId="18" xfId="0" applyFont="1" applyBorder="1"/>
    <xf numFmtId="0" fontId="31" fillId="3" borderId="0" xfId="0" applyFont="1" applyFill="1" applyBorder="1"/>
    <xf numFmtId="0" fontId="32" fillId="3" borderId="0" xfId="0" applyFont="1" applyFill="1" applyBorder="1"/>
    <xf numFmtId="0" fontId="33" fillId="0" borderId="0" xfId="0" applyFont="1"/>
    <xf numFmtId="0" fontId="30" fillId="4" borderId="2" xfId="0" applyFont="1" applyFill="1" applyBorder="1"/>
    <xf numFmtId="0" fontId="30" fillId="4" borderId="3" xfId="0" applyFont="1" applyFill="1" applyBorder="1" applyAlignment="1">
      <alignment horizontal="center"/>
    </xf>
    <xf numFmtId="0" fontId="30" fillId="8" borderId="22" xfId="0" applyFont="1" applyFill="1" applyBorder="1"/>
    <xf numFmtId="0" fontId="30" fillId="8" borderId="23" xfId="0" applyFont="1" applyFill="1" applyBorder="1" applyAlignment="1">
      <alignment horizontal="center"/>
    </xf>
    <xf numFmtId="0" fontId="28" fillId="2" borderId="5" xfId="0" applyFont="1" applyFill="1" applyBorder="1"/>
    <xf numFmtId="9" fontId="28" fillId="2" borderId="1" xfId="0" applyNumberFormat="1" applyFont="1" applyFill="1" applyBorder="1" applyAlignment="1">
      <alignment horizontal="center"/>
    </xf>
    <xf numFmtId="0" fontId="34" fillId="0" borderId="0" xfId="0" applyFont="1" applyBorder="1"/>
    <xf numFmtId="9" fontId="28" fillId="2" borderId="24" xfId="0" applyNumberFormat="1" applyFont="1" applyFill="1" applyBorder="1" applyAlignment="1">
      <alignment horizontal="center"/>
    </xf>
    <xf numFmtId="0" fontId="27" fillId="0" borderId="19" xfId="0" applyFont="1" applyBorder="1"/>
    <xf numFmtId="0" fontId="27" fillId="8" borderId="20" xfId="0" applyFont="1" applyFill="1" applyBorder="1"/>
    <xf numFmtId="9" fontId="30" fillId="8" borderId="23" xfId="0" applyNumberFormat="1" applyFont="1" applyFill="1" applyBorder="1" applyAlignment="1">
      <alignment horizontal="center"/>
    </xf>
    <xf numFmtId="0" fontId="27" fillId="3" borderId="52" xfId="0" applyFont="1" applyFill="1" applyBorder="1"/>
    <xf numFmtId="0" fontId="27" fillId="3" borderId="53" xfId="0" applyFont="1" applyFill="1" applyBorder="1"/>
    <xf numFmtId="0" fontId="27" fillId="0" borderId="0" xfId="0" applyFont="1" applyFill="1" applyBorder="1"/>
    <xf numFmtId="0" fontId="35" fillId="0" borderId="0" xfId="0" applyFont="1" applyBorder="1" applyAlignment="1">
      <alignment horizontal="right"/>
    </xf>
    <xf numFmtId="0" fontId="27" fillId="3" borderId="54" xfId="0" applyFont="1" applyFill="1" applyBorder="1"/>
    <xf numFmtId="0" fontId="27" fillId="3" borderId="55" xfId="0" applyFont="1" applyFill="1" applyBorder="1"/>
    <xf numFmtId="0" fontId="28" fillId="2" borderId="7" xfId="0" applyFont="1" applyFill="1" applyBorder="1"/>
    <xf numFmtId="9" fontId="28" fillId="2" borderId="8" xfId="0" applyNumberFormat="1" applyFont="1" applyFill="1" applyBorder="1" applyAlignment="1">
      <alignment horizontal="center"/>
    </xf>
    <xf numFmtId="0" fontId="27" fillId="3" borderId="56" xfId="0" applyFont="1" applyFill="1" applyBorder="1"/>
    <xf numFmtId="0" fontId="27" fillId="3" borderId="57" xfId="0" applyFont="1" applyFill="1" applyBorder="1"/>
    <xf numFmtId="0" fontId="27" fillId="3" borderId="30" xfId="0" applyFont="1" applyFill="1" applyBorder="1"/>
    <xf numFmtId="0" fontId="35" fillId="3" borderId="31" xfId="0" applyFont="1" applyFill="1" applyBorder="1" applyAlignment="1">
      <alignment horizontal="right"/>
    </xf>
    <xf numFmtId="9" fontId="34" fillId="3" borderId="31" xfId="0" applyNumberFormat="1" applyFont="1" applyFill="1" applyBorder="1" applyAlignment="1">
      <alignment horizontal="center"/>
    </xf>
    <xf numFmtId="0" fontId="27" fillId="3" borderId="31" xfId="0" applyFont="1" applyFill="1" applyBorder="1"/>
    <xf numFmtId="0" fontId="27" fillId="3" borderId="32" xfId="0" applyFont="1" applyFill="1" applyBorder="1"/>
    <xf numFmtId="0" fontId="29" fillId="7" borderId="2" xfId="0" applyFont="1" applyFill="1" applyBorder="1" applyAlignment="1">
      <alignment horizontal="centerContinuous"/>
    </xf>
    <xf numFmtId="0" fontId="29" fillId="7" borderId="3" xfId="0" applyFont="1" applyFill="1" applyBorder="1" applyAlignment="1">
      <alignment horizontal="centerContinuous"/>
    </xf>
    <xf numFmtId="0" fontId="27" fillId="7" borderId="3" xfId="0" applyFont="1" applyFill="1" applyBorder="1" applyAlignment="1">
      <alignment horizontal="centerContinuous"/>
    </xf>
    <xf numFmtId="0" fontId="27" fillId="7" borderId="4" xfId="0" applyFont="1" applyFill="1" applyBorder="1" applyAlignment="1">
      <alignment horizontal="centerContinuous"/>
    </xf>
    <xf numFmtId="0" fontId="27" fillId="6" borderId="9" xfId="0" applyFont="1" applyFill="1" applyBorder="1"/>
    <xf numFmtId="0" fontId="27" fillId="6" borderId="0" xfId="0" applyFont="1" applyFill="1" applyBorder="1"/>
    <xf numFmtId="0" fontId="27" fillId="6" borderId="10" xfId="0" applyFont="1" applyFill="1" applyBorder="1"/>
    <xf numFmtId="0" fontId="30" fillId="7" borderId="0" xfId="0" applyFont="1" applyFill="1" applyBorder="1"/>
    <xf numFmtId="0" fontId="30" fillId="7" borderId="0" xfId="0" applyFont="1" applyFill="1" applyBorder="1" applyAlignment="1">
      <alignment horizontal="center"/>
    </xf>
    <xf numFmtId="164" fontId="28" fillId="2" borderId="6" xfId="0" applyNumberFormat="1" applyFont="1" applyFill="1" applyBorder="1" applyAlignment="1">
      <alignment horizontal="center"/>
    </xf>
    <xf numFmtId="165" fontId="28" fillId="2" borderId="6" xfId="0" applyNumberFormat="1" applyFont="1" applyFill="1" applyBorder="1" applyAlignment="1">
      <alignment horizontal="center"/>
    </xf>
    <xf numFmtId="166" fontId="28" fillId="2" borderId="6" xfId="0" applyNumberFormat="1" applyFont="1" applyFill="1" applyBorder="1"/>
    <xf numFmtId="9" fontId="36" fillId="9" borderId="1" xfId="0" applyNumberFormat="1" applyFont="1" applyFill="1" applyBorder="1" applyAlignment="1">
      <alignment horizontal="center"/>
    </xf>
    <xf numFmtId="9" fontId="36" fillId="9" borderId="58" xfId="0" applyNumberFormat="1" applyFont="1" applyFill="1" applyBorder="1" applyAlignment="1">
      <alignment horizontal="center"/>
    </xf>
    <xf numFmtId="0" fontId="27" fillId="6" borderId="59" xfId="0" applyFont="1" applyFill="1" applyBorder="1"/>
    <xf numFmtId="0" fontId="27" fillId="6" borderId="60" xfId="0" applyFont="1" applyFill="1" applyBorder="1"/>
    <xf numFmtId="0" fontId="27" fillId="0" borderId="14" xfId="0" applyFont="1" applyBorder="1"/>
    <xf numFmtId="0" fontId="27" fillId="0" borderId="16" xfId="0" applyFont="1" applyBorder="1"/>
    <xf numFmtId="0" fontId="27" fillId="6" borderId="11" xfId="0" applyFont="1" applyFill="1" applyBorder="1"/>
    <xf numFmtId="0" fontId="27" fillId="6" borderId="13" xfId="0" applyFont="1" applyFill="1" applyBorder="1"/>
    <xf numFmtId="0" fontId="27" fillId="0" borderId="21" xfId="0" applyFont="1" applyBorder="1"/>
    <xf numFmtId="0" fontId="35" fillId="6" borderId="34" xfId="0" applyFont="1" applyFill="1" applyBorder="1" applyAlignment="1">
      <alignment horizontal="right"/>
    </xf>
    <xf numFmtId="9" fontId="34" fillId="6" borderId="12" xfId="0" applyNumberFormat="1" applyFont="1" applyFill="1" applyBorder="1" applyAlignment="1">
      <alignment horizontal="center"/>
    </xf>
    <xf numFmtId="0" fontId="27" fillId="6" borderId="12" xfId="0" applyFont="1" applyFill="1" applyBorder="1"/>
    <xf numFmtId="0" fontId="27" fillId="0" borderId="20" xfId="0" applyFont="1" applyBorder="1"/>
    <xf numFmtId="0" fontId="29" fillId="11" borderId="2" xfId="0" applyFont="1" applyFill="1" applyBorder="1" applyAlignment="1">
      <alignment horizontal="centerContinuous"/>
    </xf>
    <xf numFmtId="0" fontId="29" fillId="11" borderId="3" xfId="0" applyFont="1" applyFill="1" applyBorder="1" applyAlignment="1">
      <alignment horizontal="centerContinuous"/>
    </xf>
    <xf numFmtId="0" fontId="27" fillId="11" borderId="3" xfId="0" applyFont="1" applyFill="1" applyBorder="1" applyAlignment="1">
      <alignment horizontal="centerContinuous"/>
    </xf>
    <xf numFmtId="0" fontId="27" fillId="11" borderId="4" xfId="0" applyFont="1" applyFill="1" applyBorder="1" applyAlignment="1">
      <alignment horizontal="centerContinuous"/>
    </xf>
    <xf numFmtId="0" fontId="29" fillId="13" borderId="44" xfId="0" applyFont="1" applyFill="1" applyBorder="1" applyAlignment="1">
      <alignment horizontal="centerContinuous"/>
    </xf>
    <xf numFmtId="0" fontId="30" fillId="13" borderId="45" xfId="0" applyFont="1" applyFill="1" applyBorder="1" applyAlignment="1">
      <alignment horizontal="centerContinuous"/>
    </xf>
    <xf numFmtId="0" fontId="30" fillId="13" borderId="46" xfId="0" applyFont="1" applyFill="1" applyBorder="1" applyAlignment="1">
      <alignment horizontal="centerContinuous"/>
    </xf>
    <xf numFmtId="0" fontId="27" fillId="0" borderId="35" xfId="0" applyFont="1" applyBorder="1"/>
    <xf numFmtId="0" fontId="27" fillId="0" borderId="36" xfId="0" applyFont="1" applyBorder="1"/>
    <xf numFmtId="0" fontId="27" fillId="14" borderId="47" xfId="0" applyFont="1" applyFill="1" applyBorder="1"/>
    <xf numFmtId="0" fontId="27" fillId="14" borderId="0" xfId="0" applyFont="1" applyFill="1" applyBorder="1"/>
    <xf numFmtId="0" fontId="27" fillId="14" borderId="48" xfId="0" applyFont="1" applyFill="1" applyBorder="1"/>
    <xf numFmtId="0" fontId="37" fillId="12" borderId="0" xfId="0" applyFont="1" applyFill="1" applyBorder="1" applyAlignment="1">
      <alignment horizontal="left"/>
    </xf>
    <xf numFmtId="0" fontId="30" fillId="12" borderId="0" xfId="0" applyFont="1" applyFill="1" applyBorder="1" applyAlignment="1">
      <alignment horizontal="centerContinuous"/>
    </xf>
    <xf numFmtId="0" fontId="30" fillId="11" borderId="0" xfId="0" applyFont="1" applyFill="1" applyBorder="1"/>
    <xf numFmtId="0" fontId="30" fillId="11" borderId="0" xfId="0" applyFont="1" applyFill="1" applyBorder="1" applyAlignment="1">
      <alignment horizontal="center"/>
    </xf>
    <xf numFmtId="0" fontId="36" fillId="19" borderId="5" xfId="0" applyFont="1" applyFill="1" applyBorder="1"/>
    <xf numFmtId="1" fontId="27" fillId="0" borderId="61" xfId="0" applyNumberFormat="1" applyFont="1" applyBorder="1"/>
    <xf numFmtId="1" fontId="27" fillId="0" borderId="62" xfId="0" applyNumberFormat="1" applyFont="1" applyBorder="1"/>
    <xf numFmtId="1" fontId="27" fillId="0" borderId="63" xfId="0" applyNumberFormat="1" applyFont="1" applyBorder="1"/>
    <xf numFmtId="1" fontId="27" fillId="0" borderId="64" xfId="0" applyNumberFormat="1" applyFont="1" applyBorder="1"/>
    <xf numFmtId="0" fontId="30" fillId="13" borderId="0" xfId="0" applyFont="1" applyFill="1" applyBorder="1" applyAlignment="1">
      <alignment horizontal="center"/>
    </xf>
    <xf numFmtId="0" fontId="30" fillId="13" borderId="0" xfId="0" applyFont="1" applyFill="1" applyAlignment="1">
      <alignment horizontal="center"/>
    </xf>
    <xf numFmtId="1" fontId="28" fillId="2" borderId="1" xfId="0" applyNumberFormat="1" applyFont="1" applyFill="1" applyBorder="1" applyAlignment="1">
      <alignment horizontal="left"/>
    </xf>
    <xf numFmtId="1" fontId="28" fillId="2" borderId="1" xfId="0" applyNumberFormat="1" applyFont="1" applyFill="1" applyBorder="1" applyAlignment="1">
      <alignment horizontal="center"/>
    </xf>
    <xf numFmtId="1" fontId="27" fillId="0" borderId="65" xfId="0" applyNumberFormat="1" applyFont="1" applyBorder="1"/>
    <xf numFmtId="1" fontId="27" fillId="0" borderId="66" xfId="0" applyNumberFormat="1" applyFont="1" applyBorder="1"/>
    <xf numFmtId="1" fontId="27" fillId="0" borderId="0" xfId="0" applyNumberFormat="1" applyFont="1" applyBorder="1"/>
    <xf numFmtId="0" fontId="35" fillId="14" borderId="0" xfId="0" applyFont="1" applyFill="1" applyBorder="1" applyAlignment="1">
      <alignment horizontal="left"/>
    </xf>
    <xf numFmtId="9" fontId="34" fillId="14" borderId="0" xfId="0" applyNumberFormat="1" applyFont="1" applyFill="1" applyBorder="1" applyAlignment="1">
      <alignment horizontal="center"/>
    </xf>
    <xf numFmtId="9" fontId="33" fillId="14" borderId="0" xfId="0" applyNumberFormat="1" applyFont="1" applyFill="1" applyBorder="1"/>
    <xf numFmtId="0" fontId="33" fillId="14" borderId="0" xfId="0" applyFont="1" applyFill="1" applyBorder="1"/>
    <xf numFmtId="0" fontId="27" fillId="14" borderId="67" xfId="0" applyFont="1" applyFill="1" applyBorder="1"/>
    <xf numFmtId="0" fontId="27" fillId="14" borderId="68" xfId="0" applyFont="1" applyFill="1" applyBorder="1"/>
    <xf numFmtId="0" fontId="27" fillId="14" borderId="69" xfId="0" applyFont="1" applyFill="1" applyBorder="1"/>
    <xf numFmtId="0" fontId="27" fillId="14" borderId="70" xfId="0" applyFont="1" applyFill="1" applyBorder="1"/>
    <xf numFmtId="0" fontId="27" fillId="14" borderId="71" xfId="0" applyFont="1" applyFill="1" applyBorder="1"/>
    <xf numFmtId="0" fontId="27" fillId="14" borderId="72" xfId="0" applyFont="1" applyFill="1" applyBorder="1"/>
    <xf numFmtId="0" fontId="27" fillId="14" borderId="82" xfId="0" applyFont="1" applyFill="1" applyBorder="1"/>
    <xf numFmtId="0" fontId="27" fillId="14" borderId="83" xfId="0" applyFont="1" applyFill="1" applyBorder="1"/>
    <xf numFmtId="0" fontId="27" fillId="14" borderId="84" xfId="0" applyFont="1" applyFill="1" applyBorder="1"/>
    <xf numFmtId="167" fontId="28" fillId="2" borderId="1" xfId="0" applyNumberFormat="1" applyFont="1" applyFill="1" applyBorder="1" applyAlignment="1">
      <alignment horizontal="center"/>
    </xf>
    <xf numFmtId="0" fontId="28" fillId="2" borderId="5" xfId="0" applyFont="1" applyFill="1" applyBorder="1" applyAlignment="1">
      <alignment horizontal="left"/>
    </xf>
    <xf numFmtId="9" fontId="33" fillId="0" borderId="0" xfId="0" applyNumberFormat="1" applyFont="1" applyFill="1" applyBorder="1"/>
    <xf numFmtId="1" fontId="33" fillId="0" borderId="0" xfId="0" applyNumberFormat="1" applyFont="1" applyBorder="1"/>
    <xf numFmtId="2" fontId="28" fillId="2" borderId="40" xfId="0" applyNumberFormat="1" applyFont="1" applyFill="1" applyBorder="1" applyAlignment="1">
      <alignment horizontal="center"/>
    </xf>
    <xf numFmtId="0" fontId="27" fillId="9" borderId="41" xfId="0" applyFont="1" applyFill="1" applyBorder="1"/>
    <xf numFmtId="0" fontId="27" fillId="9" borderId="42" xfId="0" applyFont="1" applyFill="1" applyBorder="1"/>
    <xf numFmtId="1" fontId="27" fillId="9" borderId="43" xfId="0" applyNumberFormat="1" applyFont="1" applyFill="1" applyBorder="1"/>
    <xf numFmtId="0" fontId="33" fillId="0" borderId="0" xfId="0" applyFont="1" applyBorder="1"/>
    <xf numFmtId="9" fontId="34" fillId="0" borderId="0" xfId="0" applyNumberFormat="1" applyFont="1" applyBorder="1" applyAlignment="1">
      <alignment horizontal="center"/>
    </xf>
    <xf numFmtId="0" fontId="27" fillId="0" borderId="37" xfId="0" applyFont="1" applyBorder="1"/>
    <xf numFmtId="0" fontId="27" fillId="0" borderId="38" xfId="0" applyFont="1" applyBorder="1"/>
    <xf numFmtId="0" fontId="27" fillId="0" borderId="39" xfId="0" applyFont="1" applyBorder="1"/>
    <xf numFmtId="0" fontId="27" fillId="19" borderId="74" xfId="0" applyFont="1" applyFill="1" applyBorder="1"/>
    <xf numFmtId="0" fontId="27" fillId="19" borderId="75" xfId="0" applyFont="1" applyFill="1" applyBorder="1"/>
    <xf numFmtId="0" fontId="27" fillId="19" borderId="76" xfId="0" applyFont="1" applyFill="1" applyBorder="1"/>
    <xf numFmtId="0" fontId="27" fillId="19" borderId="35" xfId="0" applyFont="1" applyFill="1" applyBorder="1"/>
    <xf numFmtId="0" fontId="33" fillId="19" borderId="0" xfId="0" applyFont="1" applyFill="1" applyBorder="1"/>
    <xf numFmtId="0" fontId="27" fillId="19" borderId="0" xfId="0" applyFont="1" applyFill="1" applyBorder="1"/>
    <xf numFmtId="0" fontId="27" fillId="19" borderId="36" xfId="0" applyFont="1" applyFill="1" applyBorder="1"/>
    <xf numFmtId="0" fontId="34" fillId="19" borderId="0" xfId="0" applyFont="1" applyFill="1" applyBorder="1"/>
    <xf numFmtId="0" fontId="27" fillId="19" borderId="37" xfId="0" applyFont="1" applyFill="1" applyBorder="1"/>
    <xf numFmtId="0" fontId="27" fillId="19" borderId="38" xfId="0" applyFont="1" applyFill="1" applyBorder="1"/>
    <xf numFmtId="0" fontId="27" fillId="19" borderId="39" xfId="0" applyFont="1" applyFill="1" applyBorder="1"/>
    <xf numFmtId="0" fontId="0" fillId="0" borderId="0" xfId="0" applyFont="1" applyBorder="1" applyAlignment="1">
      <alignment horizontal="left"/>
    </xf>
  </cellXfs>
  <cellStyles count="2">
    <cellStyle name="Normal" xfId="0" builtinId="0"/>
    <cellStyle name="Percent" xfId="1" builtinId="5"/>
  </cellStyles>
  <dxfs count="7">
    <dxf>
      <font>
        <color rgb="FFFFEBEB"/>
      </font>
      <fill>
        <patternFill>
          <bgColor rgb="FFFFEFEF"/>
        </patternFill>
      </fill>
    </dxf>
    <dxf>
      <font>
        <color theme="9" tint="0.79998168889431442"/>
      </font>
      <fill>
        <patternFill>
          <bgColor theme="9" tint="0.79998168889431442"/>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8" tint="0.79998168889431442"/>
      </font>
      <fill>
        <patternFill>
          <bgColor theme="8" tint="0.79998168889431442"/>
        </patternFill>
      </fill>
    </dxf>
    <dxf>
      <font>
        <color theme="0"/>
      </font>
      <fill>
        <patternFill>
          <bgColor theme="0"/>
        </patternFill>
      </fill>
    </dxf>
  </dxfs>
  <tableStyles count="0" defaultTableStyle="TableStyleMedium2" defaultPivotStyle="PivotStyleLight16"/>
  <colors>
    <mruColors>
      <color rgb="FFFFFFCC"/>
      <color rgb="FFFFEBEB"/>
      <color rgb="FFFFBDBD"/>
      <color rgb="FFFFEFEF"/>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20975038239989E-2"/>
          <c:y val="0"/>
          <c:w val="0.82002124701867596"/>
          <c:h val="1"/>
        </c:manualLayout>
      </c:layout>
      <c:pieChart>
        <c:varyColors val="1"/>
        <c:ser>
          <c:idx val="0"/>
          <c:order val="0"/>
          <c:spPr>
            <a:ln>
              <a:solidFill>
                <a:schemeClr val="bg1"/>
              </a:solidFill>
            </a:ln>
          </c:spPr>
          <c:dPt>
            <c:idx val="0"/>
            <c:bubble3D val="0"/>
            <c:spPr>
              <a:solidFill>
                <a:schemeClr val="accent5">
                  <a:lumMod val="75000"/>
                </a:schemeClr>
              </a:solidFill>
              <a:ln w="19050">
                <a:solidFill>
                  <a:schemeClr val="bg1"/>
                </a:solidFill>
              </a:ln>
              <a:effectLst/>
            </c:spPr>
            <c:extLst>
              <c:ext xmlns:c16="http://schemas.microsoft.com/office/drawing/2014/chart" uri="{C3380CC4-5D6E-409C-BE32-E72D297353CC}">
                <c16:uniqueId val="{00000001-FCF4-4261-B9D4-18A04D44AACF}"/>
              </c:ext>
            </c:extLst>
          </c:dPt>
          <c:dPt>
            <c:idx val="1"/>
            <c:bubble3D val="0"/>
            <c:spPr>
              <a:solidFill>
                <a:schemeClr val="accent6">
                  <a:lumMod val="75000"/>
                </a:schemeClr>
              </a:solidFill>
              <a:ln w="19050">
                <a:solidFill>
                  <a:schemeClr val="bg1"/>
                </a:solidFill>
              </a:ln>
              <a:effectLst/>
            </c:spPr>
            <c:extLst>
              <c:ext xmlns:c16="http://schemas.microsoft.com/office/drawing/2014/chart" uri="{C3380CC4-5D6E-409C-BE32-E72D297353CC}">
                <c16:uniqueId val="{00000002-FCF4-4261-B9D4-18A04D44AACF}"/>
              </c:ext>
            </c:extLst>
          </c:dPt>
          <c:dPt>
            <c:idx val="2"/>
            <c:bubble3D val="0"/>
            <c:spPr>
              <a:solidFill>
                <a:schemeClr val="tx1">
                  <a:lumMod val="85000"/>
                  <a:lumOff val="15000"/>
                </a:schemeClr>
              </a:solidFill>
              <a:ln w="19050">
                <a:solidFill>
                  <a:schemeClr val="bg1"/>
                </a:solidFill>
              </a:ln>
              <a:effectLst/>
            </c:spPr>
            <c:extLst>
              <c:ext xmlns:c16="http://schemas.microsoft.com/office/drawing/2014/chart" uri="{C3380CC4-5D6E-409C-BE32-E72D297353CC}">
                <c16:uniqueId val="{00000003-FCF4-4261-B9D4-18A04D44AACF}"/>
              </c:ext>
            </c:extLst>
          </c:dPt>
          <c:dPt>
            <c:idx val="3"/>
            <c:bubble3D val="0"/>
            <c:spPr>
              <a:solidFill>
                <a:schemeClr val="accent4"/>
              </a:solidFill>
              <a:ln w="19050">
                <a:solidFill>
                  <a:schemeClr val="bg1"/>
                </a:solidFill>
              </a:ln>
              <a:effectLst/>
            </c:spPr>
            <c:extLst>
              <c:ext xmlns:c16="http://schemas.microsoft.com/office/drawing/2014/chart" uri="{C3380CC4-5D6E-409C-BE32-E72D297353CC}">
                <c16:uniqueId val="{00000004-FCF4-4261-B9D4-18A04D44AACF}"/>
              </c:ext>
            </c:extLst>
          </c:dPt>
          <c:dPt>
            <c:idx val="4"/>
            <c:bubble3D val="0"/>
            <c:spPr>
              <a:solidFill>
                <a:srgbClr val="FF2929"/>
              </a:solidFill>
              <a:ln w="19050">
                <a:solidFill>
                  <a:schemeClr val="bg1"/>
                </a:solidFill>
              </a:ln>
              <a:effectLst/>
            </c:spPr>
            <c:extLst>
              <c:ext xmlns:c16="http://schemas.microsoft.com/office/drawing/2014/chart" uri="{C3380CC4-5D6E-409C-BE32-E72D297353CC}">
                <c16:uniqueId val="{00000005-FCF4-4261-B9D4-18A04D44AACF}"/>
              </c:ext>
            </c:extLst>
          </c:dPt>
          <c:dLbls>
            <c:dLbl>
              <c:idx val="0"/>
              <c:layout>
                <c:manualLayout>
                  <c:x val="-0.11739847182947068"/>
                  <c:y val="0.128902127284404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CF4-4261-B9D4-18A04D44AACF}"/>
                </c:ext>
              </c:extLst>
            </c:dLbl>
            <c:dLbl>
              <c:idx val="2"/>
              <c:layout>
                <c:manualLayout>
                  <c:x val="0.18043400590671155"/>
                  <c:y val="-0.1697622849919527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CF4-4261-B9D4-18A04D44AACF}"/>
                </c:ext>
              </c:extLst>
            </c:dLbl>
            <c:dLbl>
              <c:idx val="3"/>
              <c:layout>
                <c:manualLayout>
                  <c:x val="1.8574513829657849E-3"/>
                  <c:y val="-3.142657109434966E-2"/>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ysClr val="windowText" lastClr="000000"/>
                      </a:solidFill>
                      <a:latin typeface="+mj-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FCF4-4261-B9D4-18A04D44AACF}"/>
                </c:ext>
              </c:extLst>
            </c:dLbl>
            <c:dLbl>
              <c:idx val="4"/>
              <c:layout>
                <c:manualLayout>
                  <c:x val="0.12716433926567303"/>
                  <c:y val="0.1360740639362561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CF4-4261-B9D4-18A04D44AACF}"/>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j-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PCS!$K$14:$K$18</c:f>
              <c:strCache>
                <c:ptCount val="5"/>
                <c:pt idx="0">
                  <c:v>     1.) Poverty Score</c:v>
                </c:pt>
                <c:pt idx="1">
                  <c:v>     2.) Risk Score</c:v>
                </c:pt>
                <c:pt idx="2">
                  <c:v>     3.) Criticality Score</c:v>
                </c:pt>
                <c:pt idx="3">
                  <c:v>     4.) Accessibility Score</c:v>
                </c:pt>
                <c:pt idx="4">
                  <c:v>     5.) Surface Condition Score</c:v>
                </c:pt>
              </c:strCache>
            </c:strRef>
          </c:cat>
          <c:val>
            <c:numRef>
              <c:f>PCS!$M$14:$M$18</c:f>
              <c:numCache>
                <c:formatCode>0%</c:formatCode>
                <c:ptCount val="5"/>
                <c:pt idx="0">
                  <c:v>0.25</c:v>
                </c:pt>
                <c:pt idx="1">
                  <c:v>0.25</c:v>
                </c:pt>
                <c:pt idx="2">
                  <c:v>0.25</c:v>
                </c:pt>
                <c:pt idx="3">
                  <c:v>0</c:v>
                </c:pt>
                <c:pt idx="4">
                  <c:v>0.25</c:v>
                </c:pt>
              </c:numCache>
            </c:numRef>
          </c:val>
          <c:extLst>
            <c:ext xmlns:c16="http://schemas.microsoft.com/office/drawing/2014/chart" uri="{C3380CC4-5D6E-409C-BE32-E72D297353CC}">
              <c16:uniqueId val="{00000000-FCF4-4261-B9D4-18A04D44AAC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12</xdr:col>
      <xdr:colOff>899160</xdr:colOff>
      <xdr:row>0</xdr:row>
      <xdr:rowOff>15241</xdr:rowOff>
    </xdr:from>
    <xdr:to>
      <xdr:col>14</xdr:col>
      <xdr:colOff>121921</xdr:colOff>
      <xdr:row>1</xdr:row>
      <xdr:rowOff>9771</xdr:rowOff>
    </xdr:to>
    <xdr:pic>
      <xdr:nvPicPr>
        <xdr:cNvPr id="2" name="Picture 1" descr="Image result for world bank 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13571220" y="15241"/>
          <a:ext cx="1653540" cy="322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185058</xdr:colOff>
      <xdr:row>20</xdr:row>
      <xdr:rowOff>50585</xdr:rowOff>
    </xdr:from>
    <xdr:to>
      <xdr:col>13</xdr:col>
      <xdr:colOff>1306286</xdr:colOff>
      <xdr:row>54</xdr:row>
      <xdr:rowOff>76200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60960</xdr:colOff>
          <xdr:row>19</xdr:row>
          <xdr:rowOff>60960</xdr:rowOff>
        </xdr:from>
        <xdr:to>
          <xdr:col>6</xdr:col>
          <xdr:colOff>1356360</xdr:colOff>
          <xdr:row>22</xdr:row>
          <xdr:rowOff>106680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Poverty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53340</xdr:colOff>
          <xdr:row>54</xdr:row>
          <xdr:rowOff>68580</xdr:rowOff>
        </xdr:from>
        <xdr:to>
          <xdr:col>6</xdr:col>
          <xdr:colOff>1341120</xdr:colOff>
          <xdr:row>57</xdr:row>
          <xdr:rowOff>114300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107</xdr:row>
          <xdr:rowOff>76200</xdr:rowOff>
        </xdr:from>
        <xdr:to>
          <xdr:col>6</xdr:col>
          <xdr:colOff>1348740</xdr:colOff>
          <xdr:row>110</xdr:row>
          <xdr:rowOff>121920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Criticality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79</xdr:row>
          <xdr:rowOff>68580</xdr:rowOff>
        </xdr:from>
        <xdr:to>
          <xdr:col>12</xdr:col>
          <xdr:colOff>1028700</xdr:colOff>
          <xdr:row>82</xdr:row>
          <xdr:rowOff>114300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Roughness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54</xdr:row>
          <xdr:rowOff>30480</xdr:rowOff>
        </xdr:from>
        <xdr:to>
          <xdr:col>12</xdr:col>
          <xdr:colOff>1059180</xdr:colOff>
          <xdr:row>57</xdr:row>
          <xdr:rowOff>144780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Overall Context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67</xdr:row>
          <xdr:rowOff>76200</xdr:rowOff>
        </xdr:from>
        <xdr:to>
          <xdr:col>6</xdr:col>
          <xdr:colOff>1348740</xdr:colOff>
          <xdr:row>70</xdr:row>
          <xdr:rowOff>121920</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Prepare Default Layers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1417320</xdr:colOff>
      <xdr:row>0</xdr:row>
      <xdr:rowOff>0</xdr:rowOff>
    </xdr:from>
    <xdr:to>
      <xdr:col>9</xdr:col>
      <xdr:colOff>425376</xdr:colOff>
      <xdr:row>0</xdr:row>
      <xdr:rowOff>326224</xdr:rowOff>
    </xdr:to>
    <xdr:pic>
      <xdr:nvPicPr>
        <xdr:cNvPr id="2" name="Picture 1" descr="Image result for world bank 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6911340" y="0"/>
          <a:ext cx="1652196" cy="326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xdr:col>
          <xdr:colOff>91440</xdr:colOff>
          <xdr:row>13</xdr:row>
          <xdr:rowOff>68580</xdr:rowOff>
        </xdr:from>
        <xdr:to>
          <xdr:col>8</xdr:col>
          <xdr:colOff>2575560</xdr:colOff>
          <xdr:row>16</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Prepare Road Network for RONET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2979420</xdr:colOff>
      <xdr:row>22</xdr:row>
      <xdr:rowOff>7557</xdr:rowOff>
    </xdr:from>
    <xdr:to>
      <xdr:col>8</xdr:col>
      <xdr:colOff>716280</xdr:colOff>
      <xdr:row>44</xdr:row>
      <xdr:rowOff>60960</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8980" y="4030917"/>
          <a:ext cx="5715000" cy="4076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O127"/>
  <sheetViews>
    <sheetView showGridLines="0" topLeftCell="A82" zoomScale="70" zoomScaleNormal="70" workbookViewId="0">
      <selection activeCell="J113" sqref="J113"/>
    </sheetView>
  </sheetViews>
  <sheetFormatPr defaultRowHeight="14.4" x14ac:dyDescent="0.3"/>
  <cols>
    <col min="1" max="2" width="2.77734375" style="77" customWidth="1"/>
    <col min="3" max="3" width="64.6640625" style="77" customWidth="1"/>
    <col min="4" max="4" width="14.33203125" style="77" customWidth="1"/>
    <col min="5" max="5" width="16.21875" style="77" customWidth="1"/>
    <col min="6" max="6" width="20.5546875" style="77" bestFit="1" customWidth="1"/>
    <col min="7" max="7" width="20.5546875" style="77" customWidth="1"/>
    <col min="8" max="8" width="2.77734375" style="77" customWidth="1"/>
    <col min="9" max="9" width="2.88671875" style="77" customWidth="1"/>
    <col min="10" max="10" width="2.77734375" style="77" customWidth="1"/>
    <col min="11" max="11" width="26.6640625" style="77" customWidth="1"/>
    <col min="12" max="12" width="25.44140625" style="77" customWidth="1"/>
    <col min="13" max="13" width="16.21875" style="77" customWidth="1"/>
    <col min="14" max="14" width="19.21875" style="77" customWidth="1"/>
    <col min="15" max="15" width="2.77734375" style="77" customWidth="1"/>
    <col min="16" max="16384" width="8.88671875" style="77"/>
  </cols>
  <sheetData>
    <row r="1" spans="1:15" ht="25.8" x14ac:dyDescent="0.5">
      <c r="A1" s="75"/>
      <c r="B1" s="75" t="s">
        <v>79</v>
      </c>
      <c r="C1" s="76"/>
      <c r="D1" s="76"/>
      <c r="E1" s="76"/>
      <c r="F1" s="76"/>
      <c r="G1" s="76"/>
      <c r="H1" s="76"/>
      <c r="I1" s="76"/>
      <c r="J1" s="76"/>
      <c r="K1" s="76"/>
      <c r="L1" s="76"/>
      <c r="M1" s="76"/>
      <c r="N1" s="76"/>
      <c r="O1" s="76"/>
    </row>
    <row r="2" spans="1:15" ht="19.8" customHeight="1" x14ac:dyDescent="0.3"/>
    <row r="3" spans="1:15" ht="19.8" customHeight="1" x14ac:dyDescent="0.3">
      <c r="B3" s="78" t="s">
        <v>357</v>
      </c>
      <c r="C3" s="79"/>
      <c r="D3" s="80" t="s">
        <v>377</v>
      </c>
    </row>
    <row r="4" spans="1:15" ht="19.8" customHeight="1" x14ac:dyDescent="0.3">
      <c r="B4" s="78" t="s">
        <v>214</v>
      </c>
      <c r="C4" s="79"/>
      <c r="D4" s="81" t="s">
        <v>343</v>
      </c>
      <c r="E4" s="77" t="s">
        <v>194</v>
      </c>
    </row>
    <row r="5" spans="1:15" ht="19.8" customHeight="1" x14ac:dyDescent="0.3">
      <c r="B5" s="78" t="s">
        <v>374</v>
      </c>
      <c r="C5" s="79"/>
      <c r="D5" s="81" t="s">
        <v>373</v>
      </c>
      <c r="E5" s="77" t="s">
        <v>194</v>
      </c>
    </row>
    <row r="6" spans="1:15" ht="19.8" customHeight="1" x14ac:dyDescent="0.3"/>
    <row r="7" spans="1:15" ht="21" x14ac:dyDescent="0.4">
      <c r="B7" s="82"/>
      <c r="C7" s="83" t="s">
        <v>91</v>
      </c>
      <c r="D7" s="84"/>
      <c r="E7" s="84"/>
      <c r="F7" s="84"/>
      <c r="G7" s="84"/>
      <c r="H7" s="85"/>
      <c r="J7" s="86" t="s">
        <v>90</v>
      </c>
      <c r="K7" s="87"/>
      <c r="L7" s="87"/>
      <c r="M7" s="87"/>
      <c r="N7" s="88"/>
    </row>
    <row r="8" spans="1:15" x14ac:dyDescent="0.3">
      <c r="B8" s="89"/>
      <c r="C8" s="90"/>
      <c r="D8" s="90"/>
      <c r="E8" s="90"/>
      <c r="F8" s="90"/>
      <c r="G8" s="90"/>
      <c r="H8" s="91"/>
      <c r="J8" s="92"/>
      <c r="K8" s="93"/>
      <c r="L8" s="93"/>
      <c r="M8" s="93"/>
      <c r="N8" s="94"/>
    </row>
    <row r="9" spans="1:15" x14ac:dyDescent="0.3">
      <c r="B9" s="89"/>
      <c r="C9" s="90" t="s">
        <v>143</v>
      </c>
      <c r="D9" s="90"/>
      <c r="E9" s="90"/>
      <c r="F9" s="90"/>
      <c r="G9" s="90"/>
      <c r="H9" s="91"/>
      <c r="J9" s="92"/>
      <c r="K9" s="93" t="s">
        <v>140</v>
      </c>
      <c r="L9" s="93"/>
      <c r="M9" s="93"/>
      <c r="N9" s="94"/>
    </row>
    <row r="10" spans="1:15" x14ac:dyDescent="0.3">
      <c r="B10" s="89"/>
      <c r="C10" s="90" t="s">
        <v>144</v>
      </c>
      <c r="D10" s="90"/>
      <c r="E10" s="90"/>
      <c r="F10" s="90"/>
      <c r="G10" s="90"/>
      <c r="H10" s="91"/>
      <c r="J10" s="92"/>
      <c r="K10" s="93" t="s">
        <v>139</v>
      </c>
      <c r="L10" s="93"/>
      <c r="M10" s="93"/>
      <c r="N10" s="94"/>
    </row>
    <row r="11" spans="1:15" x14ac:dyDescent="0.3">
      <c r="B11" s="89"/>
      <c r="C11" s="95"/>
      <c r="D11" s="90"/>
      <c r="E11" s="90"/>
      <c r="F11" s="90"/>
      <c r="G11" s="90"/>
      <c r="H11" s="91"/>
      <c r="J11" s="92"/>
      <c r="K11" s="93" t="s">
        <v>141</v>
      </c>
      <c r="L11" s="93"/>
      <c r="M11" s="93"/>
      <c r="N11" s="94"/>
    </row>
    <row r="12" spans="1:15" x14ac:dyDescent="0.3">
      <c r="B12" s="89"/>
      <c r="C12" s="96"/>
      <c r="D12" s="90"/>
      <c r="E12" s="90"/>
      <c r="F12" s="90"/>
      <c r="G12" s="90"/>
      <c r="H12" s="91"/>
      <c r="J12" s="92"/>
      <c r="L12" s="93"/>
      <c r="M12" s="93"/>
      <c r="N12" s="94"/>
    </row>
    <row r="13" spans="1:15" x14ac:dyDescent="0.3">
      <c r="A13" s="97"/>
      <c r="B13" s="89"/>
      <c r="C13" s="98" t="s">
        <v>142</v>
      </c>
      <c r="D13" s="99" t="s">
        <v>73</v>
      </c>
      <c r="E13" s="90"/>
      <c r="F13" s="90"/>
      <c r="G13" s="90"/>
      <c r="H13" s="91"/>
      <c r="J13" s="92"/>
      <c r="K13" s="100" t="s">
        <v>93</v>
      </c>
      <c r="L13" s="100"/>
      <c r="M13" s="101" t="s">
        <v>73</v>
      </c>
      <c r="N13" s="94"/>
    </row>
    <row r="14" spans="1:15" x14ac:dyDescent="0.3">
      <c r="B14" s="89"/>
      <c r="C14" s="102" t="s">
        <v>10</v>
      </c>
      <c r="D14" s="103">
        <v>0.05</v>
      </c>
      <c r="E14" s="90"/>
      <c r="F14" s="90"/>
      <c r="G14" s="90"/>
      <c r="H14" s="91"/>
      <c r="J14" s="92"/>
      <c r="K14" s="92" t="s">
        <v>181</v>
      </c>
      <c r="L14" s="104"/>
      <c r="M14" s="105">
        <v>0.25</v>
      </c>
      <c r="N14" s="94"/>
    </row>
    <row r="15" spans="1:15" x14ac:dyDescent="0.3">
      <c r="B15" s="89"/>
      <c r="C15" s="102" t="s">
        <v>0</v>
      </c>
      <c r="D15" s="103">
        <v>0.1</v>
      </c>
      <c r="E15" s="90"/>
      <c r="F15" s="90"/>
      <c r="G15" s="90"/>
      <c r="H15" s="91"/>
      <c r="J15" s="92"/>
      <c r="K15" s="92" t="s">
        <v>182</v>
      </c>
      <c r="L15" s="104"/>
      <c r="M15" s="105">
        <v>0.25</v>
      </c>
      <c r="N15" s="94"/>
    </row>
    <row r="16" spans="1:15" x14ac:dyDescent="0.3">
      <c r="B16" s="89"/>
      <c r="C16" s="102" t="s">
        <v>2</v>
      </c>
      <c r="D16" s="103">
        <v>0.1</v>
      </c>
      <c r="E16" s="90"/>
      <c r="F16" s="90"/>
      <c r="G16" s="90"/>
      <c r="H16" s="91"/>
      <c r="J16" s="92"/>
      <c r="K16" s="92" t="s">
        <v>183</v>
      </c>
      <c r="L16" s="104"/>
      <c r="M16" s="105">
        <v>0.25</v>
      </c>
      <c r="N16" s="94"/>
    </row>
    <row r="17" spans="2:14" x14ac:dyDescent="0.3">
      <c r="B17" s="89"/>
      <c r="C17" s="102" t="s">
        <v>19</v>
      </c>
      <c r="D17" s="103">
        <v>0.1</v>
      </c>
      <c r="E17" s="90"/>
      <c r="F17" s="90"/>
      <c r="G17" s="90"/>
      <c r="H17" s="91"/>
      <c r="J17" s="92"/>
      <c r="K17" s="92" t="s">
        <v>184</v>
      </c>
      <c r="L17" s="104"/>
      <c r="M17" s="105">
        <v>0</v>
      </c>
      <c r="N17" s="94"/>
    </row>
    <row r="18" spans="2:14" x14ac:dyDescent="0.3">
      <c r="B18" s="89"/>
      <c r="C18" s="102" t="s">
        <v>12</v>
      </c>
      <c r="D18" s="103">
        <v>0.1</v>
      </c>
      <c r="E18" s="90"/>
      <c r="F18" s="90"/>
      <c r="G18" s="90"/>
      <c r="H18" s="91"/>
      <c r="J18" s="92"/>
      <c r="K18" s="106" t="s">
        <v>185</v>
      </c>
      <c r="L18" s="104"/>
      <c r="M18" s="105">
        <v>0.25</v>
      </c>
      <c r="N18" s="94"/>
    </row>
    <row r="19" spans="2:14" x14ac:dyDescent="0.3">
      <c r="B19" s="89"/>
      <c r="C19" s="102" t="s">
        <v>4</v>
      </c>
      <c r="D19" s="103">
        <v>0.05</v>
      </c>
      <c r="E19" s="90"/>
      <c r="F19" s="90"/>
      <c r="G19" s="90"/>
      <c r="H19" s="91"/>
      <c r="J19" s="92"/>
      <c r="K19" s="100" t="s">
        <v>95</v>
      </c>
      <c r="L19" s="107"/>
      <c r="M19" s="108">
        <f>SUM(M14:M18)</f>
        <v>1</v>
      </c>
      <c r="N19" s="94"/>
    </row>
    <row r="20" spans="2:14" x14ac:dyDescent="0.3">
      <c r="B20" s="89"/>
      <c r="C20" s="102" t="s">
        <v>7</v>
      </c>
      <c r="D20" s="103">
        <v>0.05</v>
      </c>
      <c r="E20" s="90"/>
      <c r="F20" s="109"/>
      <c r="G20" s="110"/>
      <c r="H20" s="91"/>
      <c r="J20" s="92"/>
      <c r="K20" s="111"/>
      <c r="L20" s="112" t="str">
        <f>IF(M19=1,"OK","ERROR! Ensure Weighting total = 100%")</f>
        <v>OK</v>
      </c>
      <c r="M20" s="93"/>
      <c r="N20" s="94"/>
    </row>
    <row r="21" spans="2:14" x14ac:dyDescent="0.3">
      <c r="B21" s="89"/>
      <c r="C21" s="102" t="s">
        <v>57</v>
      </c>
      <c r="D21" s="103">
        <v>0.1</v>
      </c>
      <c r="E21" s="90"/>
      <c r="F21" s="113"/>
      <c r="G21" s="114"/>
      <c r="H21" s="91"/>
      <c r="J21" s="92"/>
      <c r="K21" s="93"/>
      <c r="L21" s="93"/>
      <c r="M21" s="93"/>
      <c r="N21" s="94"/>
    </row>
    <row r="22" spans="2:14" x14ac:dyDescent="0.3">
      <c r="B22" s="89"/>
      <c r="C22" s="102" t="s">
        <v>17</v>
      </c>
      <c r="D22" s="103">
        <v>0.3</v>
      </c>
      <c r="E22" s="90"/>
      <c r="F22" s="113"/>
      <c r="G22" s="114"/>
      <c r="H22" s="91"/>
      <c r="J22" s="92"/>
      <c r="K22" s="93"/>
      <c r="L22" s="93"/>
      <c r="M22" s="93"/>
      <c r="N22" s="94"/>
    </row>
    <row r="23" spans="2:14" x14ac:dyDescent="0.3">
      <c r="B23" s="89"/>
      <c r="C23" s="115" t="s">
        <v>78</v>
      </c>
      <c r="D23" s="116">
        <v>0.05</v>
      </c>
      <c r="E23" s="90"/>
      <c r="F23" s="117"/>
      <c r="G23" s="118"/>
      <c r="H23" s="91"/>
      <c r="J23" s="92"/>
      <c r="K23" s="93"/>
      <c r="L23" s="93"/>
      <c r="M23" s="93"/>
      <c r="N23" s="94"/>
    </row>
    <row r="24" spans="2:14" x14ac:dyDescent="0.3">
      <c r="B24" s="119"/>
      <c r="C24" s="120" t="str">
        <f>IF(D24=1,"OK","ERROR! Ensure Weighting total = 100%")</f>
        <v>OK</v>
      </c>
      <c r="D24" s="121">
        <f>SUM(D14:D23)</f>
        <v>1</v>
      </c>
      <c r="E24" s="121"/>
      <c r="F24" s="122"/>
      <c r="G24" s="122"/>
      <c r="H24" s="123"/>
      <c r="J24" s="92"/>
      <c r="K24" s="93"/>
      <c r="L24" s="93"/>
      <c r="M24" s="93"/>
      <c r="N24" s="94"/>
    </row>
    <row r="25" spans="2:14" x14ac:dyDescent="0.3">
      <c r="J25" s="92"/>
      <c r="K25" s="93"/>
      <c r="L25" s="93"/>
      <c r="M25" s="93"/>
      <c r="N25" s="94"/>
    </row>
    <row r="26" spans="2:14" ht="21" x14ac:dyDescent="0.4">
      <c r="B26" s="124"/>
      <c r="C26" s="125" t="s">
        <v>92</v>
      </c>
      <c r="D26" s="126"/>
      <c r="E26" s="126"/>
      <c r="F26" s="126"/>
      <c r="G26" s="126"/>
      <c r="H26" s="127"/>
      <c r="J26" s="92"/>
      <c r="K26" s="93"/>
      <c r="L26" s="93"/>
      <c r="M26" s="93"/>
      <c r="N26" s="94"/>
    </row>
    <row r="27" spans="2:14" x14ac:dyDescent="0.3">
      <c r="B27" s="128"/>
      <c r="C27" s="129"/>
      <c r="D27" s="129"/>
      <c r="E27" s="129"/>
      <c r="F27" s="129"/>
      <c r="G27" s="129"/>
      <c r="H27" s="130"/>
      <c r="J27" s="92"/>
      <c r="K27" s="93"/>
      <c r="L27" s="93"/>
      <c r="M27" s="93"/>
      <c r="N27" s="94"/>
    </row>
    <row r="28" spans="2:14" x14ac:dyDescent="0.3">
      <c r="B28" s="128"/>
      <c r="C28" s="129" t="s">
        <v>114</v>
      </c>
      <c r="D28" s="129"/>
      <c r="E28" s="129"/>
      <c r="F28" s="129"/>
      <c r="G28" s="129"/>
      <c r="H28" s="130"/>
      <c r="J28" s="92"/>
      <c r="K28" s="93"/>
      <c r="L28" s="93"/>
      <c r="M28" s="93"/>
      <c r="N28" s="94"/>
    </row>
    <row r="29" spans="2:14" x14ac:dyDescent="0.3">
      <c r="B29" s="128"/>
      <c r="C29" s="129" t="s">
        <v>115</v>
      </c>
      <c r="D29" s="129"/>
      <c r="E29" s="129"/>
      <c r="F29" s="129"/>
      <c r="G29" s="129"/>
      <c r="H29" s="130"/>
      <c r="J29" s="92"/>
      <c r="K29" s="93"/>
      <c r="L29" s="93"/>
      <c r="M29" s="93"/>
      <c r="N29" s="94"/>
    </row>
    <row r="30" spans="2:14" x14ac:dyDescent="0.3">
      <c r="B30" s="128"/>
      <c r="C30" s="129" t="s">
        <v>148</v>
      </c>
      <c r="D30" s="129"/>
      <c r="E30" s="129"/>
      <c r="F30" s="129"/>
      <c r="G30" s="129"/>
      <c r="H30" s="130"/>
      <c r="J30" s="92"/>
      <c r="K30" s="93"/>
      <c r="L30" s="93"/>
      <c r="M30" s="93"/>
      <c r="N30" s="94"/>
    </row>
    <row r="31" spans="2:14" x14ac:dyDescent="0.3">
      <c r="B31" s="128"/>
      <c r="C31" s="129" t="s">
        <v>149</v>
      </c>
      <c r="D31" s="129"/>
      <c r="E31" s="129"/>
      <c r="F31" s="129"/>
      <c r="G31" s="129"/>
      <c r="H31" s="130"/>
      <c r="J31" s="92"/>
      <c r="K31" s="93"/>
      <c r="L31" s="93"/>
      <c r="M31" s="93"/>
      <c r="N31" s="94"/>
    </row>
    <row r="32" spans="2:14" x14ac:dyDescent="0.3">
      <c r="B32" s="128"/>
      <c r="C32" s="129" t="s">
        <v>113</v>
      </c>
      <c r="D32" s="129"/>
      <c r="E32" s="129"/>
      <c r="F32" s="129"/>
      <c r="G32" s="129"/>
      <c r="H32" s="130"/>
      <c r="J32" s="92"/>
      <c r="K32" s="93"/>
      <c r="L32" s="93"/>
      <c r="M32" s="93"/>
      <c r="N32" s="94"/>
    </row>
    <row r="33" spans="2:14" x14ac:dyDescent="0.3">
      <c r="B33" s="128"/>
      <c r="C33" s="129" t="s">
        <v>147</v>
      </c>
      <c r="D33" s="129"/>
      <c r="E33" s="129"/>
      <c r="F33" s="129"/>
      <c r="G33" s="129"/>
      <c r="H33" s="130"/>
      <c r="J33" s="92"/>
      <c r="K33" s="93"/>
      <c r="L33" s="93"/>
      <c r="M33" s="93"/>
      <c r="N33" s="94"/>
    </row>
    <row r="34" spans="2:14" x14ac:dyDescent="0.3">
      <c r="B34" s="128"/>
      <c r="C34" s="129" t="s">
        <v>116</v>
      </c>
      <c r="D34" s="129"/>
      <c r="E34" s="129"/>
      <c r="F34" s="129"/>
      <c r="G34" s="129"/>
      <c r="H34" s="130"/>
      <c r="J34" s="92"/>
      <c r="K34" s="93"/>
      <c r="L34" s="93"/>
      <c r="M34" s="93"/>
      <c r="N34" s="94"/>
    </row>
    <row r="35" spans="2:14" x14ac:dyDescent="0.3">
      <c r="B35" s="128"/>
      <c r="C35" s="129" t="s">
        <v>145</v>
      </c>
      <c r="D35" s="129"/>
      <c r="E35" s="129"/>
      <c r="F35" s="129"/>
      <c r="G35" s="129"/>
      <c r="H35" s="130"/>
      <c r="J35" s="92"/>
      <c r="K35" s="93"/>
      <c r="L35" s="93"/>
      <c r="M35" s="93"/>
      <c r="N35" s="94"/>
    </row>
    <row r="36" spans="2:14" x14ac:dyDescent="0.3">
      <c r="B36" s="128"/>
      <c r="C36" s="129" t="s">
        <v>146</v>
      </c>
      <c r="D36" s="129"/>
      <c r="E36" s="129"/>
      <c r="F36" s="129"/>
      <c r="G36" s="129"/>
      <c r="H36" s="130"/>
      <c r="J36" s="92"/>
      <c r="K36" s="93"/>
      <c r="L36" s="93"/>
      <c r="M36" s="93"/>
      <c r="N36" s="94"/>
    </row>
    <row r="37" spans="2:14" x14ac:dyDescent="0.3">
      <c r="B37" s="128"/>
      <c r="C37" s="129" t="s">
        <v>117</v>
      </c>
      <c r="D37" s="129"/>
      <c r="E37" s="129"/>
      <c r="F37" s="129"/>
      <c r="G37" s="129"/>
      <c r="H37" s="130"/>
      <c r="J37" s="92"/>
      <c r="K37" s="93"/>
      <c r="L37" s="93"/>
      <c r="M37" s="93"/>
      <c r="N37" s="94"/>
    </row>
    <row r="38" spans="2:14" x14ac:dyDescent="0.3">
      <c r="B38" s="128"/>
      <c r="C38" s="129"/>
      <c r="D38" s="129"/>
      <c r="E38" s="129"/>
      <c r="F38" s="129"/>
      <c r="G38" s="129"/>
      <c r="H38" s="130"/>
      <c r="J38" s="92"/>
      <c r="K38" s="93"/>
      <c r="L38" s="93"/>
      <c r="M38" s="93"/>
      <c r="N38" s="94"/>
    </row>
    <row r="39" spans="2:14" x14ac:dyDescent="0.3">
      <c r="B39" s="128"/>
      <c r="C39" s="131" t="s">
        <v>80</v>
      </c>
      <c r="D39" s="132" t="s">
        <v>73</v>
      </c>
      <c r="E39" s="132" t="s">
        <v>111</v>
      </c>
      <c r="F39" s="132" t="s">
        <v>155</v>
      </c>
      <c r="G39" s="129"/>
      <c r="H39" s="130"/>
      <c r="J39" s="92"/>
      <c r="K39" s="93"/>
      <c r="L39" s="93"/>
      <c r="M39" s="93"/>
      <c r="N39" s="94"/>
    </row>
    <row r="40" spans="2:14" x14ac:dyDescent="0.3">
      <c r="B40" s="128"/>
      <c r="C40" s="102" t="s">
        <v>81</v>
      </c>
      <c r="D40" s="103">
        <v>0.03</v>
      </c>
      <c r="E40" s="103" t="s">
        <v>112</v>
      </c>
      <c r="F40" s="133">
        <v>50</v>
      </c>
      <c r="G40" s="129"/>
      <c r="H40" s="130"/>
      <c r="J40" s="92"/>
      <c r="K40" s="93"/>
      <c r="L40" s="93"/>
      <c r="M40" s="93"/>
      <c r="N40" s="94"/>
    </row>
    <row r="41" spans="2:14" x14ac:dyDescent="0.3">
      <c r="B41" s="128"/>
      <c r="C41" s="102" t="s">
        <v>82</v>
      </c>
      <c r="D41" s="103">
        <v>0.01</v>
      </c>
      <c r="E41" s="103" t="s">
        <v>112</v>
      </c>
      <c r="F41" s="133">
        <v>50</v>
      </c>
      <c r="G41" s="129"/>
      <c r="H41" s="130"/>
      <c r="J41" s="92"/>
      <c r="K41" s="93"/>
      <c r="L41" s="93"/>
      <c r="M41" s="93"/>
      <c r="N41" s="94"/>
    </row>
    <row r="42" spans="2:14" x14ac:dyDescent="0.3">
      <c r="B42" s="128"/>
      <c r="C42" s="102" t="s">
        <v>130</v>
      </c>
      <c r="D42" s="103">
        <v>0.15</v>
      </c>
      <c r="E42" s="103" t="s">
        <v>112</v>
      </c>
      <c r="F42" s="134">
        <v>0.5</v>
      </c>
      <c r="G42" s="129"/>
      <c r="H42" s="130"/>
      <c r="J42" s="92"/>
      <c r="K42" s="93"/>
      <c r="L42" s="93"/>
      <c r="M42" s="93"/>
      <c r="N42" s="94"/>
    </row>
    <row r="43" spans="2:14" x14ac:dyDescent="0.3">
      <c r="B43" s="128"/>
      <c r="C43" s="102" t="s">
        <v>133</v>
      </c>
      <c r="D43" s="103">
        <v>0.1</v>
      </c>
      <c r="E43" s="103" t="s">
        <v>112</v>
      </c>
      <c r="F43" s="134">
        <v>0.5</v>
      </c>
      <c r="G43" s="129"/>
      <c r="H43" s="130"/>
      <c r="J43" s="92"/>
      <c r="K43" s="93"/>
      <c r="L43" s="93"/>
      <c r="M43" s="93"/>
      <c r="N43" s="94"/>
    </row>
    <row r="44" spans="2:14" x14ac:dyDescent="0.3">
      <c r="B44" s="128"/>
      <c r="C44" s="102" t="s">
        <v>138</v>
      </c>
      <c r="D44" s="103">
        <v>0.05</v>
      </c>
      <c r="E44" s="103" t="s">
        <v>112</v>
      </c>
      <c r="F44" s="134">
        <v>0.5</v>
      </c>
      <c r="G44" s="129"/>
      <c r="H44" s="130"/>
      <c r="J44" s="92"/>
      <c r="K44" s="93"/>
      <c r="L44" s="93"/>
      <c r="M44" s="93"/>
      <c r="N44" s="94"/>
    </row>
    <row r="45" spans="2:14" x14ac:dyDescent="0.3">
      <c r="B45" s="128"/>
      <c r="C45" s="102" t="s">
        <v>131</v>
      </c>
      <c r="D45" s="103">
        <v>0.1</v>
      </c>
      <c r="E45" s="103" t="s">
        <v>112</v>
      </c>
      <c r="F45" s="134">
        <v>0.5</v>
      </c>
      <c r="G45" s="129"/>
      <c r="H45" s="130"/>
      <c r="J45" s="92"/>
      <c r="K45" s="93"/>
      <c r="L45" s="93"/>
      <c r="M45" s="93"/>
      <c r="N45" s="94"/>
    </row>
    <row r="46" spans="2:14" x14ac:dyDescent="0.3">
      <c r="B46" s="128"/>
      <c r="C46" s="102" t="s">
        <v>134</v>
      </c>
      <c r="D46" s="103">
        <v>0.05</v>
      </c>
      <c r="E46" s="103" t="s">
        <v>112</v>
      </c>
      <c r="F46" s="134">
        <v>0.5</v>
      </c>
      <c r="G46" s="129"/>
      <c r="H46" s="130"/>
      <c r="J46" s="92"/>
      <c r="K46" s="93"/>
      <c r="L46" s="93"/>
      <c r="M46" s="93"/>
      <c r="N46" s="94"/>
    </row>
    <row r="47" spans="2:14" x14ac:dyDescent="0.3">
      <c r="B47" s="128"/>
      <c r="C47" s="102" t="s">
        <v>137</v>
      </c>
      <c r="D47" s="103">
        <v>0.03</v>
      </c>
      <c r="E47" s="103" t="s">
        <v>112</v>
      </c>
      <c r="F47" s="134">
        <v>0.5</v>
      </c>
      <c r="G47" s="129"/>
      <c r="H47" s="130"/>
      <c r="J47" s="92"/>
      <c r="K47" s="93"/>
      <c r="L47" s="93"/>
      <c r="M47" s="93"/>
      <c r="N47" s="94"/>
    </row>
    <row r="48" spans="2:14" x14ac:dyDescent="0.3">
      <c r="B48" s="128"/>
      <c r="C48" s="102" t="s">
        <v>132</v>
      </c>
      <c r="D48" s="103">
        <v>0.1</v>
      </c>
      <c r="E48" s="103" t="s">
        <v>112</v>
      </c>
      <c r="F48" s="134">
        <v>0.5</v>
      </c>
      <c r="G48" s="129"/>
      <c r="H48" s="130"/>
      <c r="J48" s="92"/>
      <c r="K48" s="93"/>
      <c r="L48" s="93"/>
      <c r="M48" s="93"/>
      <c r="N48" s="94"/>
    </row>
    <row r="49" spans="2:14" x14ac:dyDescent="0.3">
      <c r="B49" s="128"/>
      <c r="C49" s="102" t="s">
        <v>135</v>
      </c>
      <c r="D49" s="103">
        <v>0.05</v>
      </c>
      <c r="E49" s="103" t="s">
        <v>112</v>
      </c>
      <c r="F49" s="134">
        <v>0.5</v>
      </c>
      <c r="G49" s="129"/>
      <c r="H49" s="130"/>
      <c r="J49" s="92"/>
      <c r="K49" s="93"/>
      <c r="L49" s="93"/>
      <c r="M49" s="93"/>
      <c r="N49" s="94"/>
    </row>
    <row r="50" spans="2:14" x14ac:dyDescent="0.3">
      <c r="B50" s="128"/>
      <c r="C50" s="102" t="s">
        <v>136</v>
      </c>
      <c r="D50" s="103">
        <v>0.03</v>
      </c>
      <c r="E50" s="103" t="s">
        <v>112</v>
      </c>
      <c r="F50" s="134">
        <v>0.5</v>
      </c>
      <c r="G50" s="129"/>
      <c r="H50" s="130"/>
      <c r="J50" s="92"/>
      <c r="K50" s="93"/>
      <c r="L50" s="93"/>
      <c r="M50" s="93"/>
      <c r="N50" s="94"/>
    </row>
    <row r="51" spans="2:14" x14ac:dyDescent="0.3">
      <c r="B51" s="128"/>
      <c r="C51" s="102" t="s">
        <v>84</v>
      </c>
      <c r="D51" s="103">
        <v>0.03</v>
      </c>
      <c r="E51" s="103" t="s">
        <v>112</v>
      </c>
      <c r="F51" s="135">
        <v>30</v>
      </c>
      <c r="G51" s="129"/>
      <c r="H51" s="130"/>
      <c r="J51" s="92"/>
      <c r="K51" s="93"/>
      <c r="L51" s="93"/>
      <c r="M51" s="93"/>
      <c r="N51" s="94"/>
    </row>
    <row r="52" spans="2:14" x14ac:dyDescent="0.3">
      <c r="B52" s="128"/>
      <c r="C52" s="102" t="s">
        <v>85</v>
      </c>
      <c r="D52" s="103">
        <v>0.02</v>
      </c>
      <c r="E52" s="103" t="s">
        <v>112</v>
      </c>
      <c r="F52" s="135">
        <v>30</v>
      </c>
      <c r="G52" s="129"/>
      <c r="H52" s="130"/>
      <c r="J52" s="92"/>
      <c r="K52" s="93"/>
      <c r="L52" s="93"/>
      <c r="M52" s="93"/>
      <c r="N52" s="94"/>
    </row>
    <row r="53" spans="2:14" x14ac:dyDescent="0.3">
      <c r="B53" s="128"/>
      <c r="C53" s="102" t="s">
        <v>86</v>
      </c>
      <c r="D53" s="103">
        <v>0.01</v>
      </c>
      <c r="E53" s="103" t="s">
        <v>112</v>
      </c>
      <c r="F53" s="135">
        <v>30</v>
      </c>
      <c r="G53" s="129"/>
      <c r="H53" s="130"/>
      <c r="J53" s="92"/>
      <c r="K53" s="93"/>
      <c r="L53" s="93"/>
      <c r="M53" s="93"/>
      <c r="N53" s="94"/>
    </row>
    <row r="54" spans="2:14" x14ac:dyDescent="0.3">
      <c r="B54" s="128"/>
      <c r="C54" s="102" t="s">
        <v>87</v>
      </c>
      <c r="D54" s="103">
        <v>0.06</v>
      </c>
      <c r="E54" s="136" t="s">
        <v>112</v>
      </c>
      <c r="F54" s="129"/>
      <c r="G54" s="129"/>
      <c r="H54" s="130"/>
      <c r="J54" s="92"/>
      <c r="K54" s="93"/>
      <c r="L54" s="93"/>
      <c r="M54" s="93"/>
      <c r="N54" s="94"/>
    </row>
    <row r="55" spans="2:14" x14ac:dyDescent="0.3">
      <c r="B55" s="128"/>
      <c r="C55" s="102" t="s">
        <v>88</v>
      </c>
      <c r="D55" s="103">
        <v>0.04</v>
      </c>
      <c r="E55" s="137" t="s">
        <v>112</v>
      </c>
      <c r="F55" s="138"/>
      <c r="G55" s="139"/>
      <c r="H55" s="130"/>
      <c r="J55" s="92"/>
      <c r="K55" s="93"/>
      <c r="L55" s="140"/>
      <c r="M55" s="141"/>
      <c r="N55" s="94"/>
    </row>
    <row r="56" spans="2:14" x14ac:dyDescent="0.3">
      <c r="B56" s="128"/>
      <c r="C56" s="102" t="s">
        <v>89</v>
      </c>
      <c r="D56" s="103">
        <v>0.02</v>
      </c>
      <c r="E56" s="137" t="s">
        <v>112</v>
      </c>
      <c r="F56" s="128"/>
      <c r="G56" s="130"/>
      <c r="H56" s="130"/>
      <c r="J56" s="92"/>
      <c r="K56" s="93"/>
      <c r="L56" s="92"/>
      <c r="M56" s="94"/>
      <c r="N56" s="94"/>
    </row>
    <row r="57" spans="2:14" x14ac:dyDescent="0.3">
      <c r="B57" s="128"/>
      <c r="C57" s="102" t="s">
        <v>83</v>
      </c>
      <c r="D57" s="103">
        <v>0.02</v>
      </c>
      <c r="E57" s="137" t="s">
        <v>112</v>
      </c>
      <c r="F57" s="128"/>
      <c r="G57" s="130"/>
      <c r="H57" s="130"/>
      <c r="J57" s="92"/>
      <c r="K57" s="93"/>
      <c r="L57" s="92"/>
      <c r="M57" s="94"/>
      <c r="N57" s="94"/>
    </row>
    <row r="58" spans="2:14" x14ac:dyDescent="0.3">
      <c r="B58" s="128"/>
      <c r="C58" s="102" t="s">
        <v>156</v>
      </c>
      <c r="D58" s="103">
        <v>0.1</v>
      </c>
      <c r="E58" s="137" t="s">
        <v>112</v>
      </c>
      <c r="F58" s="142"/>
      <c r="G58" s="143"/>
      <c r="H58" s="130"/>
      <c r="J58" s="92"/>
      <c r="K58" s="93"/>
      <c r="L58" s="106"/>
      <c r="M58" s="144"/>
      <c r="N58" s="94"/>
    </row>
    <row r="59" spans="2:14" x14ac:dyDescent="0.3">
      <c r="B59" s="142"/>
      <c r="C59" s="145" t="str">
        <f>IF(D59=1,"OK","ERROR! Ensure Weighting total = 100%")</f>
        <v>OK</v>
      </c>
      <c r="D59" s="146">
        <f>SUM(D40:D58)</f>
        <v>1.0000000000000002</v>
      </c>
      <c r="E59" s="147"/>
      <c r="F59" s="147"/>
      <c r="G59" s="147"/>
      <c r="H59" s="143"/>
      <c r="J59" s="106"/>
      <c r="K59" s="148"/>
      <c r="L59" s="148"/>
      <c r="M59" s="148"/>
      <c r="N59" s="144"/>
    </row>
    <row r="61" spans="2:14" ht="21" x14ac:dyDescent="0.4">
      <c r="B61" s="149" t="s">
        <v>94</v>
      </c>
      <c r="C61" s="150"/>
      <c r="D61" s="151"/>
      <c r="E61" s="151"/>
      <c r="F61" s="151"/>
      <c r="G61" s="151"/>
      <c r="H61" s="152"/>
      <c r="J61" s="153" t="s">
        <v>173</v>
      </c>
      <c r="K61" s="154"/>
      <c r="L61" s="154"/>
      <c r="M61" s="154"/>
      <c r="N61" s="155"/>
    </row>
    <row r="62" spans="2:14" x14ac:dyDescent="0.3">
      <c r="B62" s="156"/>
      <c r="C62" s="93"/>
      <c r="D62" s="93"/>
      <c r="E62" s="93"/>
      <c r="F62" s="93"/>
      <c r="G62" s="93"/>
      <c r="H62" s="157"/>
      <c r="J62" s="158"/>
      <c r="K62" s="159"/>
      <c r="L62" s="159"/>
      <c r="M62" s="159"/>
      <c r="N62" s="160"/>
    </row>
    <row r="63" spans="2:14" x14ac:dyDescent="0.3">
      <c r="B63" s="156"/>
      <c r="C63" s="161" t="s">
        <v>359</v>
      </c>
      <c r="D63" s="162"/>
      <c r="E63" s="93"/>
      <c r="H63" s="157"/>
      <c r="J63" s="158"/>
      <c r="K63" s="159" t="s">
        <v>174</v>
      </c>
      <c r="L63" s="159"/>
      <c r="M63" s="159"/>
      <c r="N63" s="160"/>
    </row>
    <row r="64" spans="2:14" x14ac:dyDescent="0.3">
      <c r="B64" s="156"/>
      <c r="C64" s="163"/>
      <c r="D64" s="164" t="s">
        <v>360</v>
      </c>
      <c r="E64" s="93"/>
      <c r="H64" s="157"/>
      <c r="J64" s="158"/>
      <c r="K64" s="159"/>
      <c r="L64" s="159"/>
      <c r="M64" s="159"/>
      <c r="N64" s="160"/>
    </row>
    <row r="65" spans="2:14" x14ac:dyDescent="0.3">
      <c r="B65" s="156"/>
      <c r="C65" s="165" t="s">
        <v>364</v>
      </c>
      <c r="D65" s="103" t="s">
        <v>361</v>
      </c>
      <c r="E65" s="93"/>
      <c r="H65" s="157"/>
      <c r="J65" s="158"/>
      <c r="K65" s="159" t="s">
        <v>180</v>
      </c>
      <c r="L65" s="159"/>
      <c r="M65" s="159"/>
      <c r="N65" s="160"/>
    </row>
    <row r="66" spans="2:14" x14ac:dyDescent="0.3">
      <c r="B66" s="156"/>
      <c r="C66" s="165" t="s">
        <v>365</v>
      </c>
      <c r="D66" s="103" t="s">
        <v>361</v>
      </c>
      <c r="E66" s="93"/>
      <c r="H66" s="157"/>
      <c r="J66" s="158"/>
      <c r="K66" s="159"/>
      <c r="L66" s="159"/>
      <c r="M66" s="159"/>
      <c r="N66" s="160"/>
    </row>
    <row r="67" spans="2:14" x14ac:dyDescent="0.3">
      <c r="B67" s="156"/>
      <c r="C67" s="165" t="s">
        <v>366</v>
      </c>
      <c r="D67" s="103" t="s">
        <v>361</v>
      </c>
      <c r="E67" s="93"/>
      <c r="F67" s="93"/>
      <c r="G67" s="93"/>
      <c r="H67" s="157"/>
      <c r="J67" s="158"/>
      <c r="K67" s="159"/>
      <c r="L67" s="159"/>
      <c r="M67" s="159"/>
      <c r="N67" s="160"/>
    </row>
    <row r="68" spans="2:14" x14ac:dyDescent="0.3">
      <c r="B68" s="156"/>
      <c r="C68" s="165" t="s">
        <v>367</v>
      </c>
      <c r="D68" s="103" t="s">
        <v>361</v>
      </c>
      <c r="E68" s="93"/>
      <c r="F68" s="166"/>
      <c r="G68" s="167"/>
      <c r="H68" s="157"/>
      <c r="J68" s="158"/>
      <c r="K68" s="159"/>
      <c r="L68" s="159"/>
      <c r="M68" s="159"/>
      <c r="N68" s="160"/>
    </row>
    <row r="69" spans="2:14" x14ac:dyDescent="0.3">
      <c r="B69" s="156"/>
      <c r="C69" s="165" t="s">
        <v>368</v>
      </c>
      <c r="D69" s="103" t="s">
        <v>361</v>
      </c>
      <c r="E69" s="93"/>
      <c r="F69" s="168"/>
      <c r="G69" s="169"/>
      <c r="H69" s="157"/>
      <c r="J69" s="158"/>
      <c r="K69" s="170" t="s">
        <v>166</v>
      </c>
      <c r="L69" s="171"/>
      <c r="M69" s="170" t="s">
        <v>73</v>
      </c>
      <c r="N69" s="160"/>
    </row>
    <row r="70" spans="2:14" x14ac:dyDescent="0.3">
      <c r="B70" s="156"/>
      <c r="C70" s="165" t="s">
        <v>369</v>
      </c>
      <c r="D70" s="103" t="s">
        <v>361</v>
      </c>
      <c r="E70" s="93"/>
      <c r="F70" s="168"/>
      <c r="G70" s="169"/>
      <c r="H70" s="157"/>
      <c r="J70" s="158"/>
      <c r="K70" s="172" t="s">
        <v>175</v>
      </c>
      <c r="L70" s="173"/>
      <c r="M70" s="103">
        <v>0.6</v>
      </c>
      <c r="N70" s="160"/>
    </row>
    <row r="71" spans="2:14" x14ac:dyDescent="0.3">
      <c r="B71" s="156"/>
      <c r="C71" s="165" t="s">
        <v>370</v>
      </c>
      <c r="D71" s="103" t="s">
        <v>361</v>
      </c>
      <c r="E71" s="93"/>
      <c r="F71" s="174"/>
      <c r="G71" s="175"/>
      <c r="H71" s="157"/>
      <c r="J71" s="158"/>
      <c r="K71" s="172" t="s">
        <v>177</v>
      </c>
      <c r="L71" s="173"/>
      <c r="M71" s="103">
        <v>0.1</v>
      </c>
      <c r="N71" s="160"/>
    </row>
    <row r="72" spans="2:14" x14ac:dyDescent="0.3">
      <c r="B72" s="156"/>
      <c r="C72" s="165" t="s">
        <v>376</v>
      </c>
      <c r="D72" s="103" t="s">
        <v>361</v>
      </c>
      <c r="E72" s="93"/>
      <c r="F72" s="176"/>
      <c r="G72" s="176"/>
      <c r="H72" s="157"/>
      <c r="J72" s="158"/>
      <c r="K72" s="172"/>
      <c r="L72" s="173"/>
      <c r="M72" s="103"/>
      <c r="N72" s="160"/>
    </row>
    <row r="73" spans="2:14" x14ac:dyDescent="0.3">
      <c r="B73" s="156"/>
      <c r="C73" s="165" t="s">
        <v>371</v>
      </c>
      <c r="D73" s="103" t="s">
        <v>361</v>
      </c>
      <c r="E73" s="93"/>
      <c r="F73" s="93"/>
      <c r="G73" s="93"/>
      <c r="H73" s="157"/>
      <c r="J73" s="158"/>
      <c r="K73" s="172" t="s">
        <v>178</v>
      </c>
      <c r="L73" s="173"/>
      <c r="M73" s="103">
        <v>0.2</v>
      </c>
      <c r="N73" s="160"/>
    </row>
    <row r="74" spans="2:14" x14ac:dyDescent="0.3">
      <c r="B74" s="156"/>
      <c r="C74" s="93"/>
      <c r="D74" s="93"/>
      <c r="E74" s="93"/>
      <c r="F74" s="93"/>
      <c r="G74" s="93"/>
      <c r="H74" s="157"/>
      <c r="J74" s="158"/>
      <c r="K74" s="172" t="s">
        <v>179</v>
      </c>
      <c r="L74" s="173"/>
      <c r="M74" s="103">
        <v>0.1</v>
      </c>
      <c r="N74" s="160"/>
    </row>
    <row r="75" spans="2:14" x14ac:dyDescent="0.3">
      <c r="B75" s="156"/>
      <c r="C75" s="161" t="s">
        <v>157</v>
      </c>
      <c r="D75" s="162"/>
      <c r="E75" s="93"/>
      <c r="F75" s="93"/>
      <c r="G75" s="93"/>
      <c r="H75" s="157"/>
      <c r="J75" s="158"/>
      <c r="K75" s="177" t="str">
        <f>IF(M75=1,"OK","ERROR! Ensure Weighting total = 100%")</f>
        <v>OK</v>
      </c>
      <c r="L75" s="159"/>
      <c r="M75" s="178">
        <f>SUM(M70:M74)</f>
        <v>0.99999999999999989</v>
      </c>
      <c r="N75" s="160"/>
    </row>
    <row r="76" spans="2:14" x14ac:dyDescent="0.3">
      <c r="B76" s="156"/>
      <c r="C76" s="163" t="s">
        <v>158</v>
      </c>
      <c r="D76" s="164" t="s">
        <v>159</v>
      </c>
      <c r="E76" s="93"/>
      <c r="F76" s="93"/>
      <c r="G76" s="93"/>
      <c r="H76" s="157"/>
      <c r="J76" s="158"/>
      <c r="K76" s="177"/>
      <c r="L76" s="159"/>
      <c r="M76" s="178"/>
      <c r="N76" s="160"/>
    </row>
    <row r="77" spans="2:14" x14ac:dyDescent="0.3">
      <c r="B77" s="156"/>
      <c r="C77" s="102" t="s">
        <v>162</v>
      </c>
      <c r="D77" s="103" t="s">
        <v>163</v>
      </c>
      <c r="E77" s="93"/>
      <c r="F77" s="93"/>
      <c r="G77" s="93"/>
      <c r="H77" s="157"/>
      <c r="J77" s="158"/>
      <c r="K77" s="177"/>
      <c r="L77" s="159"/>
      <c r="M77" s="178"/>
      <c r="N77" s="160"/>
    </row>
    <row r="78" spans="2:14" x14ac:dyDescent="0.3">
      <c r="B78" s="156"/>
      <c r="C78" s="102"/>
      <c r="D78" s="103"/>
      <c r="E78" s="93"/>
      <c r="F78" s="93"/>
      <c r="G78" s="93"/>
      <c r="H78" s="157"/>
      <c r="J78" s="158"/>
      <c r="K78" s="179"/>
      <c r="L78" s="159"/>
      <c r="M78" s="159"/>
      <c r="N78" s="160"/>
    </row>
    <row r="79" spans="2:14" x14ac:dyDescent="0.3">
      <c r="B79" s="156"/>
      <c r="C79" s="102"/>
      <c r="D79" s="103"/>
      <c r="E79" s="93"/>
      <c r="F79" s="93"/>
      <c r="G79" s="93"/>
      <c r="H79" s="157"/>
      <c r="J79" s="158"/>
      <c r="K79" s="180" t="s">
        <v>176</v>
      </c>
      <c r="L79" s="159"/>
      <c r="M79" s="159"/>
      <c r="N79" s="160"/>
    </row>
    <row r="80" spans="2:14" x14ac:dyDescent="0.3">
      <c r="B80" s="156"/>
      <c r="C80" s="102"/>
      <c r="D80" s="103"/>
      <c r="E80" s="93"/>
      <c r="F80" s="93"/>
      <c r="G80" s="93"/>
      <c r="H80" s="157"/>
      <c r="J80" s="158"/>
      <c r="K80" s="179" t="str">
        <f>"          "&amp;M70&amp;" * "&amp;K70&amp;" +"</f>
        <v xml:space="preserve">          0.6 * Median IRI +</v>
      </c>
      <c r="L80" s="181"/>
      <c r="M80" s="182"/>
      <c r="N80" s="160"/>
    </row>
    <row r="81" spans="2:14" x14ac:dyDescent="0.3">
      <c r="B81" s="156"/>
      <c r="C81" s="102"/>
      <c r="D81" s="103"/>
      <c r="E81" s="93"/>
      <c r="F81" s="93"/>
      <c r="G81" s="93"/>
      <c r="H81" s="157"/>
      <c r="J81" s="158"/>
      <c r="K81" s="179" t="str">
        <f>"          "&amp;M71&amp;" * "&amp;K71&amp;" +"</f>
        <v xml:space="preserve">          0.1 * Minimum IRI  +</v>
      </c>
      <c r="L81" s="183"/>
      <c r="M81" s="184"/>
      <c r="N81" s="160"/>
    </row>
    <row r="82" spans="2:14" x14ac:dyDescent="0.3">
      <c r="B82" s="156"/>
      <c r="C82" s="93"/>
      <c r="D82" s="93"/>
      <c r="E82" s="176"/>
      <c r="F82" s="176"/>
      <c r="G82" s="176"/>
      <c r="H82" s="157"/>
      <c r="J82" s="158"/>
      <c r="K82" s="179" t="str">
        <f>"          "&amp;M73&amp;" * "&amp;K73&amp;" +"</f>
        <v xml:space="preserve">          0.2 * Maximum IRI +</v>
      </c>
      <c r="L82" s="183"/>
      <c r="M82" s="184"/>
      <c r="N82" s="160"/>
    </row>
    <row r="83" spans="2:14" x14ac:dyDescent="0.3">
      <c r="B83" s="156"/>
      <c r="C83" s="161" t="s">
        <v>375</v>
      </c>
      <c r="D83" s="162"/>
      <c r="E83" s="162"/>
      <c r="F83" s="162"/>
      <c r="G83" s="162"/>
      <c r="H83" s="157"/>
      <c r="J83" s="158"/>
      <c r="K83" s="179" t="str">
        <f>"          "&amp;M74&amp;" * "&amp;K74&amp;" )"</f>
        <v xml:space="preserve">          0.1 * Mean IRI )</v>
      </c>
      <c r="L83" s="185"/>
      <c r="M83" s="186"/>
      <c r="N83" s="160"/>
    </row>
    <row r="84" spans="2:14" x14ac:dyDescent="0.3">
      <c r="B84" s="156"/>
      <c r="C84" s="163" t="s">
        <v>158</v>
      </c>
      <c r="D84" s="164" t="s">
        <v>159</v>
      </c>
      <c r="E84" s="164" t="s">
        <v>160</v>
      </c>
      <c r="F84" s="164" t="s">
        <v>161</v>
      </c>
      <c r="G84" s="164" t="s">
        <v>204</v>
      </c>
      <c r="H84" s="157"/>
      <c r="J84" s="187"/>
      <c r="K84" s="188"/>
      <c r="L84" s="188"/>
      <c r="M84" s="188"/>
      <c r="N84" s="189"/>
    </row>
    <row r="85" spans="2:14" x14ac:dyDescent="0.3">
      <c r="B85" s="156"/>
      <c r="C85" s="102" t="s">
        <v>365</v>
      </c>
      <c r="D85" s="103" t="s">
        <v>262</v>
      </c>
      <c r="E85" s="190">
        <v>500</v>
      </c>
      <c r="F85" s="173">
        <v>1</v>
      </c>
      <c r="G85" s="173">
        <v>1</v>
      </c>
      <c r="H85" s="157"/>
    </row>
    <row r="86" spans="2:14" x14ac:dyDescent="0.3">
      <c r="B86" s="156"/>
      <c r="C86" s="102" t="s">
        <v>162</v>
      </c>
      <c r="D86" s="103" t="s">
        <v>163</v>
      </c>
      <c r="E86" s="190">
        <v>100</v>
      </c>
      <c r="F86" s="173">
        <v>50</v>
      </c>
      <c r="G86" s="173">
        <v>1</v>
      </c>
      <c r="H86" s="157"/>
    </row>
    <row r="87" spans="2:14" x14ac:dyDescent="0.3">
      <c r="B87" s="156"/>
      <c r="C87" s="102" t="s">
        <v>367</v>
      </c>
      <c r="D87" s="103" t="s">
        <v>262</v>
      </c>
      <c r="E87" s="190">
        <v>100</v>
      </c>
      <c r="F87" s="173">
        <v>20</v>
      </c>
      <c r="G87" s="173">
        <v>2</v>
      </c>
      <c r="H87" s="157"/>
    </row>
    <row r="88" spans="2:14" x14ac:dyDescent="0.3">
      <c r="B88" s="156"/>
      <c r="C88" s="102" t="s">
        <v>366</v>
      </c>
      <c r="D88" s="103" t="s">
        <v>262</v>
      </c>
      <c r="E88" s="190">
        <v>50</v>
      </c>
      <c r="F88" s="173">
        <v>10</v>
      </c>
      <c r="G88" s="173">
        <v>1</v>
      </c>
      <c r="H88" s="157"/>
    </row>
    <row r="89" spans="2:14" x14ac:dyDescent="0.3">
      <c r="B89" s="156"/>
      <c r="C89" s="102" t="s">
        <v>376</v>
      </c>
      <c r="D89" s="103" t="s">
        <v>262</v>
      </c>
      <c r="E89" s="190">
        <v>1000</v>
      </c>
      <c r="F89" s="173">
        <v>3</v>
      </c>
      <c r="G89" s="173">
        <v>5</v>
      </c>
      <c r="H89" s="157"/>
    </row>
    <row r="90" spans="2:14" x14ac:dyDescent="0.3">
      <c r="B90" s="156"/>
      <c r="C90" s="93"/>
      <c r="D90" s="93"/>
      <c r="E90" s="176"/>
      <c r="F90" s="176"/>
      <c r="G90" s="176"/>
      <c r="H90" s="157"/>
    </row>
    <row r="91" spans="2:14" x14ac:dyDescent="0.3">
      <c r="B91" s="156"/>
      <c r="C91" s="161" t="s">
        <v>207</v>
      </c>
      <c r="D91" s="162"/>
      <c r="E91" s="162"/>
      <c r="F91" s="176"/>
      <c r="G91" s="176"/>
      <c r="H91" s="157"/>
    </row>
    <row r="92" spans="2:14" x14ac:dyDescent="0.3">
      <c r="B92" s="156"/>
      <c r="C92" s="163" t="s">
        <v>208</v>
      </c>
      <c r="D92" s="164" t="s">
        <v>209</v>
      </c>
      <c r="E92" s="164" t="s">
        <v>210</v>
      </c>
      <c r="F92" s="176" t="s">
        <v>194</v>
      </c>
      <c r="G92" s="176"/>
      <c r="H92" s="157"/>
    </row>
    <row r="93" spans="2:14" x14ac:dyDescent="0.3">
      <c r="B93" s="156"/>
      <c r="C93" s="191">
        <v>1</v>
      </c>
      <c r="D93" s="102" t="s">
        <v>162</v>
      </c>
      <c r="E93" s="102" t="s">
        <v>162</v>
      </c>
      <c r="F93" s="176" t="s">
        <v>194</v>
      </c>
      <c r="G93" s="176"/>
      <c r="H93" s="157"/>
    </row>
    <row r="94" spans="2:14" x14ac:dyDescent="0.3">
      <c r="B94" s="156"/>
      <c r="C94" s="191">
        <v>2</v>
      </c>
      <c r="D94" s="102" t="s">
        <v>162</v>
      </c>
      <c r="E94" s="102" t="s">
        <v>365</v>
      </c>
      <c r="F94" s="176" t="s">
        <v>194</v>
      </c>
      <c r="G94" s="176"/>
      <c r="H94" s="157"/>
    </row>
    <row r="95" spans="2:14" x14ac:dyDescent="0.3">
      <c r="B95" s="156"/>
      <c r="C95" s="191">
        <v>3</v>
      </c>
      <c r="D95" s="102" t="s">
        <v>162</v>
      </c>
      <c r="E95" s="102" t="s">
        <v>376</v>
      </c>
      <c r="F95" s="176" t="s">
        <v>194</v>
      </c>
      <c r="G95" s="176"/>
      <c r="H95" s="157"/>
    </row>
    <row r="96" spans="2:14" x14ac:dyDescent="0.3">
      <c r="B96" s="156"/>
      <c r="C96" s="191">
        <v>4</v>
      </c>
      <c r="D96" s="102" t="s">
        <v>162</v>
      </c>
      <c r="E96" s="102" t="s">
        <v>367</v>
      </c>
      <c r="F96" s="176" t="s">
        <v>194</v>
      </c>
      <c r="G96" s="176"/>
      <c r="H96" s="157"/>
    </row>
    <row r="97" spans="2:14" x14ac:dyDescent="0.3">
      <c r="B97" s="156"/>
      <c r="C97" s="191">
        <v>5</v>
      </c>
      <c r="D97" s="102" t="s">
        <v>162</v>
      </c>
      <c r="E97" s="102" t="s">
        <v>366</v>
      </c>
      <c r="F97" s="176" t="s">
        <v>194</v>
      </c>
      <c r="G97" s="176"/>
      <c r="H97" s="157"/>
    </row>
    <row r="98" spans="2:14" x14ac:dyDescent="0.3">
      <c r="B98" s="156"/>
      <c r="C98" s="191">
        <v>6</v>
      </c>
      <c r="D98" s="102"/>
      <c r="E98" s="102"/>
      <c r="F98" s="176" t="s">
        <v>372</v>
      </c>
      <c r="G98" s="176"/>
      <c r="H98" s="157"/>
    </row>
    <row r="99" spans="2:14" x14ac:dyDescent="0.3">
      <c r="B99" s="156"/>
      <c r="C99" s="93"/>
      <c r="D99" s="93"/>
      <c r="E99" s="176"/>
      <c r="F99" s="176"/>
      <c r="G99" s="176"/>
      <c r="H99" s="157"/>
      <c r="J99" s="111"/>
      <c r="K99" s="192"/>
      <c r="L99" s="111"/>
      <c r="M99" s="111"/>
      <c r="N99" s="111"/>
    </row>
    <row r="100" spans="2:14" x14ac:dyDescent="0.3">
      <c r="B100" s="156"/>
      <c r="C100" s="193" t="s">
        <v>168</v>
      </c>
      <c r="D100" s="176"/>
      <c r="E100" s="176"/>
      <c r="F100" s="176"/>
      <c r="G100" s="176"/>
      <c r="H100" s="157"/>
      <c r="J100" s="111"/>
      <c r="K100" s="192"/>
      <c r="L100" s="111"/>
      <c r="M100" s="111"/>
      <c r="N100" s="111"/>
    </row>
    <row r="101" spans="2:14" x14ac:dyDescent="0.3">
      <c r="B101" s="156"/>
      <c r="C101" s="93" t="s">
        <v>172</v>
      </c>
      <c r="D101" s="93"/>
      <c r="E101" s="176"/>
      <c r="F101" s="176"/>
      <c r="G101" s="176"/>
      <c r="H101" s="157"/>
      <c r="J101" s="111"/>
      <c r="K101" s="192"/>
      <c r="L101" s="111"/>
      <c r="M101" s="111"/>
      <c r="N101" s="111"/>
    </row>
    <row r="102" spans="2:14" x14ac:dyDescent="0.3">
      <c r="B102" s="156"/>
      <c r="C102" s="163" t="s">
        <v>158</v>
      </c>
      <c r="D102" s="163"/>
      <c r="E102" s="164" t="s">
        <v>166</v>
      </c>
      <c r="F102" s="176"/>
      <c r="G102" s="176"/>
      <c r="H102" s="157"/>
      <c r="J102" s="111"/>
      <c r="K102" s="192"/>
      <c r="L102" s="111"/>
      <c r="M102" s="111"/>
      <c r="N102" s="111"/>
    </row>
    <row r="103" spans="2:14" x14ac:dyDescent="0.3">
      <c r="B103" s="156"/>
      <c r="C103" s="102" t="s">
        <v>170</v>
      </c>
      <c r="D103" s="103"/>
      <c r="E103" s="194">
        <v>2</v>
      </c>
      <c r="F103" s="176"/>
      <c r="G103" s="176"/>
      <c r="H103" s="157"/>
      <c r="J103" s="111"/>
      <c r="K103" s="192"/>
      <c r="L103" s="111"/>
      <c r="M103" s="111"/>
      <c r="N103" s="111"/>
    </row>
    <row r="104" spans="2:14" x14ac:dyDescent="0.3">
      <c r="B104" s="156"/>
      <c r="C104" s="102" t="s">
        <v>169</v>
      </c>
      <c r="D104" s="103"/>
      <c r="E104" s="194">
        <v>0.2</v>
      </c>
      <c r="F104" s="176"/>
      <c r="G104" s="176"/>
      <c r="H104" s="157"/>
      <c r="J104" s="111"/>
      <c r="K104" s="192"/>
      <c r="L104" s="111"/>
      <c r="M104" s="111"/>
      <c r="N104" s="111"/>
    </row>
    <row r="105" spans="2:14" x14ac:dyDescent="0.3">
      <c r="B105" s="156"/>
      <c r="C105" s="195" t="s">
        <v>171</v>
      </c>
      <c r="D105" s="196" t="str">
        <f>"Length (km) * ("&amp;E103&amp;" + "&amp;E104&amp;" * IRI)"</f>
        <v>Length (km) * (2 + 0.2 * IRI)</v>
      </c>
      <c r="E105" s="197"/>
      <c r="F105" s="176"/>
      <c r="G105" s="176"/>
      <c r="H105" s="157"/>
      <c r="J105" s="111"/>
      <c r="K105" s="192"/>
      <c r="L105" s="111"/>
      <c r="M105" s="111"/>
      <c r="N105" s="111"/>
    </row>
    <row r="106" spans="2:14" x14ac:dyDescent="0.3">
      <c r="B106" s="156"/>
      <c r="C106" s="93"/>
      <c r="D106" s="93"/>
      <c r="E106" s="176"/>
      <c r="F106" s="176"/>
      <c r="G106" s="176"/>
      <c r="H106" s="157"/>
      <c r="J106" s="111"/>
      <c r="K106" s="111"/>
      <c r="L106" s="111"/>
      <c r="M106" s="111"/>
      <c r="N106" s="111"/>
    </row>
    <row r="107" spans="2:14" x14ac:dyDescent="0.3">
      <c r="B107" s="156"/>
      <c r="C107" s="198" t="s">
        <v>164</v>
      </c>
      <c r="D107" s="93"/>
      <c r="E107" s="176"/>
      <c r="F107" s="176"/>
      <c r="G107" s="176"/>
      <c r="H107" s="157"/>
      <c r="J107" s="111"/>
      <c r="K107" s="111"/>
      <c r="L107" s="111"/>
      <c r="M107" s="111"/>
      <c r="N107" s="111"/>
    </row>
    <row r="108" spans="2:14" x14ac:dyDescent="0.3">
      <c r="B108" s="156"/>
      <c r="C108" s="163" t="s">
        <v>158</v>
      </c>
      <c r="D108" s="164" t="s">
        <v>73</v>
      </c>
      <c r="E108" s="176"/>
      <c r="F108" s="166"/>
      <c r="G108" s="167"/>
      <c r="H108" s="157"/>
      <c r="J108" s="111"/>
      <c r="K108" s="111"/>
      <c r="L108" s="111"/>
      <c r="M108" s="111"/>
      <c r="N108" s="111"/>
    </row>
    <row r="109" spans="2:14" x14ac:dyDescent="0.3">
      <c r="B109" s="156"/>
      <c r="C109" s="102" t="s">
        <v>165</v>
      </c>
      <c r="D109" s="103">
        <v>1</v>
      </c>
      <c r="E109" s="176"/>
      <c r="F109" s="168"/>
      <c r="G109" s="169"/>
      <c r="H109" s="157"/>
      <c r="J109" s="111"/>
      <c r="K109" s="111"/>
      <c r="L109" s="111"/>
      <c r="M109" s="111"/>
      <c r="N109" s="111"/>
    </row>
    <row r="110" spans="2:14" x14ac:dyDescent="0.3">
      <c r="B110" s="156"/>
      <c r="C110" s="102" t="s">
        <v>167</v>
      </c>
      <c r="D110" s="103">
        <v>0</v>
      </c>
      <c r="E110" s="176"/>
      <c r="F110" s="168"/>
      <c r="G110" s="169"/>
      <c r="H110" s="157"/>
      <c r="J110" s="111"/>
      <c r="K110" s="111"/>
      <c r="L110" s="111"/>
      <c r="M110" s="111"/>
      <c r="N110" s="111"/>
    </row>
    <row r="111" spans="2:14" x14ac:dyDescent="0.3">
      <c r="B111" s="156"/>
      <c r="C111" s="176"/>
      <c r="D111" s="199">
        <f>SUM(D109:D110)</f>
        <v>1</v>
      </c>
      <c r="E111" s="176"/>
      <c r="F111" s="174"/>
      <c r="G111" s="175"/>
      <c r="H111" s="157"/>
      <c r="J111" s="111"/>
      <c r="K111" s="111"/>
      <c r="L111" s="111"/>
      <c r="M111" s="111"/>
      <c r="N111" s="111"/>
    </row>
    <row r="112" spans="2:14" x14ac:dyDescent="0.3">
      <c r="B112" s="200"/>
      <c r="C112" s="201"/>
      <c r="D112" s="201"/>
      <c r="E112" s="201"/>
      <c r="F112" s="201"/>
      <c r="G112" s="201"/>
      <c r="H112" s="202"/>
    </row>
    <row r="114" spans="2:14" x14ac:dyDescent="0.3">
      <c r="B114" s="203"/>
      <c r="C114" s="204"/>
      <c r="D114" s="204"/>
      <c r="E114" s="204"/>
      <c r="F114" s="204"/>
      <c r="G114" s="204"/>
      <c r="H114" s="204"/>
      <c r="I114" s="204"/>
      <c r="J114" s="204"/>
      <c r="K114" s="204"/>
      <c r="L114" s="204"/>
      <c r="M114" s="204"/>
      <c r="N114" s="205"/>
    </row>
    <row r="115" spans="2:14" x14ac:dyDescent="0.3">
      <c r="B115" s="206"/>
      <c r="C115" s="207" t="s">
        <v>332</v>
      </c>
      <c r="D115" s="208"/>
      <c r="E115" s="208"/>
      <c r="F115" s="208"/>
      <c r="G115" s="208"/>
      <c r="H115" s="208"/>
      <c r="I115" s="208"/>
      <c r="J115" s="208"/>
      <c r="K115" s="208"/>
      <c r="L115" s="208"/>
      <c r="M115" s="208"/>
      <c r="N115" s="209"/>
    </row>
    <row r="116" spans="2:14" x14ac:dyDescent="0.3">
      <c r="B116" s="206"/>
      <c r="C116" s="210" t="s">
        <v>333</v>
      </c>
      <c r="D116" s="208"/>
      <c r="E116" s="208"/>
      <c r="F116" s="208"/>
      <c r="G116" s="208"/>
      <c r="H116" s="208"/>
      <c r="I116" s="208"/>
      <c r="J116" s="208"/>
      <c r="K116" s="208"/>
      <c r="L116" s="208"/>
      <c r="M116" s="208"/>
      <c r="N116" s="209"/>
    </row>
    <row r="117" spans="2:14" x14ac:dyDescent="0.3">
      <c r="B117" s="206"/>
      <c r="C117" s="208" t="s">
        <v>342</v>
      </c>
      <c r="D117" s="208"/>
      <c r="E117" s="208"/>
      <c r="F117" s="208"/>
      <c r="G117" s="208"/>
      <c r="H117" s="208"/>
      <c r="I117" s="208"/>
      <c r="J117" s="208"/>
      <c r="K117" s="208"/>
      <c r="L117" s="208"/>
      <c r="M117" s="208"/>
      <c r="N117" s="209"/>
    </row>
    <row r="118" spans="2:14" x14ac:dyDescent="0.3">
      <c r="B118" s="206"/>
      <c r="C118" s="208" t="s">
        <v>334</v>
      </c>
      <c r="D118" s="208"/>
      <c r="E118" s="208"/>
      <c r="F118" s="208"/>
      <c r="G118" s="208"/>
      <c r="H118" s="208"/>
      <c r="I118" s="208"/>
      <c r="J118" s="208"/>
      <c r="K118" s="208"/>
      <c r="L118" s="208"/>
      <c r="M118" s="208"/>
      <c r="N118" s="209"/>
    </row>
    <row r="119" spans="2:14" x14ac:dyDescent="0.3">
      <c r="B119" s="206"/>
      <c r="C119" s="208" t="s">
        <v>335</v>
      </c>
      <c r="D119" s="208"/>
      <c r="E119" s="208"/>
      <c r="F119" s="208"/>
      <c r="G119" s="208"/>
      <c r="H119" s="208"/>
      <c r="I119" s="208"/>
      <c r="J119" s="208"/>
      <c r="K119" s="208"/>
      <c r="L119" s="208"/>
      <c r="M119" s="208"/>
      <c r="N119" s="209"/>
    </row>
    <row r="120" spans="2:14" x14ac:dyDescent="0.3">
      <c r="B120" s="206"/>
      <c r="C120" s="208" t="s">
        <v>337</v>
      </c>
      <c r="D120" s="208"/>
      <c r="E120" s="208"/>
      <c r="F120" s="208"/>
      <c r="G120" s="208"/>
      <c r="H120" s="208"/>
      <c r="I120" s="208"/>
      <c r="J120" s="208"/>
      <c r="K120" s="208"/>
      <c r="L120" s="208"/>
      <c r="M120" s="208"/>
      <c r="N120" s="209"/>
    </row>
    <row r="121" spans="2:14" x14ac:dyDescent="0.3">
      <c r="B121" s="206"/>
      <c r="C121" s="208" t="s">
        <v>338</v>
      </c>
      <c r="D121" s="208"/>
      <c r="E121" s="208"/>
      <c r="F121" s="208"/>
      <c r="G121" s="208"/>
      <c r="H121" s="208"/>
      <c r="I121" s="208"/>
      <c r="J121" s="208"/>
      <c r="K121" s="208"/>
      <c r="L121" s="208"/>
      <c r="M121" s="208"/>
      <c r="N121" s="209"/>
    </row>
    <row r="122" spans="2:14" x14ac:dyDescent="0.3">
      <c r="B122" s="206"/>
      <c r="C122" s="208" t="s">
        <v>336</v>
      </c>
      <c r="D122" s="208"/>
      <c r="E122" s="208"/>
      <c r="F122" s="208"/>
      <c r="G122" s="208"/>
      <c r="H122" s="208"/>
      <c r="I122" s="208"/>
      <c r="J122" s="208"/>
      <c r="K122" s="208"/>
      <c r="L122" s="208"/>
      <c r="M122" s="208"/>
      <c r="N122" s="209"/>
    </row>
    <row r="123" spans="2:14" x14ac:dyDescent="0.3">
      <c r="B123" s="206"/>
      <c r="C123" s="208"/>
      <c r="D123" s="208"/>
      <c r="E123" s="208"/>
      <c r="F123" s="208"/>
      <c r="G123" s="208"/>
      <c r="H123" s="208"/>
      <c r="I123" s="208"/>
      <c r="J123" s="208"/>
      <c r="K123" s="208"/>
      <c r="L123" s="208"/>
      <c r="M123" s="208"/>
      <c r="N123" s="209"/>
    </row>
    <row r="124" spans="2:14" x14ac:dyDescent="0.3">
      <c r="B124" s="206"/>
      <c r="C124" s="210" t="s">
        <v>339</v>
      </c>
      <c r="D124" s="208"/>
      <c r="E124" s="208"/>
      <c r="F124" s="208"/>
      <c r="G124" s="208"/>
      <c r="H124" s="208"/>
      <c r="I124" s="208"/>
      <c r="J124" s="208"/>
      <c r="K124" s="208"/>
      <c r="L124" s="208"/>
      <c r="M124" s="208"/>
      <c r="N124" s="209"/>
    </row>
    <row r="125" spans="2:14" x14ac:dyDescent="0.3">
      <c r="B125" s="206"/>
      <c r="C125" s="208" t="s">
        <v>340</v>
      </c>
      <c r="D125" s="208"/>
      <c r="E125" s="208"/>
      <c r="F125" s="208"/>
      <c r="G125" s="208"/>
      <c r="H125" s="208"/>
      <c r="I125" s="208"/>
      <c r="J125" s="208"/>
      <c r="K125" s="208"/>
      <c r="L125" s="208"/>
      <c r="M125" s="208"/>
      <c r="N125" s="209"/>
    </row>
    <row r="126" spans="2:14" x14ac:dyDescent="0.3">
      <c r="B126" s="206"/>
      <c r="C126" s="208" t="s">
        <v>341</v>
      </c>
      <c r="D126" s="208"/>
      <c r="E126" s="208"/>
      <c r="F126" s="208"/>
      <c r="G126" s="208"/>
      <c r="H126" s="208"/>
      <c r="I126" s="208"/>
      <c r="J126" s="208"/>
      <c r="K126" s="208"/>
      <c r="L126" s="208"/>
      <c r="M126" s="208"/>
      <c r="N126" s="209"/>
    </row>
    <row r="127" spans="2:14" x14ac:dyDescent="0.3">
      <c r="B127" s="211"/>
      <c r="C127" s="212"/>
      <c r="D127" s="212"/>
      <c r="E127" s="212"/>
      <c r="F127" s="212"/>
      <c r="G127" s="212"/>
      <c r="H127" s="212"/>
      <c r="I127" s="212"/>
      <c r="J127" s="212"/>
      <c r="K127" s="212"/>
      <c r="L127" s="212"/>
      <c r="M127" s="212"/>
      <c r="N127" s="213"/>
    </row>
  </sheetData>
  <conditionalFormatting sqref="L20">
    <cfRule type="cellIs" dxfId="6" priority="8" operator="equal">
      <formula>"OK"</formula>
    </cfRule>
  </conditionalFormatting>
  <conditionalFormatting sqref="C24">
    <cfRule type="cellIs" dxfId="5" priority="7" operator="equal">
      <formula>"OK"</formula>
    </cfRule>
  </conditionalFormatting>
  <conditionalFormatting sqref="F40">
    <cfRule type="expression" dxfId="4" priority="6">
      <formula>$E$40="Relative"</formula>
    </cfRule>
  </conditionalFormatting>
  <conditionalFormatting sqref="F41">
    <cfRule type="expression" dxfId="3" priority="5">
      <formula>$E41="Relative"</formula>
    </cfRule>
  </conditionalFormatting>
  <conditionalFormatting sqref="F42:F53">
    <cfRule type="expression" dxfId="2" priority="4">
      <formula>E42="Relative"</formula>
    </cfRule>
  </conditionalFormatting>
  <conditionalFormatting sqref="C59">
    <cfRule type="cellIs" dxfId="1" priority="3" operator="equal">
      <formula>"OK"</formula>
    </cfRule>
  </conditionalFormatting>
  <conditionalFormatting sqref="K75:K77">
    <cfRule type="cellIs" dxfId="0" priority="1" operator="equal">
      <formula>"OK"</formula>
    </cfRule>
  </conditionalFormatting>
  <dataValidations count="6">
    <dataValidation type="list" allowBlank="1" showInputMessage="1" showErrorMessage="1" sqref="E40:E53">
      <formula1>"Relative,Absolute"</formula1>
    </dataValidation>
    <dataValidation type="list" allowBlank="1" showInputMessage="1" showErrorMessage="1" sqref="E54:E58">
      <formula1>"Relative"</formula1>
    </dataValidation>
    <dataValidation type="list" allowBlank="1" showInputMessage="1" showErrorMessage="1" sqref="G85:G89">
      <formula1>"1,2,3,4,5"</formula1>
    </dataValidation>
    <dataValidation type="list" allowBlank="1" showInputMessage="1" showErrorMessage="1" sqref="D93:D98">
      <formula1>$C$77:$C$81</formula1>
    </dataValidation>
    <dataValidation type="list" allowBlank="1" showInputMessage="1" showErrorMessage="1" sqref="E93:E98">
      <formula1>$C$85:$C$89</formula1>
    </dataValidation>
    <dataValidation type="list" allowBlank="1" showInputMessage="1" showErrorMessage="1" sqref="D65:D7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autoFill="0" autoPict="0" macro="[0]!runpythonPoverty">
                <anchor moveWithCells="1" sizeWithCells="1">
                  <from>
                    <xdr:col>5</xdr:col>
                    <xdr:colOff>60960</xdr:colOff>
                    <xdr:row>19</xdr:row>
                    <xdr:rowOff>60960</xdr:rowOff>
                  </from>
                  <to>
                    <xdr:col>6</xdr:col>
                    <xdr:colOff>1356360</xdr:colOff>
                    <xdr:row>22</xdr:row>
                    <xdr:rowOff>106680</xdr:rowOff>
                  </to>
                </anchor>
              </controlPr>
            </control>
          </mc:Choice>
        </mc:AlternateContent>
        <mc:AlternateContent xmlns:mc="http://schemas.openxmlformats.org/markup-compatibility/2006">
          <mc:Choice Requires="x14">
            <control shapeId="1076" r:id="rId5" name="Button 52">
              <controlPr defaultSize="0" print="0" autoFill="0" autoPict="0" macro="[0]!runpythonRisk">
                <anchor moveWithCells="1" sizeWithCells="1">
                  <from>
                    <xdr:col>5</xdr:col>
                    <xdr:colOff>53340</xdr:colOff>
                    <xdr:row>54</xdr:row>
                    <xdr:rowOff>68580</xdr:rowOff>
                  </from>
                  <to>
                    <xdr:col>6</xdr:col>
                    <xdr:colOff>1341120</xdr:colOff>
                    <xdr:row>57</xdr:row>
                    <xdr:rowOff>114300</xdr:rowOff>
                  </to>
                </anchor>
              </controlPr>
            </control>
          </mc:Choice>
        </mc:AlternateContent>
        <mc:AlternateContent xmlns:mc="http://schemas.openxmlformats.org/markup-compatibility/2006">
          <mc:Choice Requires="x14">
            <control shapeId="1078" r:id="rId6" name="Button 54">
              <controlPr defaultSize="0" print="0" autoFill="0" autoPict="0" macro="[0]!runpythonCriticality">
                <anchor moveWithCells="1" sizeWithCells="1">
                  <from>
                    <xdr:col>5</xdr:col>
                    <xdr:colOff>60960</xdr:colOff>
                    <xdr:row>107</xdr:row>
                    <xdr:rowOff>76200</xdr:rowOff>
                  </from>
                  <to>
                    <xdr:col>6</xdr:col>
                    <xdr:colOff>1348740</xdr:colOff>
                    <xdr:row>110</xdr:row>
                    <xdr:rowOff>121920</xdr:rowOff>
                  </to>
                </anchor>
              </controlPr>
            </control>
          </mc:Choice>
        </mc:AlternateContent>
        <mc:AlternateContent xmlns:mc="http://schemas.openxmlformats.org/markup-compatibility/2006">
          <mc:Choice Requires="x14">
            <control shapeId="1079" r:id="rId7" name="Button 55">
              <controlPr defaultSize="0" print="0" autoFill="0" autoPict="0" macro="[0]!runpythonRoughness">
                <anchor moveWithCells="1" sizeWithCells="1">
                  <from>
                    <xdr:col>11</xdr:col>
                    <xdr:colOff>76200</xdr:colOff>
                    <xdr:row>79</xdr:row>
                    <xdr:rowOff>68580</xdr:rowOff>
                  </from>
                  <to>
                    <xdr:col>12</xdr:col>
                    <xdr:colOff>1028700</xdr:colOff>
                    <xdr:row>82</xdr:row>
                    <xdr:rowOff>114300</xdr:rowOff>
                  </to>
                </anchor>
              </controlPr>
            </control>
          </mc:Choice>
        </mc:AlternateContent>
        <mc:AlternateContent xmlns:mc="http://schemas.openxmlformats.org/markup-compatibility/2006">
          <mc:Choice Requires="x14">
            <control shapeId="1080" r:id="rId8" name="Button 56">
              <controlPr defaultSize="0" print="0" autoFill="0" autoPict="0" macro="[0]!runpythonPCS">
                <anchor moveWithCells="1" sizeWithCells="1">
                  <from>
                    <xdr:col>11</xdr:col>
                    <xdr:colOff>53340</xdr:colOff>
                    <xdr:row>54</xdr:row>
                    <xdr:rowOff>30480</xdr:rowOff>
                  </from>
                  <to>
                    <xdr:col>12</xdr:col>
                    <xdr:colOff>1059180</xdr:colOff>
                    <xdr:row>57</xdr:row>
                    <xdr:rowOff>144780</xdr:rowOff>
                  </to>
                </anchor>
              </controlPr>
            </control>
          </mc:Choice>
        </mc:AlternateContent>
        <mc:AlternateContent xmlns:mc="http://schemas.openxmlformats.org/markup-compatibility/2006">
          <mc:Choice Requires="x14">
            <control shapeId="1094" r:id="rId9" name="Button 70">
              <controlPr defaultSize="0" print="0" autoFill="0" autoPict="0" macro="[0]!runpythonCriticality_layer_prep">
                <anchor moveWithCells="1" sizeWithCells="1">
                  <from>
                    <xdr:col>5</xdr:col>
                    <xdr:colOff>60960</xdr:colOff>
                    <xdr:row>67</xdr:row>
                    <xdr:rowOff>76200</xdr:rowOff>
                  </from>
                  <to>
                    <xdr:col>6</xdr:col>
                    <xdr:colOff>1348740</xdr:colOff>
                    <xdr:row>70</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Ref!$A$3:$A$38</xm:f>
          </x14:formula1>
          <xm:sqref>C15:C23</xm:sqref>
        </x14:dataValidation>
        <x14:dataValidation type="list" allowBlank="1" showInputMessage="1" showErrorMessage="1">
          <x14:formula1>
            <xm:f>Ref!$A$2:$A$38</xm:f>
          </x14:formula1>
          <xm:sqref>C14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4" tint="-0.249977111117893"/>
  </sheetPr>
  <dimension ref="A1:J111"/>
  <sheetViews>
    <sheetView showGridLines="0" tabSelected="1" topLeftCell="A61" zoomScale="85" zoomScaleNormal="85" workbookViewId="0">
      <selection activeCell="N71" sqref="N71"/>
    </sheetView>
  </sheetViews>
  <sheetFormatPr defaultRowHeight="14.4" x14ac:dyDescent="0.3"/>
  <cols>
    <col min="1" max="1" width="1.5546875" style="30" customWidth="1"/>
    <col min="2" max="2" width="9" style="30" customWidth="1"/>
    <col min="3" max="3" width="2.77734375" style="30" customWidth="1"/>
    <col min="4" max="4" width="31.6640625" style="30" customWidth="1"/>
    <col min="5" max="7" width="8.88671875" style="30"/>
    <col min="8" max="8" width="8.88671875" style="54"/>
    <col min="9" max="9" width="38.5546875" style="54" customWidth="1"/>
    <col min="10" max="13" width="8.88671875" style="30"/>
    <col min="14" max="14" width="10.33203125" style="30" bestFit="1" customWidth="1"/>
    <col min="15" max="16384" width="8.88671875" style="30"/>
  </cols>
  <sheetData>
    <row r="1" spans="1:10" ht="25.8" x14ac:dyDescent="0.5">
      <c r="A1" s="29" t="s">
        <v>329</v>
      </c>
      <c r="B1" s="29"/>
      <c r="C1" s="29"/>
      <c r="D1" s="29"/>
      <c r="E1" s="29"/>
      <c r="F1" s="29"/>
      <c r="G1" s="29"/>
      <c r="H1" s="29"/>
      <c r="I1" s="29"/>
      <c r="J1" s="29"/>
    </row>
    <row r="3" spans="1:10" x14ac:dyDescent="0.3">
      <c r="B3" s="22" t="s">
        <v>357</v>
      </c>
      <c r="C3" s="69"/>
      <c r="D3" s="69"/>
      <c r="E3" s="70" t="str">
        <f>PCS!D3</f>
        <v>Vietbando_YD</v>
      </c>
    </row>
    <row r="4" spans="1:10" x14ac:dyDescent="0.3">
      <c r="B4" s="22" t="s">
        <v>214</v>
      </c>
      <c r="C4" s="23"/>
      <c r="D4" s="23"/>
      <c r="E4" s="68" t="str">
        <f>PCS!D4</f>
        <v>C:\Users\charl\Anaconda2\Python.exe</v>
      </c>
    </row>
    <row r="5" spans="1:10" x14ac:dyDescent="0.3">
      <c r="B5" s="65" t="s">
        <v>355</v>
      </c>
      <c r="C5" s="23"/>
      <c r="D5" s="23"/>
      <c r="E5" s="68" t="str">
        <f>PCS!D5</f>
        <v>C:\Users\charl\Documents\GitHub\RoadAnalytics</v>
      </c>
    </row>
    <row r="7" spans="1:10" x14ac:dyDescent="0.3">
      <c r="B7" s="31" t="s">
        <v>327</v>
      </c>
      <c r="C7" s="32"/>
      <c r="D7" s="32"/>
      <c r="E7" s="32"/>
      <c r="F7" s="32"/>
      <c r="G7" s="32"/>
      <c r="H7" s="32"/>
      <c r="I7" s="32"/>
      <c r="J7" s="33"/>
    </row>
    <row r="8" spans="1:10" x14ac:dyDescent="0.3">
      <c r="B8" s="34"/>
      <c r="C8" s="35"/>
      <c r="D8" s="35"/>
      <c r="E8" s="35"/>
      <c r="F8" s="35"/>
      <c r="G8" s="35"/>
      <c r="H8" s="36"/>
      <c r="I8" s="36"/>
      <c r="J8" s="37"/>
    </row>
    <row r="9" spans="1:10" x14ac:dyDescent="0.3">
      <c r="B9" s="34"/>
      <c r="C9" s="35" t="s">
        <v>330</v>
      </c>
      <c r="D9" s="35"/>
      <c r="E9" s="35"/>
      <c r="F9" s="35"/>
      <c r="G9" s="35"/>
      <c r="H9" s="36"/>
      <c r="I9" s="36"/>
      <c r="J9" s="37"/>
    </row>
    <row r="10" spans="1:10" x14ac:dyDescent="0.3">
      <c r="B10" s="34"/>
      <c r="C10" s="35" t="s">
        <v>331</v>
      </c>
      <c r="D10" s="35"/>
      <c r="E10" s="35"/>
      <c r="F10" s="35"/>
      <c r="G10" s="35"/>
      <c r="H10" s="36"/>
      <c r="I10" s="36"/>
      <c r="J10" s="37"/>
    </row>
    <row r="11" spans="1:10" x14ac:dyDescent="0.3">
      <c r="B11" s="34"/>
      <c r="C11" s="35" t="s">
        <v>347</v>
      </c>
      <c r="D11" s="35"/>
      <c r="E11" s="35"/>
      <c r="F11" s="35"/>
      <c r="G11" s="35"/>
      <c r="H11" s="36"/>
      <c r="I11" s="36"/>
      <c r="J11" s="37"/>
    </row>
    <row r="12" spans="1:10" x14ac:dyDescent="0.3">
      <c r="B12" s="34"/>
      <c r="C12" s="35"/>
      <c r="D12" s="35"/>
      <c r="E12" s="35"/>
      <c r="F12" s="35"/>
      <c r="G12" s="35"/>
      <c r="H12" s="36"/>
      <c r="I12" s="36"/>
      <c r="J12" s="37"/>
    </row>
    <row r="13" spans="1:10" x14ac:dyDescent="0.3">
      <c r="B13" s="34"/>
      <c r="C13" s="35"/>
      <c r="D13" s="35"/>
      <c r="E13" s="35"/>
      <c r="F13" s="35"/>
      <c r="G13" s="35"/>
      <c r="H13" s="36"/>
      <c r="I13" s="36"/>
      <c r="J13" s="37"/>
    </row>
    <row r="14" spans="1:10" x14ac:dyDescent="0.3">
      <c r="B14" s="38"/>
      <c r="C14" s="39" t="s">
        <v>346</v>
      </c>
      <c r="D14" s="40"/>
      <c r="E14" s="40"/>
      <c r="F14" s="39" t="s">
        <v>262</v>
      </c>
      <c r="G14" s="66"/>
      <c r="H14" s="59"/>
      <c r="I14" s="60"/>
      <c r="J14" s="58"/>
    </row>
    <row r="15" spans="1:10" x14ac:dyDescent="0.3">
      <c r="B15" s="34"/>
      <c r="C15" s="35"/>
      <c r="D15" s="35" t="s">
        <v>263</v>
      </c>
      <c r="E15" s="35"/>
      <c r="F15" s="43">
        <v>4.3</v>
      </c>
      <c r="G15" s="35"/>
      <c r="H15" s="61"/>
      <c r="I15" s="62"/>
      <c r="J15" s="37"/>
    </row>
    <row r="16" spans="1:10" x14ac:dyDescent="0.3">
      <c r="B16" s="34"/>
      <c r="C16" s="35"/>
      <c r="D16" s="35" t="s">
        <v>264</v>
      </c>
      <c r="E16" s="35"/>
      <c r="F16" s="43">
        <v>3.8</v>
      </c>
      <c r="G16" s="35"/>
      <c r="H16" s="61"/>
      <c r="I16" s="62"/>
      <c r="J16" s="37"/>
    </row>
    <row r="17" spans="2:10" x14ac:dyDescent="0.3">
      <c r="B17" s="34"/>
      <c r="C17" s="35"/>
      <c r="D17" s="35" t="s">
        <v>265</v>
      </c>
      <c r="E17" s="35"/>
      <c r="F17" s="43">
        <v>3.4</v>
      </c>
      <c r="G17" s="35"/>
      <c r="H17" s="63"/>
      <c r="I17" s="64"/>
      <c r="J17" s="37"/>
    </row>
    <row r="18" spans="2:10" x14ac:dyDescent="0.3">
      <c r="B18" s="34"/>
      <c r="C18" s="35"/>
      <c r="D18" s="35" t="s">
        <v>273</v>
      </c>
      <c r="E18" s="35"/>
      <c r="F18" s="43">
        <v>3.5</v>
      </c>
      <c r="G18" s="35"/>
      <c r="H18" s="56"/>
      <c r="I18" s="57"/>
      <c r="J18" s="37"/>
    </row>
    <row r="19" spans="2:10" x14ac:dyDescent="0.3">
      <c r="B19" s="34"/>
      <c r="C19" s="35"/>
      <c r="D19" s="35"/>
      <c r="E19" s="35"/>
      <c r="F19" s="35"/>
      <c r="G19" s="35"/>
      <c r="H19" s="44"/>
      <c r="I19" s="45"/>
      <c r="J19" s="37"/>
    </row>
    <row r="20" spans="2:10" x14ac:dyDescent="0.3">
      <c r="B20" s="38"/>
      <c r="C20" s="39" t="s">
        <v>250</v>
      </c>
      <c r="D20" s="40"/>
      <c r="E20" s="40"/>
      <c r="F20" s="39" t="s">
        <v>262</v>
      </c>
      <c r="G20" s="39"/>
      <c r="H20" s="41" t="s">
        <v>260</v>
      </c>
      <c r="I20" s="41" t="s">
        <v>261</v>
      </c>
      <c r="J20" s="42"/>
    </row>
    <row r="21" spans="2:10" x14ac:dyDescent="0.3">
      <c r="B21" s="34"/>
      <c r="C21" s="35"/>
      <c r="D21" s="35" t="s">
        <v>263</v>
      </c>
      <c r="E21" s="35"/>
      <c r="F21" s="43">
        <v>3</v>
      </c>
      <c r="G21" s="35"/>
      <c r="H21" s="44">
        <v>1</v>
      </c>
      <c r="I21" s="36" t="s">
        <v>266</v>
      </c>
      <c r="J21" s="37"/>
    </row>
    <row r="22" spans="2:10" x14ac:dyDescent="0.3">
      <c r="B22" s="34"/>
      <c r="C22" s="35"/>
      <c r="D22" s="35" t="s">
        <v>264</v>
      </c>
      <c r="E22" s="35"/>
      <c r="F22" s="43">
        <v>2</v>
      </c>
      <c r="G22" s="35"/>
      <c r="H22" s="44">
        <v>2</v>
      </c>
      <c r="I22" s="36" t="s">
        <v>267</v>
      </c>
      <c r="J22" s="37"/>
    </row>
    <row r="23" spans="2:10" x14ac:dyDescent="0.3">
      <c r="B23" s="34"/>
      <c r="C23" s="35"/>
      <c r="D23" s="35" t="s">
        <v>265</v>
      </c>
      <c r="E23" s="35"/>
      <c r="F23" s="43">
        <v>1</v>
      </c>
      <c r="G23" s="35"/>
      <c r="H23" s="44">
        <v>3</v>
      </c>
      <c r="I23" s="36" t="s">
        <v>268</v>
      </c>
      <c r="J23" s="37"/>
    </row>
    <row r="24" spans="2:10" x14ac:dyDescent="0.3">
      <c r="B24" s="34"/>
      <c r="C24" s="35"/>
      <c r="D24" s="35" t="s">
        <v>273</v>
      </c>
      <c r="E24" s="35"/>
      <c r="F24" s="43">
        <v>2</v>
      </c>
      <c r="G24" s="35"/>
      <c r="H24" s="44">
        <v>4</v>
      </c>
      <c r="I24" s="36" t="s">
        <v>269</v>
      </c>
      <c r="J24" s="37"/>
    </row>
    <row r="25" spans="2:10" x14ac:dyDescent="0.3">
      <c r="B25" s="34"/>
      <c r="C25" s="35"/>
      <c r="D25" s="35"/>
      <c r="E25" s="35"/>
      <c r="F25" s="35"/>
      <c r="G25" s="35"/>
      <c r="H25" s="44">
        <v>5</v>
      </c>
      <c r="I25" s="36" t="s">
        <v>270</v>
      </c>
      <c r="J25" s="37"/>
    </row>
    <row r="26" spans="2:10" x14ac:dyDescent="0.3">
      <c r="B26" s="34"/>
      <c r="C26" s="35"/>
      <c r="D26" s="35"/>
      <c r="E26" s="35"/>
      <c r="F26" s="35"/>
      <c r="G26" s="35"/>
      <c r="H26" s="44">
        <v>6</v>
      </c>
      <c r="I26" s="36" t="s">
        <v>271</v>
      </c>
      <c r="J26" s="37"/>
    </row>
    <row r="27" spans="2:10" x14ac:dyDescent="0.3">
      <c r="B27" s="34"/>
      <c r="C27" s="35"/>
      <c r="D27" s="35"/>
      <c r="E27" s="35"/>
      <c r="F27" s="35"/>
      <c r="G27" s="35"/>
      <c r="H27" s="44">
        <v>7</v>
      </c>
      <c r="I27" s="36" t="s">
        <v>272</v>
      </c>
      <c r="J27" s="37"/>
    </row>
    <row r="28" spans="2:10" x14ac:dyDescent="0.3">
      <c r="B28" s="34"/>
      <c r="C28" s="35"/>
      <c r="D28" s="35"/>
      <c r="E28" s="35"/>
      <c r="F28" s="35"/>
      <c r="G28" s="35"/>
      <c r="H28" s="44"/>
      <c r="I28" s="45"/>
      <c r="J28" s="37"/>
    </row>
    <row r="29" spans="2:10" x14ac:dyDescent="0.3">
      <c r="B29" s="38"/>
      <c r="C29" s="39" t="s">
        <v>251</v>
      </c>
      <c r="D29" s="40"/>
      <c r="E29" s="40"/>
      <c r="F29" s="39" t="s">
        <v>262</v>
      </c>
      <c r="G29" s="39"/>
      <c r="H29" s="41" t="s">
        <v>260</v>
      </c>
      <c r="I29" s="41" t="s">
        <v>261</v>
      </c>
      <c r="J29" s="42"/>
    </row>
    <row r="30" spans="2:10" x14ac:dyDescent="0.3">
      <c r="B30" s="34"/>
      <c r="C30" s="35"/>
      <c r="D30" s="35" t="s">
        <v>263</v>
      </c>
      <c r="E30" s="35"/>
      <c r="F30" s="43">
        <v>3</v>
      </c>
      <c r="G30" s="35"/>
      <c r="H30" s="44">
        <v>1</v>
      </c>
      <c r="I30" s="36" t="s">
        <v>274</v>
      </c>
      <c r="J30" s="37"/>
    </row>
    <row r="31" spans="2:10" x14ac:dyDescent="0.3">
      <c r="B31" s="34"/>
      <c r="C31" s="35"/>
      <c r="D31" s="35" t="s">
        <v>264</v>
      </c>
      <c r="E31" s="35"/>
      <c r="F31" s="43">
        <v>3</v>
      </c>
      <c r="G31" s="35"/>
      <c r="H31" s="44">
        <v>2</v>
      </c>
      <c r="I31" s="36" t="s">
        <v>275</v>
      </c>
      <c r="J31" s="37"/>
    </row>
    <row r="32" spans="2:10" x14ac:dyDescent="0.3">
      <c r="B32" s="34"/>
      <c r="C32" s="35"/>
      <c r="D32" s="35" t="s">
        <v>265</v>
      </c>
      <c r="E32" s="35"/>
      <c r="F32" s="43">
        <v>1</v>
      </c>
      <c r="G32" s="35"/>
      <c r="H32" s="44">
        <v>3</v>
      </c>
      <c r="I32" s="36" t="s">
        <v>276</v>
      </c>
      <c r="J32" s="37"/>
    </row>
    <row r="33" spans="2:10" x14ac:dyDescent="0.3">
      <c r="B33" s="34"/>
      <c r="C33" s="35"/>
      <c r="D33" s="35" t="s">
        <v>273</v>
      </c>
      <c r="E33" s="35"/>
      <c r="F33" s="43">
        <v>1</v>
      </c>
      <c r="G33" s="35"/>
      <c r="H33" s="44">
        <v>4</v>
      </c>
      <c r="I33" s="36" t="s">
        <v>277</v>
      </c>
      <c r="J33" s="37"/>
    </row>
    <row r="34" spans="2:10" x14ac:dyDescent="0.3">
      <c r="B34" s="34"/>
      <c r="C34" s="35"/>
      <c r="D34" s="35"/>
      <c r="E34" s="35"/>
      <c r="F34" s="35"/>
      <c r="G34" s="35"/>
      <c r="H34" s="44">
        <v>5</v>
      </c>
      <c r="I34" s="36" t="s">
        <v>278</v>
      </c>
      <c r="J34" s="37"/>
    </row>
    <row r="35" spans="2:10" x14ac:dyDescent="0.3">
      <c r="B35" s="34"/>
      <c r="C35" s="35"/>
      <c r="D35" s="35"/>
      <c r="E35" s="35"/>
      <c r="F35" s="35"/>
      <c r="G35" s="35"/>
      <c r="H35" s="44">
        <v>6</v>
      </c>
      <c r="I35" s="36" t="s">
        <v>279</v>
      </c>
      <c r="J35" s="37"/>
    </row>
    <row r="36" spans="2:10" x14ac:dyDescent="0.3">
      <c r="B36" s="34"/>
      <c r="C36" s="35"/>
      <c r="D36" s="35"/>
      <c r="E36" s="35"/>
      <c r="F36" s="35"/>
      <c r="G36" s="35"/>
      <c r="H36" s="44">
        <v>7</v>
      </c>
      <c r="I36" s="36" t="s">
        <v>280</v>
      </c>
      <c r="J36" s="37"/>
    </row>
    <row r="37" spans="2:10" x14ac:dyDescent="0.3">
      <c r="B37" s="34"/>
      <c r="C37" s="35"/>
      <c r="D37" s="35"/>
      <c r="E37" s="35"/>
      <c r="F37" s="35"/>
      <c r="G37" s="35"/>
      <c r="H37" s="44"/>
      <c r="I37" s="36"/>
      <c r="J37" s="37"/>
    </row>
    <row r="38" spans="2:10" x14ac:dyDescent="0.3">
      <c r="B38" s="38"/>
      <c r="C38" s="39" t="s">
        <v>252</v>
      </c>
      <c r="D38" s="40"/>
      <c r="E38" s="40"/>
      <c r="F38" s="39" t="s">
        <v>262</v>
      </c>
      <c r="G38" s="39"/>
      <c r="H38" s="41" t="s">
        <v>260</v>
      </c>
      <c r="I38" s="41" t="s">
        <v>261</v>
      </c>
      <c r="J38" s="42"/>
    </row>
    <row r="39" spans="2:10" x14ac:dyDescent="0.3">
      <c r="B39" s="34"/>
      <c r="C39" s="35"/>
      <c r="D39" s="35" t="s">
        <v>263</v>
      </c>
      <c r="E39" s="35"/>
      <c r="F39" s="43">
        <v>8</v>
      </c>
      <c r="G39" s="35"/>
      <c r="H39" s="44">
        <v>1</v>
      </c>
      <c r="I39" s="36" t="s">
        <v>281</v>
      </c>
      <c r="J39" s="37"/>
    </row>
    <row r="40" spans="2:10" x14ac:dyDescent="0.3">
      <c r="B40" s="34"/>
      <c r="C40" s="35"/>
      <c r="D40" s="35" t="s">
        <v>264</v>
      </c>
      <c r="E40" s="35"/>
      <c r="F40" s="43">
        <v>6</v>
      </c>
      <c r="G40" s="35"/>
      <c r="H40" s="44">
        <v>2</v>
      </c>
      <c r="I40" s="36" t="s">
        <v>282</v>
      </c>
      <c r="J40" s="37"/>
    </row>
    <row r="41" spans="2:10" x14ac:dyDescent="0.3">
      <c r="B41" s="34"/>
      <c r="C41" s="35"/>
      <c r="D41" s="35" t="s">
        <v>265</v>
      </c>
      <c r="E41" s="35"/>
      <c r="F41" s="43">
        <v>8</v>
      </c>
      <c r="G41" s="35"/>
      <c r="H41" s="44">
        <v>3</v>
      </c>
      <c r="I41" s="36" t="s">
        <v>283</v>
      </c>
      <c r="J41" s="37"/>
    </row>
    <row r="42" spans="2:10" x14ac:dyDescent="0.3">
      <c r="B42" s="34"/>
      <c r="C42" s="35"/>
      <c r="D42" s="35" t="s">
        <v>273</v>
      </c>
      <c r="E42" s="35"/>
      <c r="F42" s="43">
        <v>8</v>
      </c>
      <c r="G42" s="35"/>
      <c r="H42" s="44">
        <v>4</v>
      </c>
      <c r="I42" s="36" t="s">
        <v>284</v>
      </c>
      <c r="J42" s="37"/>
    </row>
    <row r="43" spans="2:10" x14ac:dyDescent="0.3">
      <c r="B43" s="34"/>
      <c r="C43" s="35"/>
      <c r="D43" s="35"/>
      <c r="E43" s="35"/>
      <c r="F43" s="35"/>
      <c r="G43" s="35"/>
      <c r="H43" s="44">
        <v>5</v>
      </c>
      <c r="I43" s="36" t="s">
        <v>285</v>
      </c>
      <c r="J43" s="37"/>
    </row>
    <row r="44" spans="2:10" x14ac:dyDescent="0.3">
      <c r="B44" s="34"/>
      <c r="C44" s="35"/>
      <c r="D44" s="35"/>
      <c r="E44" s="35"/>
      <c r="F44" s="35"/>
      <c r="G44" s="35"/>
      <c r="H44" s="44">
        <v>6</v>
      </c>
      <c r="I44" s="36" t="s">
        <v>286</v>
      </c>
      <c r="J44" s="37"/>
    </row>
    <row r="45" spans="2:10" x14ac:dyDescent="0.3">
      <c r="B45" s="34"/>
      <c r="C45" s="35"/>
      <c r="D45" s="35"/>
      <c r="E45" s="35"/>
      <c r="F45" s="35"/>
      <c r="G45" s="35"/>
      <c r="H45" s="44">
        <v>7</v>
      </c>
      <c r="I45" s="36" t="s">
        <v>287</v>
      </c>
      <c r="J45" s="37"/>
    </row>
    <row r="46" spans="2:10" x14ac:dyDescent="0.3">
      <c r="B46" s="34"/>
      <c r="C46" s="35"/>
      <c r="D46" s="35"/>
      <c r="E46" s="35"/>
      <c r="F46" s="35"/>
      <c r="G46" s="35"/>
      <c r="H46" s="44">
        <v>8</v>
      </c>
      <c r="I46" s="36" t="s">
        <v>288</v>
      </c>
      <c r="J46" s="37"/>
    </row>
    <row r="47" spans="2:10" x14ac:dyDescent="0.3">
      <c r="B47" s="34"/>
      <c r="C47" s="35"/>
      <c r="D47" s="35"/>
      <c r="E47" s="35"/>
      <c r="F47" s="35"/>
      <c r="G47" s="35"/>
      <c r="H47" s="44">
        <v>9</v>
      </c>
      <c r="I47" s="36" t="s">
        <v>289</v>
      </c>
      <c r="J47" s="37"/>
    </row>
    <row r="48" spans="2:10" x14ac:dyDescent="0.3">
      <c r="B48" s="34"/>
      <c r="C48" s="35"/>
      <c r="D48" s="35"/>
      <c r="E48" s="35"/>
      <c r="F48" s="35"/>
      <c r="G48" s="35"/>
      <c r="H48" s="44">
        <v>10</v>
      </c>
      <c r="I48" s="36" t="s">
        <v>290</v>
      </c>
      <c r="J48" s="37"/>
    </row>
    <row r="49" spans="2:10" x14ac:dyDescent="0.3">
      <c r="B49" s="34"/>
      <c r="C49" s="35"/>
      <c r="D49" s="35"/>
      <c r="E49" s="35"/>
      <c r="F49" s="35"/>
      <c r="G49" s="35"/>
      <c r="H49" s="44"/>
      <c r="I49" s="36"/>
      <c r="J49" s="37"/>
    </row>
    <row r="50" spans="2:10" x14ac:dyDescent="0.3">
      <c r="B50" s="38"/>
      <c r="C50" s="39" t="s">
        <v>253</v>
      </c>
      <c r="D50" s="40"/>
      <c r="E50" s="40"/>
      <c r="F50" s="39" t="s">
        <v>262</v>
      </c>
      <c r="G50" s="39"/>
      <c r="H50" s="41" t="s">
        <v>260</v>
      </c>
      <c r="I50" s="41" t="s">
        <v>261</v>
      </c>
      <c r="J50" s="42"/>
    </row>
    <row r="51" spans="2:10" x14ac:dyDescent="0.3">
      <c r="B51" s="34"/>
      <c r="C51" s="35"/>
      <c r="D51" s="35" t="s">
        <v>263</v>
      </c>
      <c r="E51" s="35"/>
      <c r="F51" s="43">
        <v>1</v>
      </c>
      <c r="G51" s="35"/>
      <c r="H51" s="44">
        <v>1</v>
      </c>
      <c r="I51" s="36" t="s">
        <v>291</v>
      </c>
      <c r="J51" s="37"/>
    </row>
    <row r="52" spans="2:10" x14ac:dyDescent="0.3">
      <c r="B52" s="34"/>
      <c r="C52" s="35"/>
      <c r="D52" s="35" t="s">
        <v>264</v>
      </c>
      <c r="E52" s="35"/>
      <c r="F52" s="43">
        <v>1</v>
      </c>
      <c r="G52" s="35"/>
      <c r="H52" s="44">
        <v>2</v>
      </c>
      <c r="I52" s="36" t="s">
        <v>292</v>
      </c>
      <c r="J52" s="37"/>
    </row>
    <row r="53" spans="2:10" x14ac:dyDescent="0.3">
      <c r="B53" s="34"/>
      <c r="C53" s="35"/>
      <c r="D53" s="35" t="s">
        <v>265</v>
      </c>
      <c r="E53" s="35"/>
      <c r="F53" s="43">
        <v>1</v>
      </c>
      <c r="G53" s="35"/>
      <c r="H53" s="44"/>
      <c r="I53" s="36"/>
      <c r="J53" s="37"/>
    </row>
    <row r="54" spans="2:10" x14ac:dyDescent="0.3">
      <c r="B54" s="34"/>
      <c r="C54" s="35"/>
      <c r="D54" s="35" t="s">
        <v>273</v>
      </c>
      <c r="E54" s="35"/>
      <c r="F54" s="43">
        <v>1</v>
      </c>
      <c r="G54" s="35"/>
      <c r="H54" s="44"/>
      <c r="I54" s="36"/>
      <c r="J54" s="37"/>
    </row>
    <row r="55" spans="2:10" x14ac:dyDescent="0.3">
      <c r="B55" s="34"/>
      <c r="C55" s="35"/>
      <c r="D55" s="35"/>
      <c r="E55" s="35"/>
      <c r="F55" s="35"/>
      <c r="G55" s="35"/>
      <c r="H55" s="36"/>
      <c r="I55" s="36"/>
      <c r="J55" s="37"/>
    </row>
    <row r="56" spans="2:10" x14ac:dyDescent="0.3">
      <c r="B56" s="38"/>
      <c r="C56" s="39" t="s">
        <v>254</v>
      </c>
      <c r="D56" s="40"/>
      <c r="E56" s="40"/>
      <c r="F56" s="39" t="s">
        <v>262</v>
      </c>
      <c r="G56" s="39"/>
      <c r="H56" s="41" t="s">
        <v>260</v>
      </c>
      <c r="I56" s="41" t="s">
        <v>261</v>
      </c>
      <c r="J56" s="42"/>
    </row>
    <row r="57" spans="2:10" x14ac:dyDescent="0.3">
      <c r="B57" s="34"/>
      <c r="C57" s="35"/>
      <c r="D57" s="35" t="s">
        <v>306</v>
      </c>
      <c r="E57" s="35"/>
      <c r="F57" s="43">
        <v>1</v>
      </c>
      <c r="G57" s="35"/>
      <c r="H57" s="44">
        <v>1</v>
      </c>
      <c r="I57" s="36" t="s">
        <v>293</v>
      </c>
      <c r="J57" s="37"/>
    </row>
    <row r="58" spans="2:10" x14ac:dyDescent="0.3">
      <c r="B58" s="34"/>
      <c r="C58" s="35"/>
      <c r="D58" s="35"/>
      <c r="E58" s="35"/>
      <c r="F58" s="35"/>
      <c r="G58" s="35"/>
      <c r="H58" s="44">
        <v>2</v>
      </c>
      <c r="I58" s="36" t="s">
        <v>294</v>
      </c>
      <c r="J58" s="37"/>
    </row>
    <row r="59" spans="2:10" x14ac:dyDescent="0.3">
      <c r="B59" s="34"/>
      <c r="C59" s="35"/>
      <c r="D59" s="35"/>
      <c r="E59" s="35"/>
      <c r="F59" s="35"/>
      <c r="G59" s="35"/>
      <c r="H59" s="44">
        <v>3</v>
      </c>
      <c r="I59" s="36" t="s">
        <v>295</v>
      </c>
      <c r="J59" s="37"/>
    </row>
    <row r="60" spans="2:10" x14ac:dyDescent="0.3">
      <c r="B60" s="34"/>
      <c r="C60" s="35"/>
      <c r="D60" s="35"/>
      <c r="E60" s="35"/>
      <c r="F60" s="35"/>
      <c r="G60" s="35"/>
      <c r="H60" s="36"/>
      <c r="I60" s="36"/>
      <c r="J60" s="37"/>
    </row>
    <row r="61" spans="2:10" x14ac:dyDescent="0.3">
      <c r="B61" s="34"/>
      <c r="C61" s="35"/>
      <c r="D61" s="35"/>
      <c r="E61" s="35"/>
      <c r="F61" s="35"/>
      <c r="G61" s="35"/>
      <c r="H61" s="36"/>
      <c r="I61" s="36"/>
      <c r="J61" s="37"/>
    </row>
    <row r="62" spans="2:10" x14ac:dyDescent="0.3">
      <c r="B62" s="38"/>
      <c r="C62" s="39" t="s">
        <v>255</v>
      </c>
      <c r="D62" s="40"/>
      <c r="E62" s="40"/>
      <c r="F62" s="39" t="s">
        <v>262</v>
      </c>
      <c r="G62" s="39"/>
      <c r="H62" s="41" t="s">
        <v>260</v>
      </c>
      <c r="I62" s="41" t="s">
        <v>261</v>
      </c>
      <c r="J62" s="42"/>
    </row>
    <row r="63" spans="2:10" x14ac:dyDescent="0.3">
      <c r="B63" s="34"/>
      <c r="C63" s="35"/>
      <c r="D63" s="35" t="s">
        <v>306</v>
      </c>
      <c r="E63" s="35"/>
      <c r="F63" s="43">
        <v>1</v>
      </c>
      <c r="G63" s="35"/>
      <c r="H63" s="44">
        <v>1</v>
      </c>
      <c r="I63" s="36" t="s">
        <v>296</v>
      </c>
      <c r="J63" s="37"/>
    </row>
    <row r="64" spans="2:10" x14ac:dyDescent="0.3">
      <c r="B64" s="34"/>
      <c r="C64" s="35"/>
      <c r="D64" s="35"/>
      <c r="E64" s="35"/>
      <c r="F64" s="35"/>
      <c r="G64" s="35"/>
      <c r="H64" s="44">
        <v>2</v>
      </c>
      <c r="I64" s="36" t="s">
        <v>297</v>
      </c>
      <c r="J64" s="37"/>
    </row>
    <row r="65" spans="2:10" x14ac:dyDescent="0.3">
      <c r="B65" s="34"/>
      <c r="C65" s="35"/>
      <c r="D65" s="35"/>
      <c r="E65" s="35"/>
      <c r="F65" s="35"/>
      <c r="G65" s="35"/>
      <c r="H65" s="44">
        <v>3</v>
      </c>
      <c r="I65" s="36" t="s">
        <v>298</v>
      </c>
      <c r="J65" s="37"/>
    </row>
    <row r="66" spans="2:10" x14ac:dyDescent="0.3">
      <c r="B66" s="34"/>
      <c r="C66" s="35"/>
      <c r="D66" s="35"/>
      <c r="E66" s="35"/>
      <c r="F66" s="35"/>
      <c r="G66" s="35"/>
      <c r="H66" s="44">
        <v>4</v>
      </c>
      <c r="I66" s="36" t="s">
        <v>299</v>
      </c>
      <c r="J66" s="37"/>
    </row>
    <row r="67" spans="2:10" x14ac:dyDescent="0.3">
      <c r="B67" s="34"/>
      <c r="C67" s="35"/>
      <c r="D67" s="35"/>
      <c r="E67" s="35"/>
      <c r="F67" s="35"/>
      <c r="G67" s="35"/>
      <c r="H67" s="44">
        <v>5</v>
      </c>
      <c r="I67" s="36" t="s">
        <v>300</v>
      </c>
      <c r="J67" s="37"/>
    </row>
    <row r="68" spans="2:10" x14ac:dyDescent="0.3">
      <c r="B68" s="34"/>
      <c r="C68" s="35"/>
      <c r="D68" s="35"/>
      <c r="E68" s="35"/>
      <c r="F68" s="35"/>
      <c r="G68" s="35"/>
      <c r="H68" s="36"/>
      <c r="I68" s="36"/>
      <c r="J68" s="37"/>
    </row>
    <row r="69" spans="2:10" x14ac:dyDescent="0.3">
      <c r="B69" s="38"/>
      <c r="C69" s="39" t="s">
        <v>256</v>
      </c>
      <c r="D69" s="40"/>
      <c r="E69" s="40"/>
      <c r="F69" s="39" t="s">
        <v>262</v>
      </c>
      <c r="G69" s="39"/>
      <c r="H69" s="41" t="s">
        <v>260</v>
      </c>
      <c r="I69" s="41" t="s">
        <v>261</v>
      </c>
      <c r="J69" s="42"/>
    </row>
    <row r="70" spans="2:10" x14ac:dyDescent="0.3">
      <c r="B70" s="34"/>
      <c r="C70" s="35"/>
      <c r="D70" s="35" t="s">
        <v>306</v>
      </c>
      <c r="E70" s="35"/>
      <c r="F70" s="43">
        <v>4</v>
      </c>
      <c r="G70" s="35"/>
      <c r="H70" s="44">
        <v>1</v>
      </c>
      <c r="I70" s="36" t="s">
        <v>301</v>
      </c>
      <c r="J70" s="37"/>
    </row>
    <row r="71" spans="2:10" x14ac:dyDescent="0.3">
      <c r="B71" s="34"/>
      <c r="C71" s="35"/>
      <c r="D71" s="35"/>
      <c r="E71" s="35"/>
      <c r="F71" s="35"/>
      <c r="G71" s="35"/>
      <c r="H71" s="44">
        <v>2</v>
      </c>
      <c r="I71" s="36" t="s">
        <v>302</v>
      </c>
      <c r="J71" s="37"/>
    </row>
    <row r="72" spans="2:10" x14ac:dyDescent="0.3">
      <c r="B72" s="34"/>
      <c r="C72" s="35"/>
      <c r="D72" s="35"/>
      <c r="E72" s="35"/>
      <c r="F72" s="35"/>
      <c r="G72" s="35"/>
      <c r="H72" s="44">
        <v>3</v>
      </c>
      <c r="I72" s="36" t="s">
        <v>303</v>
      </c>
      <c r="J72" s="37"/>
    </row>
    <row r="73" spans="2:10" x14ac:dyDescent="0.3">
      <c r="B73" s="34"/>
      <c r="C73" s="35"/>
      <c r="D73" s="35"/>
      <c r="E73" s="35"/>
      <c r="F73" s="35"/>
      <c r="G73" s="35"/>
      <c r="H73" s="44">
        <v>4</v>
      </c>
      <c r="I73" s="36" t="s">
        <v>304</v>
      </c>
      <c r="J73" s="37"/>
    </row>
    <row r="74" spans="2:10" x14ac:dyDescent="0.3">
      <c r="B74" s="34"/>
      <c r="C74" s="35"/>
      <c r="D74" s="35"/>
      <c r="E74" s="35"/>
      <c r="F74" s="35"/>
      <c r="G74" s="35"/>
      <c r="H74" s="44">
        <v>5</v>
      </c>
      <c r="I74" s="36" t="s">
        <v>305</v>
      </c>
      <c r="J74" s="37"/>
    </row>
    <row r="75" spans="2:10" x14ac:dyDescent="0.3">
      <c r="B75" s="34"/>
      <c r="C75" s="35"/>
      <c r="D75" s="35"/>
      <c r="E75" s="35"/>
      <c r="F75" s="35"/>
      <c r="G75" s="35"/>
      <c r="H75" s="36"/>
      <c r="I75" s="36"/>
      <c r="J75" s="37"/>
    </row>
    <row r="76" spans="2:10" x14ac:dyDescent="0.3">
      <c r="B76" s="38"/>
      <c r="C76" s="39" t="s">
        <v>307</v>
      </c>
      <c r="D76" s="40"/>
      <c r="E76" s="40"/>
      <c r="F76" s="39" t="s">
        <v>262</v>
      </c>
      <c r="G76" s="39"/>
      <c r="H76" s="41" t="s">
        <v>260</v>
      </c>
      <c r="I76" s="41" t="s">
        <v>261</v>
      </c>
      <c r="J76" s="42"/>
    </row>
    <row r="77" spans="2:10" x14ac:dyDescent="0.3">
      <c r="B77" s="34"/>
      <c r="C77" s="35"/>
      <c r="D77" s="35" t="s">
        <v>263</v>
      </c>
      <c r="E77" s="35"/>
      <c r="F77" s="43">
        <v>8</v>
      </c>
      <c r="G77" s="35"/>
      <c r="H77" s="44">
        <v>1</v>
      </c>
      <c r="I77" s="36" t="s">
        <v>308</v>
      </c>
      <c r="J77" s="37"/>
    </row>
    <row r="78" spans="2:10" x14ac:dyDescent="0.3">
      <c r="B78" s="34"/>
      <c r="C78" s="35"/>
      <c r="D78" s="35" t="s">
        <v>264</v>
      </c>
      <c r="E78" s="35"/>
      <c r="F78" s="43">
        <v>6</v>
      </c>
      <c r="G78" s="35"/>
      <c r="H78" s="46">
        <v>2</v>
      </c>
      <c r="I78" s="214" t="s">
        <v>379</v>
      </c>
      <c r="J78" s="37"/>
    </row>
    <row r="79" spans="2:10" x14ac:dyDescent="0.3">
      <c r="B79" s="34"/>
      <c r="C79" s="35"/>
      <c r="D79" s="35" t="s">
        <v>265</v>
      </c>
      <c r="E79" s="35"/>
      <c r="F79" s="43">
        <v>4</v>
      </c>
      <c r="G79" s="35"/>
      <c r="H79" s="46">
        <v>3</v>
      </c>
      <c r="I79" s="214" t="s">
        <v>380</v>
      </c>
      <c r="J79" s="37"/>
    </row>
    <row r="80" spans="2:10" x14ac:dyDescent="0.3">
      <c r="B80" s="34"/>
      <c r="C80" s="35"/>
      <c r="D80" s="35" t="s">
        <v>273</v>
      </c>
      <c r="E80" s="35"/>
      <c r="F80" s="43">
        <v>4</v>
      </c>
      <c r="G80" s="35"/>
      <c r="H80" s="46">
        <v>4</v>
      </c>
      <c r="I80" s="214" t="s">
        <v>381</v>
      </c>
      <c r="J80" s="37"/>
    </row>
    <row r="81" spans="2:10" x14ac:dyDescent="0.3">
      <c r="B81" s="34"/>
      <c r="C81" s="24" t="s">
        <v>348</v>
      </c>
      <c r="D81" s="35"/>
      <c r="E81" s="35"/>
      <c r="F81" s="35"/>
      <c r="G81" s="35"/>
      <c r="H81" s="46">
        <v>5</v>
      </c>
      <c r="I81" s="214" t="s">
        <v>382</v>
      </c>
      <c r="J81" s="37"/>
    </row>
    <row r="82" spans="2:10" x14ac:dyDescent="0.3">
      <c r="B82" s="34"/>
      <c r="C82" s="24" t="s">
        <v>349</v>
      </c>
      <c r="D82" s="35"/>
      <c r="E82" s="35"/>
      <c r="F82" s="35"/>
      <c r="G82" s="35"/>
      <c r="H82" s="46">
        <v>6</v>
      </c>
      <c r="I82" s="214" t="s">
        <v>383</v>
      </c>
      <c r="J82" s="37"/>
    </row>
    <row r="83" spans="2:10" x14ac:dyDescent="0.3">
      <c r="B83" s="34"/>
      <c r="C83" s="35"/>
      <c r="D83" s="35"/>
      <c r="E83" s="35"/>
      <c r="F83" s="35"/>
      <c r="G83" s="35"/>
      <c r="H83" s="46">
        <v>7</v>
      </c>
      <c r="I83" s="214" t="s">
        <v>384</v>
      </c>
      <c r="J83" s="37"/>
    </row>
    <row r="84" spans="2:10" x14ac:dyDescent="0.3">
      <c r="B84" s="34"/>
      <c r="C84" s="35"/>
      <c r="D84" s="35"/>
      <c r="E84" s="35"/>
      <c r="F84" s="35"/>
      <c r="G84" s="35"/>
      <c r="H84" s="44">
        <v>8</v>
      </c>
      <c r="I84" s="214" t="s">
        <v>385</v>
      </c>
      <c r="J84" s="37"/>
    </row>
    <row r="85" spans="2:10" x14ac:dyDescent="0.3">
      <c r="B85" s="34"/>
      <c r="C85" s="35"/>
      <c r="D85" s="35"/>
      <c r="E85" s="35"/>
      <c r="F85" s="35"/>
      <c r="G85" s="35"/>
      <c r="H85" s="44">
        <v>9</v>
      </c>
      <c r="I85" s="214" t="s">
        <v>386</v>
      </c>
      <c r="J85" s="37"/>
    </row>
    <row r="86" spans="2:10" x14ac:dyDescent="0.3">
      <c r="B86" s="34"/>
      <c r="C86" s="35"/>
      <c r="D86" s="35"/>
      <c r="E86" s="35"/>
      <c r="F86" s="35"/>
      <c r="G86" s="35"/>
      <c r="H86" s="46">
        <v>10</v>
      </c>
      <c r="I86" s="214" t="s">
        <v>387</v>
      </c>
      <c r="J86" s="37"/>
    </row>
    <row r="87" spans="2:10" x14ac:dyDescent="0.3">
      <c r="B87" s="34"/>
      <c r="C87" s="35"/>
      <c r="D87" s="35"/>
      <c r="E87" s="35"/>
      <c r="F87" s="35"/>
      <c r="G87" s="35"/>
      <c r="H87" s="46">
        <v>11</v>
      </c>
      <c r="I87" s="214" t="s">
        <v>388</v>
      </c>
      <c r="J87" s="37"/>
    </row>
    <row r="88" spans="2:10" x14ac:dyDescent="0.3">
      <c r="B88" s="34"/>
      <c r="C88" s="35"/>
      <c r="D88" s="35"/>
      <c r="E88" s="35"/>
      <c r="F88" s="35"/>
      <c r="G88" s="35"/>
      <c r="H88" s="46">
        <v>12</v>
      </c>
      <c r="I88" s="214" t="s">
        <v>389</v>
      </c>
      <c r="J88" s="37"/>
    </row>
    <row r="89" spans="2:10" x14ac:dyDescent="0.3">
      <c r="B89" s="34"/>
      <c r="C89" s="35"/>
      <c r="D89" s="35"/>
      <c r="E89" s="35"/>
      <c r="F89" s="35"/>
      <c r="G89" s="35"/>
      <c r="H89" s="46">
        <v>13</v>
      </c>
      <c r="I89" s="214" t="s">
        <v>390</v>
      </c>
      <c r="J89" s="37"/>
    </row>
    <row r="90" spans="2:10" x14ac:dyDescent="0.3">
      <c r="B90" s="34"/>
      <c r="C90" s="35"/>
      <c r="D90" s="35"/>
      <c r="E90" s="35"/>
      <c r="F90" s="35"/>
      <c r="G90" s="35"/>
      <c r="H90" s="44">
        <v>14</v>
      </c>
      <c r="I90" s="214" t="s">
        <v>391</v>
      </c>
      <c r="J90" s="37"/>
    </row>
    <row r="91" spans="2:10" x14ac:dyDescent="0.3">
      <c r="B91" s="34"/>
      <c r="C91" s="35"/>
      <c r="D91" s="35"/>
      <c r="E91" s="35"/>
      <c r="F91" s="35"/>
      <c r="G91" s="35"/>
      <c r="H91" s="44">
        <v>15</v>
      </c>
      <c r="I91" s="214" t="s">
        <v>378</v>
      </c>
      <c r="J91" s="37"/>
    </row>
    <row r="92" spans="2:10" x14ac:dyDescent="0.3">
      <c r="B92" s="34"/>
      <c r="C92" s="35"/>
      <c r="D92" s="35"/>
      <c r="E92" s="35"/>
      <c r="F92" s="35"/>
      <c r="G92" s="35"/>
      <c r="H92" s="36"/>
      <c r="I92" s="36"/>
      <c r="J92" s="37"/>
    </row>
    <row r="93" spans="2:10" x14ac:dyDescent="0.3">
      <c r="B93" s="38"/>
      <c r="C93" s="39" t="s">
        <v>258</v>
      </c>
      <c r="D93" s="40"/>
      <c r="E93" s="40"/>
      <c r="F93" s="39" t="s">
        <v>262</v>
      </c>
      <c r="G93" s="39"/>
      <c r="H93" s="41" t="s">
        <v>260</v>
      </c>
      <c r="I93" s="41" t="s">
        <v>261</v>
      </c>
      <c r="J93" s="42"/>
    </row>
    <row r="94" spans="2:10" x14ac:dyDescent="0.3">
      <c r="B94" s="34"/>
      <c r="C94" s="35"/>
      <c r="D94" s="35" t="s">
        <v>263</v>
      </c>
      <c r="E94" s="35"/>
      <c r="F94" s="43">
        <v>3</v>
      </c>
      <c r="G94" s="35"/>
      <c r="H94" s="47">
        <v>1</v>
      </c>
      <c r="I94" s="36" t="s">
        <v>309</v>
      </c>
      <c r="J94" s="37"/>
    </row>
    <row r="95" spans="2:10" x14ac:dyDescent="0.3">
      <c r="B95" s="34"/>
      <c r="C95" s="35"/>
      <c r="D95" s="35" t="s">
        <v>264</v>
      </c>
      <c r="E95" s="35"/>
      <c r="F95" s="43">
        <v>3</v>
      </c>
      <c r="G95" s="35"/>
      <c r="H95" s="47">
        <v>2</v>
      </c>
      <c r="I95" s="36" t="s">
        <v>310</v>
      </c>
      <c r="J95" s="37"/>
    </row>
    <row r="96" spans="2:10" x14ac:dyDescent="0.3">
      <c r="B96" s="34"/>
      <c r="C96" s="35"/>
      <c r="D96" s="35" t="s">
        <v>265</v>
      </c>
      <c r="E96" s="35"/>
      <c r="F96" s="43">
        <v>3</v>
      </c>
      <c r="G96" s="35"/>
      <c r="H96" s="47">
        <v>3</v>
      </c>
      <c r="I96" s="36" t="s">
        <v>311</v>
      </c>
      <c r="J96" s="37"/>
    </row>
    <row r="97" spans="2:10" x14ac:dyDescent="0.3">
      <c r="B97" s="34"/>
      <c r="C97" s="35"/>
      <c r="D97" s="35" t="s">
        <v>273</v>
      </c>
      <c r="E97" s="35"/>
      <c r="F97" s="43">
        <v>3</v>
      </c>
      <c r="G97" s="35"/>
      <c r="H97" s="47">
        <v>4</v>
      </c>
      <c r="I97" s="36" t="s">
        <v>312</v>
      </c>
      <c r="J97" s="37"/>
    </row>
    <row r="98" spans="2:10" x14ac:dyDescent="0.3">
      <c r="B98" s="34"/>
      <c r="C98" s="35"/>
      <c r="D98" s="35"/>
      <c r="E98" s="35"/>
      <c r="F98" s="35"/>
      <c r="G98" s="35"/>
      <c r="H98" s="47">
        <v>5</v>
      </c>
      <c r="I98" s="36" t="s">
        <v>313</v>
      </c>
      <c r="J98" s="37"/>
    </row>
    <row r="99" spans="2:10" x14ac:dyDescent="0.3">
      <c r="B99" s="34"/>
      <c r="C99" s="35"/>
      <c r="D99" s="35"/>
      <c r="E99" s="35"/>
      <c r="F99" s="35"/>
      <c r="G99" s="35"/>
      <c r="H99" s="36"/>
      <c r="I99" s="36"/>
      <c r="J99" s="37"/>
    </row>
    <row r="100" spans="2:10" x14ac:dyDescent="0.3">
      <c r="B100" s="38"/>
      <c r="C100" s="39" t="s">
        <v>259</v>
      </c>
      <c r="D100" s="40"/>
      <c r="E100" s="40"/>
      <c r="F100" s="48" t="s">
        <v>324</v>
      </c>
      <c r="G100" s="39"/>
      <c r="H100" s="41" t="s">
        <v>260</v>
      </c>
      <c r="I100" s="41" t="s">
        <v>261</v>
      </c>
      <c r="J100" s="42"/>
    </row>
    <row r="101" spans="2:10" x14ac:dyDescent="0.3">
      <c r="B101" s="34"/>
      <c r="C101" s="35"/>
      <c r="D101" s="49" t="s">
        <v>323</v>
      </c>
      <c r="E101" s="35"/>
      <c r="F101" s="43">
        <v>4</v>
      </c>
      <c r="G101" s="35"/>
      <c r="H101" s="47">
        <v>1</v>
      </c>
      <c r="I101" s="36" t="s">
        <v>322</v>
      </c>
      <c r="J101" s="37"/>
    </row>
    <row r="102" spans="2:10" x14ac:dyDescent="0.3">
      <c r="B102" s="34"/>
      <c r="C102" s="35"/>
      <c r="D102" s="49" t="s">
        <v>323</v>
      </c>
      <c r="E102" s="35"/>
      <c r="F102" s="43">
        <v>6</v>
      </c>
      <c r="G102" s="35"/>
      <c r="H102" s="47">
        <v>2</v>
      </c>
      <c r="I102" s="36" t="s">
        <v>318</v>
      </c>
      <c r="J102" s="37"/>
    </row>
    <row r="103" spans="2:10" x14ac:dyDescent="0.3">
      <c r="B103" s="34"/>
      <c r="C103" s="35"/>
      <c r="D103" s="49" t="s">
        <v>323</v>
      </c>
      <c r="E103" s="35"/>
      <c r="F103" s="43">
        <v>8</v>
      </c>
      <c r="G103" s="35"/>
      <c r="H103" s="47">
        <v>3</v>
      </c>
      <c r="I103" s="36" t="s">
        <v>319</v>
      </c>
      <c r="J103" s="37"/>
    </row>
    <row r="104" spans="2:10" x14ac:dyDescent="0.3">
      <c r="B104" s="34"/>
      <c r="C104" s="35"/>
      <c r="D104" s="49" t="s">
        <v>323</v>
      </c>
      <c r="E104" s="35"/>
      <c r="F104" s="43">
        <v>12</v>
      </c>
      <c r="G104" s="35"/>
      <c r="H104" s="47">
        <v>4</v>
      </c>
      <c r="I104" s="36" t="s">
        <v>320</v>
      </c>
      <c r="J104" s="37"/>
    </row>
    <row r="105" spans="2:10" x14ac:dyDescent="0.3">
      <c r="B105" s="34"/>
      <c r="C105" s="35"/>
      <c r="D105" s="49"/>
      <c r="E105" s="35"/>
      <c r="F105" s="35"/>
      <c r="G105" s="35"/>
      <c r="H105" s="47">
        <v>5</v>
      </c>
      <c r="I105" s="36" t="s">
        <v>321</v>
      </c>
      <c r="J105" s="37"/>
    </row>
    <row r="106" spans="2:10" x14ac:dyDescent="0.3">
      <c r="B106" s="34"/>
      <c r="C106" s="35"/>
      <c r="D106" s="49" t="s">
        <v>328</v>
      </c>
      <c r="E106" s="35"/>
      <c r="F106" s="35"/>
      <c r="G106" s="35"/>
      <c r="H106" s="47"/>
      <c r="I106" s="36"/>
      <c r="J106" s="37"/>
    </row>
    <row r="107" spans="2:10" x14ac:dyDescent="0.3">
      <c r="B107" s="34"/>
      <c r="C107" s="35"/>
      <c r="D107" s="35" t="s">
        <v>263</v>
      </c>
      <c r="E107" s="35"/>
      <c r="F107" s="43">
        <v>3</v>
      </c>
      <c r="G107" s="35"/>
      <c r="H107" s="36"/>
      <c r="I107" s="36"/>
      <c r="J107" s="37"/>
    </row>
    <row r="108" spans="2:10" x14ac:dyDescent="0.3">
      <c r="B108" s="34"/>
      <c r="C108" s="35"/>
      <c r="D108" s="35" t="s">
        <v>264</v>
      </c>
      <c r="E108" s="35"/>
      <c r="F108" s="43">
        <v>3</v>
      </c>
      <c r="G108" s="35"/>
      <c r="H108" s="36"/>
      <c r="I108" s="36"/>
      <c r="J108" s="37"/>
    </row>
    <row r="109" spans="2:10" x14ac:dyDescent="0.3">
      <c r="B109" s="34"/>
      <c r="C109" s="35"/>
      <c r="D109" s="35" t="s">
        <v>265</v>
      </c>
      <c r="E109" s="35"/>
      <c r="F109" s="43">
        <v>3</v>
      </c>
      <c r="G109" s="35"/>
      <c r="H109" s="36"/>
      <c r="I109" s="36"/>
      <c r="J109" s="37"/>
    </row>
    <row r="110" spans="2:10" x14ac:dyDescent="0.3">
      <c r="B110" s="34"/>
      <c r="C110" s="35"/>
      <c r="D110" s="35" t="s">
        <v>273</v>
      </c>
      <c r="E110" s="35"/>
      <c r="F110" s="43">
        <v>3</v>
      </c>
      <c r="G110" s="35"/>
      <c r="H110" s="36"/>
      <c r="I110" s="36"/>
      <c r="J110" s="37"/>
    </row>
    <row r="111" spans="2:10" x14ac:dyDescent="0.3">
      <c r="B111" s="50"/>
      <c r="C111" s="51"/>
      <c r="D111" s="51"/>
      <c r="E111" s="51"/>
      <c r="F111" s="51"/>
      <c r="G111" s="51"/>
      <c r="H111" s="52"/>
      <c r="I111" s="52"/>
      <c r="J111" s="53"/>
    </row>
  </sheetData>
  <dataValidations count="10">
    <dataValidation type="list" allowBlank="1" showInputMessage="1" showErrorMessage="1" sqref="F30:F33">
      <formula1>$H$30:$H$36</formula1>
    </dataValidation>
    <dataValidation type="list" allowBlank="1" showInputMessage="1" showErrorMessage="1" sqref="F39:F42">
      <formula1>$H$39:$H$48</formula1>
    </dataValidation>
    <dataValidation type="list" allowBlank="1" showInputMessage="1" showErrorMessage="1" sqref="F51:F54">
      <formula1>$H$51:$H$52</formula1>
    </dataValidation>
    <dataValidation type="list" allowBlank="1" showInputMessage="1" showErrorMessage="1" sqref="F57">
      <formula1>$H$57:$H$59</formula1>
    </dataValidation>
    <dataValidation type="list" allowBlank="1" showInputMessage="1" showErrorMessage="1" sqref="F63">
      <formula1>$H$63:$H$67</formula1>
    </dataValidation>
    <dataValidation type="list" allowBlank="1" showInputMessage="1" showErrorMessage="1" sqref="F70">
      <formula1>$H$70:$H$74</formula1>
    </dataValidation>
    <dataValidation type="list" allowBlank="1" showInputMessage="1" showErrorMessage="1" sqref="F77:F80">
      <formula1>$H$77:$H$91</formula1>
    </dataValidation>
    <dataValidation type="list" allowBlank="1" showInputMessage="1" showErrorMessage="1" sqref="F94:F97">
      <formula1>$H$94:$H$98</formula1>
    </dataValidation>
    <dataValidation type="list" allowBlank="1" showInputMessage="1" showErrorMessage="1" sqref="F107:F110">
      <formula1>$H$101:$H$105</formula1>
    </dataValidation>
    <dataValidation type="list" allowBlank="1" showInputMessage="1" showErrorMessage="1" sqref="F21:F24">
      <formula1>$H$21:$H$27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runpythonRONET_PREP">
                <anchor moveWithCells="1" sizeWithCells="1">
                  <from>
                    <xdr:col>7</xdr:col>
                    <xdr:colOff>91440</xdr:colOff>
                    <xdr:row>13</xdr:row>
                    <xdr:rowOff>68580</xdr:rowOff>
                  </from>
                  <to>
                    <xdr:col>8</xdr:col>
                    <xdr:colOff>2575560</xdr:colOff>
                    <xdr:row>16</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34998626667073579"/>
  </sheetPr>
  <dimension ref="A1:A9"/>
  <sheetViews>
    <sheetView workbookViewId="0">
      <selection activeCell="F21" sqref="F21"/>
    </sheetView>
  </sheetViews>
  <sheetFormatPr defaultRowHeight="14.4" x14ac:dyDescent="0.3"/>
  <cols>
    <col min="1" max="16384" width="8.88671875" style="67"/>
  </cols>
  <sheetData>
    <row r="1" spans="1:1" x14ac:dyDescent="0.3">
      <c r="A1" s="67" t="s">
        <v>351</v>
      </c>
    </row>
    <row r="2" spans="1:1" x14ac:dyDescent="0.3">
      <c r="A2" s="2" t="s">
        <v>352</v>
      </c>
    </row>
    <row r="3" spans="1:1" x14ac:dyDescent="0.3">
      <c r="A3" s="2" t="s">
        <v>350</v>
      </c>
    </row>
    <row r="4" spans="1:1" x14ac:dyDescent="0.3">
      <c r="A4" s="67" t="s">
        <v>353</v>
      </c>
    </row>
    <row r="5" spans="1:1" x14ac:dyDescent="0.3">
      <c r="A5" s="67" t="s">
        <v>354</v>
      </c>
    </row>
    <row r="9" spans="1:1" x14ac:dyDescent="0.3">
      <c r="A9" s="67" t="s">
        <v>356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5"/>
  <sheetViews>
    <sheetView workbookViewId="0">
      <selection activeCell="I16" sqref="I16"/>
    </sheetView>
  </sheetViews>
  <sheetFormatPr defaultRowHeight="14.4" x14ac:dyDescent="0.3"/>
  <cols>
    <col min="12" max="12" width="13.109375" bestFit="1" customWidth="1"/>
  </cols>
  <sheetData>
    <row r="1" spans="1:16" x14ac:dyDescent="0.3">
      <c r="B1" t="s">
        <v>346</v>
      </c>
      <c r="C1" t="s">
        <v>250</v>
      </c>
      <c r="D1" t="s">
        <v>251</v>
      </c>
      <c r="E1" t="s">
        <v>252</v>
      </c>
      <c r="F1" t="s">
        <v>253</v>
      </c>
      <c r="G1" t="s">
        <v>254</v>
      </c>
      <c r="H1" t="s">
        <v>255</v>
      </c>
      <c r="I1" t="s">
        <v>256</v>
      </c>
      <c r="J1" t="s">
        <v>257</v>
      </c>
      <c r="K1" t="s">
        <v>258</v>
      </c>
      <c r="L1" t="s">
        <v>314</v>
      </c>
      <c r="M1" t="s">
        <v>315</v>
      </c>
      <c r="N1" t="s">
        <v>316</v>
      </c>
      <c r="O1" t="s">
        <v>317</v>
      </c>
      <c r="P1" t="s">
        <v>325</v>
      </c>
    </row>
    <row r="2" spans="1:16" x14ac:dyDescent="0.3">
      <c r="A2">
        <v>2</v>
      </c>
      <c r="B2">
        <f>+RONET!F15</f>
        <v>4.3</v>
      </c>
      <c r="C2">
        <f>RONET!F21</f>
        <v>3</v>
      </c>
      <c r="D2">
        <f>+RONET!F30</f>
        <v>3</v>
      </c>
      <c r="E2">
        <f>+RONET!F39</f>
        <v>8</v>
      </c>
      <c r="F2">
        <f>+RONET!F51</f>
        <v>1</v>
      </c>
      <c r="G2">
        <f>+RONET!$F$57</f>
        <v>1</v>
      </c>
      <c r="H2">
        <f>+RONET!$F$63</f>
        <v>1</v>
      </c>
      <c r="I2">
        <f>+RONET!$F$70</f>
        <v>4</v>
      </c>
      <c r="J2">
        <f>+RONET!F77</f>
        <v>8</v>
      </c>
      <c r="K2">
        <f>+RONET!F94</f>
        <v>3</v>
      </c>
      <c r="L2">
        <f>+RONET!$F$101</f>
        <v>4</v>
      </c>
      <c r="M2">
        <f>+RONET!$F$102</f>
        <v>6</v>
      </c>
      <c r="N2">
        <f>+RONET!$F$103</f>
        <v>8</v>
      </c>
      <c r="O2">
        <f>+RONET!$F$104</f>
        <v>12</v>
      </c>
      <c r="P2">
        <f>RONET!$F$107</f>
        <v>3</v>
      </c>
    </row>
    <row r="3" spans="1:16" x14ac:dyDescent="0.3">
      <c r="A3">
        <v>3</v>
      </c>
      <c r="B3">
        <f>+RONET!F16</f>
        <v>3.8</v>
      </c>
      <c r="C3">
        <f>RONET!F22</f>
        <v>2</v>
      </c>
      <c r="D3">
        <f>+RONET!F31</f>
        <v>3</v>
      </c>
      <c r="E3">
        <f>+RONET!F40</f>
        <v>6</v>
      </c>
      <c r="F3">
        <f>+RONET!F52</f>
        <v>1</v>
      </c>
      <c r="G3">
        <f>+RONET!$F$57</f>
        <v>1</v>
      </c>
      <c r="H3">
        <f>+RONET!$F$63</f>
        <v>1</v>
      </c>
      <c r="I3">
        <f>+RONET!$F$70</f>
        <v>4</v>
      </c>
      <c r="J3">
        <f>+RONET!F78</f>
        <v>6</v>
      </c>
      <c r="K3">
        <f>+RONET!F95</f>
        <v>3</v>
      </c>
      <c r="L3">
        <f>+RONET!$F$101</f>
        <v>4</v>
      </c>
      <c r="M3">
        <f>+RONET!$F$102</f>
        <v>6</v>
      </c>
      <c r="N3">
        <f>+RONET!$F$103</f>
        <v>8</v>
      </c>
      <c r="O3">
        <f>+RONET!$F$104</f>
        <v>12</v>
      </c>
      <c r="P3">
        <f>RONET!$F$107</f>
        <v>3</v>
      </c>
    </row>
    <row r="4" spans="1:16" x14ac:dyDescent="0.3">
      <c r="A4">
        <v>4</v>
      </c>
      <c r="B4">
        <f>+RONET!F17</f>
        <v>3.4</v>
      </c>
      <c r="C4">
        <f>RONET!F23</f>
        <v>1</v>
      </c>
      <c r="D4">
        <f>+RONET!F32</f>
        <v>1</v>
      </c>
      <c r="E4">
        <f>+RONET!F41</f>
        <v>8</v>
      </c>
      <c r="F4">
        <f>+RONET!F53</f>
        <v>1</v>
      </c>
      <c r="G4">
        <f>+RONET!$F$57</f>
        <v>1</v>
      </c>
      <c r="H4">
        <f>+RONET!$F$63</f>
        <v>1</v>
      </c>
      <c r="I4">
        <f>+RONET!$F$70</f>
        <v>4</v>
      </c>
      <c r="J4">
        <f>+RONET!F79</f>
        <v>4</v>
      </c>
      <c r="K4">
        <f>+RONET!F96</f>
        <v>3</v>
      </c>
      <c r="L4">
        <f>+RONET!$F$101</f>
        <v>4</v>
      </c>
      <c r="M4">
        <f>+RONET!$F$102</f>
        <v>6</v>
      </c>
      <c r="N4">
        <f>+RONET!$F$103</f>
        <v>8</v>
      </c>
      <c r="O4">
        <f>+RONET!$F$104</f>
        <v>12</v>
      </c>
      <c r="P4">
        <f>RONET!$F$107</f>
        <v>3</v>
      </c>
    </row>
    <row r="5" spans="1:16" x14ac:dyDescent="0.3">
      <c r="A5" s="28" t="s">
        <v>326</v>
      </c>
      <c r="B5">
        <f>+RONET!F18</f>
        <v>3.5</v>
      </c>
      <c r="C5">
        <f>RONET!F24</f>
        <v>2</v>
      </c>
      <c r="D5">
        <f>+RONET!F33</f>
        <v>1</v>
      </c>
      <c r="E5">
        <f>+RONET!F42</f>
        <v>8</v>
      </c>
      <c r="F5">
        <f>+RONET!F54</f>
        <v>1</v>
      </c>
      <c r="G5">
        <f>+RONET!$F$57</f>
        <v>1</v>
      </c>
      <c r="H5">
        <f>+RONET!$F$63</f>
        <v>1</v>
      </c>
      <c r="I5">
        <f>+RONET!$F$70</f>
        <v>4</v>
      </c>
      <c r="J5">
        <f>+RONET!F80</f>
        <v>4</v>
      </c>
      <c r="K5">
        <f>+RONET!F97</f>
        <v>3</v>
      </c>
      <c r="L5">
        <f>+RONET!$F$101</f>
        <v>4</v>
      </c>
      <c r="M5">
        <f>+RONET!$F$102</f>
        <v>6</v>
      </c>
      <c r="N5">
        <f>+RONET!$F$103</f>
        <v>8</v>
      </c>
      <c r="O5">
        <f>+RONET!$F$104</f>
        <v>12</v>
      </c>
      <c r="P5">
        <f>RONET!$F$107</f>
        <v>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34998626667073579"/>
  </sheetPr>
  <dimension ref="A1:B7"/>
  <sheetViews>
    <sheetView workbookViewId="0">
      <selection activeCell="F21" sqref="F21"/>
    </sheetView>
  </sheetViews>
  <sheetFormatPr defaultRowHeight="14.4" x14ac:dyDescent="0.3"/>
  <cols>
    <col min="1" max="1" width="11.21875" style="72" bestFit="1" customWidth="1"/>
    <col min="2" max="2" width="11" style="72" bestFit="1" customWidth="1"/>
    <col min="3" max="16384" width="8.88671875" style="72"/>
  </cols>
  <sheetData>
    <row r="1" spans="1:2" x14ac:dyDescent="0.3">
      <c r="A1" s="71" t="s">
        <v>206</v>
      </c>
      <c r="B1" s="71" t="s">
        <v>205</v>
      </c>
    </row>
    <row r="2" spans="1:2" x14ac:dyDescent="0.3">
      <c r="A2" s="72" t="s">
        <v>106</v>
      </c>
      <c r="B2" s="73">
        <f>+PCS!M14</f>
        <v>0.25</v>
      </c>
    </row>
    <row r="3" spans="1:2" x14ac:dyDescent="0.3">
      <c r="A3" s="72" t="s">
        <v>107</v>
      </c>
      <c r="B3" s="73">
        <f>+PCS!M15</f>
        <v>0.25</v>
      </c>
    </row>
    <row r="4" spans="1:2" x14ac:dyDescent="0.3">
      <c r="A4" s="72" t="s">
        <v>108</v>
      </c>
      <c r="B4" s="73">
        <f>+PCS!M16</f>
        <v>0.25</v>
      </c>
    </row>
    <row r="5" spans="1:2" x14ac:dyDescent="0.3">
      <c r="A5" s="72" t="s">
        <v>109</v>
      </c>
      <c r="B5" s="73">
        <f>+PCS!M17</f>
        <v>0</v>
      </c>
    </row>
    <row r="6" spans="1:2" x14ac:dyDescent="0.3">
      <c r="A6" s="72" t="s">
        <v>110</v>
      </c>
      <c r="B6" s="73">
        <f>+PCS!M18</f>
        <v>0.25</v>
      </c>
    </row>
    <row r="7" spans="1:2" x14ac:dyDescent="0.3">
      <c r="A7" s="72" t="s">
        <v>358</v>
      </c>
      <c r="B7" s="74" t="str">
        <f>PCS!D3</f>
        <v>Vietbando_YD</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34998626667073579"/>
  </sheetPr>
  <dimension ref="A1:C5"/>
  <sheetViews>
    <sheetView workbookViewId="0">
      <selection activeCell="F21" sqref="F21"/>
    </sheetView>
  </sheetViews>
  <sheetFormatPr defaultRowHeight="14.4" x14ac:dyDescent="0.3"/>
  <cols>
    <col min="1" max="1" width="8.88671875" style="20"/>
    <col min="2" max="2" width="12.33203125" style="20" customWidth="1"/>
    <col min="3" max="16384" width="8.88671875" style="20"/>
  </cols>
  <sheetData>
    <row r="1" spans="1:3" x14ac:dyDescent="0.3">
      <c r="A1" s="19" t="s">
        <v>152</v>
      </c>
      <c r="B1" s="19" t="s">
        <v>186</v>
      </c>
      <c r="C1" s="19" t="s">
        <v>123</v>
      </c>
    </row>
    <row r="2" spans="1:3" x14ac:dyDescent="0.3">
      <c r="A2" s="20" t="s">
        <v>187</v>
      </c>
      <c r="B2" s="20" t="s">
        <v>175</v>
      </c>
      <c r="C2" s="21">
        <f>+PCS!M70</f>
        <v>0.6</v>
      </c>
    </row>
    <row r="3" spans="1:3" x14ac:dyDescent="0.3">
      <c r="A3" s="20" t="s">
        <v>188</v>
      </c>
      <c r="B3" s="20" t="s">
        <v>177</v>
      </c>
      <c r="C3" s="21">
        <f>+PCS!M71</f>
        <v>0.1</v>
      </c>
    </row>
    <row r="4" spans="1:3" x14ac:dyDescent="0.3">
      <c r="A4" s="20" t="s">
        <v>189</v>
      </c>
      <c r="B4" s="20" t="s">
        <v>178</v>
      </c>
      <c r="C4" s="21">
        <f>+PCS!M73</f>
        <v>0.2</v>
      </c>
    </row>
    <row r="5" spans="1:3" x14ac:dyDescent="0.3">
      <c r="A5" s="20" t="s">
        <v>190</v>
      </c>
      <c r="B5" s="20" t="s">
        <v>179</v>
      </c>
      <c r="C5" s="21">
        <f>+PCS!M74</f>
        <v>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34998626667073579"/>
  </sheetPr>
  <dimension ref="A1:I20"/>
  <sheetViews>
    <sheetView workbookViewId="0">
      <selection activeCell="F21" sqref="F21"/>
    </sheetView>
  </sheetViews>
  <sheetFormatPr defaultRowHeight="14.4" x14ac:dyDescent="0.3"/>
  <cols>
    <col min="1" max="1" width="10.77734375" style="13" bestFit="1" customWidth="1"/>
    <col min="2" max="2" width="49" style="13" bestFit="1" customWidth="1"/>
    <col min="3" max="3" width="62.5546875" style="13" customWidth="1"/>
    <col min="4" max="5" width="10.33203125" style="13" customWidth="1"/>
    <col min="6" max="6" width="15.33203125" style="13" customWidth="1"/>
    <col min="7" max="8" width="8.88671875" style="13"/>
    <col min="9" max="9" width="51.6640625" style="13" bestFit="1" customWidth="1"/>
    <col min="10" max="16384" width="8.88671875" style="13"/>
  </cols>
  <sheetData>
    <row r="1" spans="1:9" x14ac:dyDescent="0.3">
      <c r="A1" s="12" t="s">
        <v>118</v>
      </c>
      <c r="B1" s="12" t="s">
        <v>124</v>
      </c>
      <c r="C1" s="12" t="s">
        <v>119</v>
      </c>
      <c r="D1" s="12" t="s">
        <v>120</v>
      </c>
      <c r="E1" s="12" t="s">
        <v>121</v>
      </c>
      <c r="F1" s="12" t="s">
        <v>123</v>
      </c>
      <c r="G1" s="12" t="s">
        <v>122</v>
      </c>
      <c r="H1" s="12" t="s">
        <v>126</v>
      </c>
      <c r="I1" s="12" t="s">
        <v>125</v>
      </c>
    </row>
    <row r="2" spans="1:9" x14ac:dyDescent="0.3">
      <c r="A2" s="2" t="s">
        <v>232</v>
      </c>
      <c r="B2" s="2" t="s">
        <v>232</v>
      </c>
      <c r="C2" s="55" t="s">
        <v>344</v>
      </c>
      <c r="D2" s="15">
        <v>1</v>
      </c>
      <c r="E2" s="15">
        <v>100</v>
      </c>
      <c r="F2" s="16">
        <f>+PCS!D40</f>
        <v>0.03</v>
      </c>
      <c r="G2" s="16" t="str">
        <f>PCS!E40</f>
        <v>Relative</v>
      </c>
      <c r="H2" s="17">
        <f>+PCS!F40</f>
        <v>50</v>
      </c>
      <c r="I2" s="13" t="s">
        <v>128</v>
      </c>
    </row>
    <row r="3" spans="1:9" x14ac:dyDescent="0.3">
      <c r="A3" s="2" t="s">
        <v>233</v>
      </c>
      <c r="B3" s="2" t="s">
        <v>233</v>
      </c>
      <c r="C3" s="55" t="s">
        <v>345</v>
      </c>
      <c r="D3" s="15">
        <v>1</v>
      </c>
      <c r="E3" s="15">
        <v>100</v>
      </c>
      <c r="F3" s="16">
        <f>+PCS!D41</f>
        <v>0.01</v>
      </c>
      <c r="G3" s="16" t="str">
        <f>PCS!E41</f>
        <v>Relative</v>
      </c>
      <c r="H3" s="17">
        <f>+PCS!F41</f>
        <v>50</v>
      </c>
      <c r="I3" s="13" t="s">
        <v>128</v>
      </c>
    </row>
    <row r="4" spans="1:9" x14ac:dyDescent="0.3">
      <c r="A4" s="2" t="s">
        <v>234</v>
      </c>
      <c r="B4" s="2" t="s">
        <v>234</v>
      </c>
      <c r="C4" s="13" t="s">
        <v>215</v>
      </c>
      <c r="D4" s="15">
        <v>0</v>
      </c>
      <c r="E4" s="15">
        <v>10</v>
      </c>
      <c r="F4" s="16">
        <f>+PCS!D42</f>
        <v>0.15</v>
      </c>
      <c r="G4" s="16" t="str">
        <f>PCS!E42</f>
        <v>Relative</v>
      </c>
      <c r="H4" s="17">
        <f>+PCS!F42</f>
        <v>0.5</v>
      </c>
      <c r="I4" s="13" t="s">
        <v>129</v>
      </c>
    </row>
    <row r="5" spans="1:9" x14ac:dyDescent="0.3">
      <c r="A5" s="2" t="s">
        <v>235</v>
      </c>
      <c r="B5" s="2" t="s">
        <v>235</v>
      </c>
      <c r="C5" s="13" t="s">
        <v>216</v>
      </c>
      <c r="D5" s="15">
        <v>0</v>
      </c>
      <c r="E5" s="15">
        <v>10</v>
      </c>
      <c r="F5" s="16">
        <f>+PCS!D43</f>
        <v>0.1</v>
      </c>
      <c r="G5" s="16" t="str">
        <f>PCS!E43</f>
        <v>Relative</v>
      </c>
      <c r="H5" s="17">
        <f>+PCS!F43</f>
        <v>0.5</v>
      </c>
      <c r="I5" s="13" t="s">
        <v>129</v>
      </c>
    </row>
    <row r="6" spans="1:9" x14ac:dyDescent="0.3">
      <c r="A6" s="2" t="s">
        <v>236</v>
      </c>
      <c r="B6" s="2" t="s">
        <v>236</v>
      </c>
      <c r="C6" s="13" t="s">
        <v>217</v>
      </c>
      <c r="D6" s="15">
        <v>0</v>
      </c>
      <c r="E6" s="15">
        <v>10</v>
      </c>
      <c r="F6" s="16">
        <f>+PCS!D44</f>
        <v>0.05</v>
      </c>
      <c r="G6" s="16" t="str">
        <f>PCS!E44</f>
        <v>Relative</v>
      </c>
      <c r="H6" s="17">
        <f>+PCS!F44</f>
        <v>0.5</v>
      </c>
      <c r="I6" s="13" t="s">
        <v>129</v>
      </c>
    </row>
    <row r="7" spans="1:9" x14ac:dyDescent="0.3">
      <c r="A7" s="2" t="s">
        <v>237</v>
      </c>
      <c r="B7" s="2" t="s">
        <v>237</v>
      </c>
      <c r="C7" s="13" t="s">
        <v>218</v>
      </c>
      <c r="D7" s="15">
        <v>0</v>
      </c>
      <c r="E7" s="15">
        <v>10</v>
      </c>
      <c r="F7" s="16">
        <f>+PCS!D45</f>
        <v>0.1</v>
      </c>
      <c r="G7" s="16" t="str">
        <f>PCS!E45</f>
        <v>Relative</v>
      </c>
      <c r="H7" s="17">
        <f>+PCS!F45</f>
        <v>0.5</v>
      </c>
      <c r="I7" s="13" t="s">
        <v>129</v>
      </c>
    </row>
    <row r="8" spans="1:9" x14ac:dyDescent="0.3">
      <c r="A8" s="2" t="s">
        <v>238</v>
      </c>
      <c r="B8" s="2" t="s">
        <v>238</v>
      </c>
      <c r="C8" s="13" t="s">
        <v>219</v>
      </c>
      <c r="D8" s="15">
        <v>0</v>
      </c>
      <c r="E8" s="15">
        <v>10</v>
      </c>
      <c r="F8" s="16">
        <f>+PCS!D46</f>
        <v>0.05</v>
      </c>
      <c r="G8" s="16" t="str">
        <f>PCS!E46</f>
        <v>Relative</v>
      </c>
      <c r="H8" s="17">
        <f>+PCS!F46</f>
        <v>0.5</v>
      </c>
      <c r="I8" s="13" t="s">
        <v>129</v>
      </c>
    </row>
    <row r="9" spans="1:9" x14ac:dyDescent="0.3">
      <c r="A9" s="2" t="s">
        <v>239</v>
      </c>
      <c r="B9" s="2" t="s">
        <v>239</v>
      </c>
      <c r="C9" s="13" t="s">
        <v>220</v>
      </c>
      <c r="D9" s="15">
        <v>0</v>
      </c>
      <c r="E9" s="15">
        <v>10</v>
      </c>
      <c r="F9" s="16">
        <f>+PCS!D47</f>
        <v>0.03</v>
      </c>
      <c r="G9" s="16" t="str">
        <f>PCS!E47</f>
        <v>Relative</v>
      </c>
      <c r="H9" s="17">
        <f>+PCS!F47</f>
        <v>0.5</v>
      </c>
      <c r="I9" s="13" t="s">
        <v>129</v>
      </c>
    </row>
    <row r="10" spans="1:9" x14ac:dyDescent="0.3">
      <c r="A10" s="2" t="s">
        <v>240</v>
      </c>
      <c r="B10" s="2" t="s">
        <v>240</v>
      </c>
      <c r="C10" s="2" t="s">
        <v>221</v>
      </c>
      <c r="D10" s="15">
        <v>0</v>
      </c>
      <c r="E10" s="15">
        <v>10</v>
      </c>
      <c r="F10" s="16">
        <f>+PCS!D48</f>
        <v>0.1</v>
      </c>
      <c r="G10" s="16" t="str">
        <f>PCS!E48</f>
        <v>Relative</v>
      </c>
      <c r="H10" s="17">
        <f>+PCS!F48</f>
        <v>0.5</v>
      </c>
      <c r="I10" s="13" t="s">
        <v>129</v>
      </c>
    </row>
    <row r="11" spans="1:9" x14ac:dyDescent="0.3">
      <c r="A11" s="2" t="s">
        <v>241</v>
      </c>
      <c r="B11" s="2" t="s">
        <v>241</v>
      </c>
      <c r="C11" s="13" t="s">
        <v>222</v>
      </c>
      <c r="D11" s="15">
        <v>0</v>
      </c>
      <c r="E11" s="15">
        <v>10</v>
      </c>
      <c r="F11" s="16">
        <f>+PCS!D49</f>
        <v>0.05</v>
      </c>
      <c r="G11" s="16" t="str">
        <f>PCS!E49</f>
        <v>Relative</v>
      </c>
      <c r="H11" s="17">
        <f>+PCS!F49</f>
        <v>0.5</v>
      </c>
      <c r="I11" s="13" t="s">
        <v>129</v>
      </c>
    </row>
    <row r="12" spans="1:9" x14ac:dyDescent="0.3">
      <c r="A12" s="2" t="s">
        <v>242</v>
      </c>
      <c r="B12" s="2" t="s">
        <v>242</v>
      </c>
      <c r="C12" s="13" t="s">
        <v>223</v>
      </c>
      <c r="D12" s="15">
        <v>0</v>
      </c>
      <c r="E12" s="15">
        <v>10</v>
      </c>
      <c r="F12" s="16">
        <f>+PCS!D50</f>
        <v>0.03</v>
      </c>
      <c r="G12" s="16" t="str">
        <f>PCS!E50</f>
        <v>Relative</v>
      </c>
      <c r="H12" s="17">
        <f>+PCS!F50</f>
        <v>0.5</v>
      </c>
      <c r="I12" s="13" t="s">
        <v>129</v>
      </c>
    </row>
    <row r="13" spans="1:9" x14ac:dyDescent="0.3">
      <c r="A13" s="2" t="s">
        <v>243</v>
      </c>
      <c r="B13" s="2" t="s">
        <v>243</v>
      </c>
      <c r="C13" s="13" t="s">
        <v>224</v>
      </c>
      <c r="D13" s="15">
        <v>1</v>
      </c>
      <c r="E13" s="15">
        <v>100</v>
      </c>
      <c r="F13" s="16">
        <f>+PCS!D51</f>
        <v>0.03</v>
      </c>
      <c r="G13" s="16" t="str">
        <f>PCS!E51</f>
        <v>Relative</v>
      </c>
      <c r="H13" s="17">
        <f>+PCS!F51</f>
        <v>30</v>
      </c>
      <c r="I13" s="13" t="s">
        <v>154</v>
      </c>
    </row>
    <row r="14" spans="1:9" x14ac:dyDescent="0.3">
      <c r="A14" s="2" t="s">
        <v>244</v>
      </c>
      <c r="B14" s="2" t="s">
        <v>244</v>
      </c>
      <c r="C14" s="13" t="s">
        <v>225</v>
      </c>
      <c r="D14" s="15">
        <v>1</v>
      </c>
      <c r="E14" s="15">
        <v>100</v>
      </c>
      <c r="F14" s="16">
        <f>+PCS!D52</f>
        <v>0.02</v>
      </c>
      <c r="G14" s="16" t="str">
        <f>PCS!E52</f>
        <v>Relative</v>
      </c>
      <c r="H14" s="17">
        <f>+PCS!F52</f>
        <v>30</v>
      </c>
      <c r="I14" s="13" t="s">
        <v>154</v>
      </c>
    </row>
    <row r="15" spans="1:9" x14ac:dyDescent="0.3">
      <c r="A15" s="2" t="s">
        <v>245</v>
      </c>
      <c r="B15" s="2" t="s">
        <v>245</v>
      </c>
      <c r="C15" s="13" t="s">
        <v>226</v>
      </c>
      <c r="D15" s="15">
        <v>1</v>
      </c>
      <c r="E15" s="15">
        <v>100</v>
      </c>
      <c r="F15" s="16">
        <f>+PCS!D53</f>
        <v>0.01</v>
      </c>
      <c r="G15" s="16" t="str">
        <f>PCS!E53</f>
        <v>Relative</v>
      </c>
      <c r="H15" s="17">
        <f>+PCS!F53</f>
        <v>30</v>
      </c>
      <c r="I15" s="13" t="s">
        <v>154</v>
      </c>
    </row>
    <row r="16" spans="1:9" x14ac:dyDescent="0.3">
      <c r="A16" s="2" t="s">
        <v>246</v>
      </c>
      <c r="B16" s="2" t="s">
        <v>246</v>
      </c>
      <c r="C16" s="14" t="s">
        <v>227</v>
      </c>
      <c r="D16" s="15">
        <v>1</v>
      </c>
      <c r="E16" s="15">
        <v>500</v>
      </c>
      <c r="F16" s="16">
        <f>+PCS!D54</f>
        <v>0.06</v>
      </c>
      <c r="G16" s="16" t="str">
        <f>PCS!E54</f>
        <v>Relative</v>
      </c>
      <c r="H16" s="17">
        <f>+PCS!F54</f>
        <v>0</v>
      </c>
      <c r="I16" s="13" t="s">
        <v>127</v>
      </c>
    </row>
    <row r="17" spans="1:9" x14ac:dyDescent="0.3">
      <c r="A17" s="2" t="s">
        <v>247</v>
      </c>
      <c r="B17" s="2" t="s">
        <v>247</v>
      </c>
      <c r="C17" s="13" t="s">
        <v>228</v>
      </c>
      <c r="D17" s="15">
        <v>1</v>
      </c>
      <c r="E17" s="15">
        <v>500</v>
      </c>
      <c r="F17" s="16">
        <f>+PCS!D55</f>
        <v>0.04</v>
      </c>
      <c r="G17" s="16" t="str">
        <f>PCS!E55</f>
        <v>Relative</v>
      </c>
      <c r="H17" s="17">
        <f>+PCS!F55</f>
        <v>0</v>
      </c>
      <c r="I17" s="13" t="s">
        <v>127</v>
      </c>
    </row>
    <row r="18" spans="1:9" x14ac:dyDescent="0.3">
      <c r="A18" s="2" t="s">
        <v>248</v>
      </c>
      <c r="B18" s="2" t="s">
        <v>248</v>
      </c>
      <c r="C18" s="13" t="s">
        <v>229</v>
      </c>
      <c r="D18" s="15">
        <v>1</v>
      </c>
      <c r="E18" s="15">
        <v>500</v>
      </c>
      <c r="F18" s="16">
        <f>+PCS!D56</f>
        <v>0.02</v>
      </c>
      <c r="G18" s="16" t="str">
        <f>PCS!E56</f>
        <v>Relative</v>
      </c>
      <c r="H18" s="17">
        <f>+PCS!F56</f>
        <v>0</v>
      </c>
      <c r="I18" s="13" t="s">
        <v>127</v>
      </c>
    </row>
    <row r="19" spans="1:9" x14ac:dyDescent="0.3">
      <c r="A19" s="2" t="s">
        <v>249</v>
      </c>
      <c r="B19" s="2" t="s">
        <v>249</v>
      </c>
      <c r="C19" s="13" t="s">
        <v>230</v>
      </c>
      <c r="D19" s="15">
        <v>0</v>
      </c>
      <c r="E19" s="15">
        <v>1</v>
      </c>
      <c r="F19" s="16">
        <f>+PCS!D57</f>
        <v>0.02</v>
      </c>
      <c r="G19" s="16" t="str">
        <f>PCS!E57</f>
        <v>Relative</v>
      </c>
      <c r="H19" s="17">
        <f>+PCS!F57</f>
        <v>0</v>
      </c>
    </row>
    <row r="20" spans="1:9" x14ac:dyDescent="0.3">
      <c r="A20" s="2" t="s">
        <v>156</v>
      </c>
      <c r="B20" s="2" t="s">
        <v>156</v>
      </c>
      <c r="C20" s="13" t="s">
        <v>231</v>
      </c>
      <c r="D20" s="15">
        <v>0</v>
      </c>
      <c r="E20" s="15">
        <v>5</v>
      </c>
      <c r="F20" s="16">
        <f>+PCS!D58</f>
        <v>0.1</v>
      </c>
      <c r="G20" s="16" t="str">
        <f>PCS!E58</f>
        <v>Relative</v>
      </c>
      <c r="H20" s="17">
        <f>+PCS!F58</f>
        <v>0</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sheetPr>
  <dimension ref="A1:E11"/>
  <sheetViews>
    <sheetView workbookViewId="0">
      <selection activeCell="J18" sqref="J18"/>
    </sheetView>
  </sheetViews>
  <sheetFormatPr defaultRowHeight="14.4" x14ac:dyDescent="0.3"/>
  <cols>
    <col min="1" max="1" width="10.5546875" style="26" bestFit="1" customWidth="1"/>
    <col min="2" max="2" width="11" style="26" bestFit="1" customWidth="1"/>
    <col min="3" max="3" width="4.5546875" style="26" bestFit="1" customWidth="1"/>
    <col min="4" max="4" width="2.21875" style="26" bestFit="1" customWidth="1"/>
    <col min="5" max="16384" width="8.88671875" style="26"/>
  </cols>
  <sheetData>
    <row r="1" spans="1:5" x14ac:dyDescent="0.3">
      <c r="A1" s="25" t="s">
        <v>74</v>
      </c>
      <c r="B1" s="25" t="s">
        <v>75</v>
      </c>
      <c r="C1" s="25" t="s">
        <v>76</v>
      </c>
      <c r="D1" s="25" t="s">
        <v>77</v>
      </c>
      <c r="E1" s="25" t="s">
        <v>153</v>
      </c>
    </row>
    <row r="2" spans="1:5" x14ac:dyDescent="0.3">
      <c r="A2" s="26" t="s">
        <v>96</v>
      </c>
      <c r="B2" s="26" t="str">
        <f t="shared" ref="B2:B11" si="0">"__"&amp;LEFT(E2,8)</f>
        <v>__hhsize_c</v>
      </c>
      <c r="C2" s="27">
        <f>PCS!D14</f>
        <v>0.05</v>
      </c>
      <c r="D2" s="26">
        <f>VLOOKUP(PCS!C14,Ref!$A$2:$C$38,3,0)</f>
        <v>0</v>
      </c>
      <c r="E2" s="26" t="str">
        <f>VLOOKUP(PCS!C14,Ref!$A$2:$B$38,2,0)</f>
        <v>hhsize_cm</v>
      </c>
    </row>
    <row r="3" spans="1:5" x14ac:dyDescent="0.3">
      <c r="A3" s="26" t="s">
        <v>97</v>
      </c>
      <c r="B3" s="26" t="str">
        <f t="shared" si="0"/>
        <v>__roof_1cm</v>
      </c>
      <c r="C3" s="27">
        <f>PCS!D15</f>
        <v>0.1</v>
      </c>
      <c r="D3" s="26">
        <f>VLOOKUP(PCS!C15,Ref!$A$2:$C$38,3,0)</f>
        <v>1</v>
      </c>
      <c r="E3" s="26" t="str">
        <f>VLOOKUP(PCS!C15,Ref!$A$2:$B$38,2,0)</f>
        <v>roof_1cm</v>
      </c>
    </row>
    <row r="4" spans="1:5" x14ac:dyDescent="0.3">
      <c r="A4" s="26" t="s">
        <v>98</v>
      </c>
      <c r="B4" s="26" t="str">
        <f t="shared" si="0"/>
        <v>__water_1c</v>
      </c>
      <c r="C4" s="27">
        <f>PCS!D16</f>
        <v>0.1</v>
      </c>
      <c r="D4" s="26">
        <f>VLOOKUP(PCS!C16,Ref!$A$2:$C$38,3,0)</f>
        <v>1</v>
      </c>
      <c r="E4" s="26" t="str">
        <f>VLOOKUP(PCS!C16,Ref!$A$2:$B$38,2,0)</f>
        <v>water_1cm</v>
      </c>
    </row>
    <row r="5" spans="1:5" x14ac:dyDescent="0.3">
      <c r="A5" s="26" t="s">
        <v>99</v>
      </c>
      <c r="B5" s="26" t="str">
        <f t="shared" si="0"/>
        <v>__toilet_1</v>
      </c>
      <c r="C5" s="27">
        <f>PCS!D17</f>
        <v>0.1</v>
      </c>
      <c r="D5" s="26">
        <f>VLOOKUP(PCS!C17,Ref!$A$2:$C$38,3,0)</f>
        <v>1</v>
      </c>
      <c r="E5" s="26" t="str">
        <f>VLOOKUP(PCS!C17,Ref!$A$2:$B$38,2,0)</f>
        <v>toilet_1cm</v>
      </c>
    </row>
    <row r="6" spans="1:5" x14ac:dyDescent="0.3">
      <c r="A6" s="26" t="s">
        <v>100</v>
      </c>
      <c r="B6" s="26" t="str">
        <f t="shared" si="0"/>
        <v>__edchd_4c</v>
      </c>
      <c r="C6" s="27">
        <f>PCS!D18</f>
        <v>0.1</v>
      </c>
      <c r="D6" s="26">
        <f>VLOOKUP(PCS!C18,Ref!$A$2:$C$38,3,0)</f>
        <v>1</v>
      </c>
      <c r="E6" s="26" t="str">
        <f>VLOOKUP(PCS!C18,Ref!$A$2:$B$38,2,0)</f>
        <v>edchd_4cm</v>
      </c>
    </row>
    <row r="7" spans="1:5" x14ac:dyDescent="0.3">
      <c r="A7" s="26" t="s">
        <v>101</v>
      </c>
      <c r="B7" s="26" t="str">
        <f t="shared" si="0"/>
        <v>__ethnic_c</v>
      </c>
      <c r="C7" s="27">
        <f>PCS!D19</f>
        <v>0.05</v>
      </c>
      <c r="D7" s="26">
        <f>VLOOKUP(PCS!C19,Ref!$A$2:$C$38,3,0)</f>
        <v>0</v>
      </c>
      <c r="E7" s="26" t="str">
        <f>VLOOKUP(PCS!C19,Ref!$A$2:$B$38,2,0)</f>
        <v>ethnic_cm</v>
      </c>
    </row>
    <row r="8" spans="1:5" x14ac:dyDescent="0.3">
      <c r="A8" s="26" t="s">
        <v>102</v>
      </c>
      <c r="B8" s="26" t="str">
        <f t="shared" si="0"/>
        <v>__pelderly</v>
      </c>
      <c r="C8" s="27">
        <f>PCS!D20</f>
        <v>0.05</v>
      </c>
      <c r="D8" s="26">
        <f>VLOOKUP(PCS!C20,Ref!$A$2:$C$38,3,0)</f>
        <v>0</v>
      </c>
      <c r="E8" s="26" t="str">
        <f>VLOOKUP(PCS!C20,Ref!$A$2:$B$38,2,0)</f>
        <v>pelderly_cm</v>
      </c>
    </row>
    <row r="9" spans="1:5" x14ac:dyDescent="0.3">
      <c r="A9" s="26" t="s">
        <v>103</v>
      </c>
      <c r="B9" s="26" t="str">
        <f t="shared" si="0"/>
        <v>__avg_fgt1</v>
      </c>
      <c r="C9" s="27">
        <f>PCS!D21</f>
        <v>0.1</v>
      </c>
      <c r="D9" s="26">
        <f>VLOOKUP(PCS!C21,Ref!$A$2:$C$38,3,0)</f>
        <v>0</v>
      </c>
      <c r="E9" s="26" t="str">
        <f>VLOOKUP(PCS!C21,Ref!$A$2:$B$38,2,0)</f>
        <v>avg_fgt1</v>
      </c>
    </row>
    <row r="10" spans="1:5" x14ac:dyDescent="0.3">
      <c r="A10" s="26" t="s">
        <v>104</v>
      </c>
      <c r="B10" s="26" t="str">
        <f t="shared" si="0"/>
        <v>__mean</v>
      </c>
      <c r="C10" s="27">
        <f>PCS!D22</f>
        <v>0.3</v>
      </c>
      <c r="D10" s="26">
        <f>VLOOKUP(PCS!C22,Ref!$A$2:$C$38,3,0)</f>
        <v>1</v>
      </c>
      <c r="E10" s="26" t="str">
        <f>VLOOKUP(PCS!C22,Ref!$A$2:$B$38,2,0)</f>
        <v>mean</v>
      </c>
    </row>
    <row r="11" spans="1:5" x14ac:dyDescent="0.3">
      <c r="A11" s="26" t="s">
        <v>105</v>
      </c>
      <c r="B11" s="26" t="str">
        <f t="shared" si="0"/>
        <v>__livingar</v>
      </c>
      <c r="C11" s="27">
        <f>PCS!D23</f>
        <v>0.05</v>
      </c>
      <c r="D11" s="26">
        <f>VLOOKUP(PCS!C23,Ref!$A$2:$C$38,3,0)</f>
        <v>1</v>
      </c>
      <c r="E11" s="26" t="str">
        <f>VLOOKUP(PCS!C23,Ref!$A$2:$B$38,2,0)</f>
        <v>livingareapc</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Q10"/>
  <sheetViews>
    <sheetView showGridLines="0" workbookViewId="0">
      <selection activeCell="C29" sqref="C29"/>
    </sheetView>
  </sheetViews>
  <sheetFormatPr defaultRowHeight="14.4" x14ac:dyDescent="0.3"/>
  <cols>
    <col min="1" max="1" width="7.109375" bestFit="1" customWidth="1"/>
    <col min="2" max="3" width="13.21875" bestFit="1" customWidth="1"/>
    <col min="4" max="8" width="13.21875" customWidth="1"/>
    <col min="9" max="9" width="13.21875" bestFit="1" customWidth="1"/>
    <col min="10" max="10" width="8.77734375" bestFit="1" customWidth="1"/>
    <col min="11" max="11" width="14.109375" bestFit="1" customWidth="1"/>
    <col min="12" max="12" width="13.21875" bestFit="1" customWidth="1"/>
    <col min="13" max="13" width="11.88671875" bestFit="1" customWidth="1"/>
    <col min="15" max="15" width="13.21875" bestFit="1" customWidth="1"/>
    <col min="16" max="16" width="27.109375" bestFit="1" customWidth="1"/>
    <col min="17" max="17" width="11" bestFit="1" customWidth="1"/>
  </cols>
  <sheetData>
    <row r="1" spans="1:17" x14ac:dyDescent="0.3">
      <c r="A1" s="10" t="s">
        <v>200</v>
      </c>
      <c r="B1" s="5" t="s">
        <v>195</v>
      </c>
      <c r="C1" s="6" t="s">
        <v>198</v>
      </c>
      <c r="D1" s="7" t="s">
        <v>196</v>
      </c>
      <c r="E1" s="8" t="s">
        <v>201</v>
      </c>
      <c r="F1" s="8" t="s">
        <v>197</v>
      </c>
      <c r="G1" s="8" t="s">
        <v>203</v>
      </c>
      <c r="H1" s="8" t="s">
        <v>202</v>
      </c>
      <c r="I1" s="9" t="s">
        <v>193</v>
      </c>
      <c r="J1" s="9" t="s">
        <v>191</v>
      </c>
      <c r="K1" s="9" t="s">
        <v>192</v>
      </c>
      <c r="L1" s="9" t="s">
        <v>199</v>
      </c>
      <c r="M1" s="9" t="s">
        <v>211</v>
      </c>
      <c r="N1" s="9" t="s">
        <v>212</v>
      </c>
      <c r="O1" s="9" t="s">
        <v>213</v>
      </c>
      <c r="P1" s="9" t="s">
        <v>362</v>
      </c>
      <c r="Q1" s="9" t="s">
        <v>363</v>
      </c>
    </row>
    <row r="2" spans="1:17" x14ac:dyDescent="0.3">
      <c r="A2">
        <v>0</v>
      </c>
      <c r="B2" t="str">
        <f>+PCS!C77</f>
        <v>adm_centroids</v>
      </c>
      <c r="C2" t="str">
        <f>+PCS!D77</f>
        <v>Pop</v>
      </c>
      <c r="D2" t="str">
        <f>+PCS!C85</f>
        <v>District_PeopleCommittee</v>
      </c>
      <c r="E2" t="str">
        <f>+PCS!D85</f>
        <v>Default</v>
      </c>
      <c r="F2">
        <f>+PCS!E85</f>
        <v>500</v>
      </c>
      <c r="G2">
        <f>+PCS!F85</f>
        <v>1</v>
      </c>
      <c r="H2" s="11">
        <f>PCS!G85</f>
        <v>1</v>
      </c>
      <c r="I2" s="1">
        <f>+PCS!E103</f>
        <v>2</v>
      </c>
      <c r="J2" s="1">
        <f>+PCS!E104</f>
        <v>0.2</v>
      </c>
      <c r="K2" s="4">
        <f>+PCS!D109</f>
        <v>1</v>
      </c>
      <c r="L2" s="4">
        <f>+PCS!D110</f>
        <v>0</v>
      </c>
      <c r="M2" s="18">
        <f>PCS!C93</f>
        <v>1</v>
      </c>
      <c r="N2" s="18" t="str">
        <f>PCS!D93</f>
        <v>adm_centroids</v>
      </c>
      <c r="O2" s="18" t="str">
        <f>PCS!E93</f>
        <v>adm_centroids</v>
      </c>
      <c r="P2" t="str">
        <f>PCS!C65</f>
        <v>Province_PeopleCommittee_61</v>
      </c>
      <c r="Q2" t="str">
        <f>PCS!D65</f>
        <v>yes</v>
      </c>
    </row>
    <row r="3" spans="1:17" x14ac:dyDescent="0.3">
      <c r="A3">
        <v>1</v>
      </c>
      <c r="B3">
        <f>+PCS!C78</f>
        <v>0</v>
      </c>
      <c r="C3">
        <f>+PCS!D78</f>
        <v>0</v>
      </c>
      <c r="D3" t="str">
        <f>+PCS!C86</f>
        <v>adm_centroids</v>
      </c>
      <c r="E3" t="str">
        <f>+PCS!D86</f>
        <v>Pop</v>
      </c>
      <c r="F3">
        <f>+PCS!E86</f>
        <v>100</v>
      </c>
      <c r="G3">
        <f>+PCS!F86</f>
        <v>50</v>
      </c>
      <c r="H3" s="11">
        <f>PCS!G86</f>
        <v>1</v>
      </c>
      <c r="M3" s="18">
        <f>PCS!C94</f>
        <v>2</v>
      </c>
      <c r="N3" s="18" t="str">
        <f>PCS!D94</f>
        <v>adm_centroids</v>
      </c>
      <c r="O3" s="18" t="str">
        <f>PCS!E94</f>
        <v>District_PeopleCommittee</v>
      </c>
      <c r="P3" t="str">
        <f>PCS!C66</f>
        <v>District_PeopleCommittee</v>
      </c>
      <c r="Q3" t="str">
        <f>PCS!D66</f>
        <v>yes</v>
      </c>
    </row>
    <row r="4" spans="1:17" x14ac:dyDescent="0.3">
      <c r="A4">
        <v>2</v>
      </c>
      <c r="B4">
        <f>+PCS!C79</f>
        <v>0</v>
      </c>
      <c r="C4">
        <f>+PCS!D79</f>
        <v>0</v>
      </c>
      <c r="D4" t="str">
        <f>+PCS!C87</f>
        <v>Local_gov_building</v>
      </c>
      <c r="E4" t="str">
        <f>+PCS!D87</f>
        <v>Default</v>
      </c>
      <c r="F4">
        <f>+PCS!E87</f>
        <v>100</v>
      </c>
      <c r="G4">
        <f>+PCS!F87</f>
        <v>20</v>
      </c>
      <c r="H4" s="11">
        <f>PCS!G87</f>
        <v>2</v>
      </c>
      <c r="M4" s="18">
        <f>PCS!C95</f>
        <v>3</v>
      </c>
      <c r="N4" s="18" t="str">
        <f>PCS!D95</f>
        <v>adm_centroids</v>
      </c>
      <c r="O4" s="18" t="str">
        <f>PCS!E95</f>
        <v>Health_Facilities</v>
      </c>
      <c r="P4" t="str">
        <f>PCS!C67</f>
        <v>Commune_PeopleCommittee</v>
      </c>
      <c r="Q4" t="str">
        <f>PCS!D67</f>
        <v>yes</v>
      </c>
    </row>
    <row r="5" spans="1:17" x14ac:dyDescent="0.3">
      <c r="A5">
        <v>3</v>
      </c>
      <c r="B5">
        <f>+PCS!C80</f>
        <v>0</v>
      </c>
      <c r="C5">
        <f>+PCS!D80</f>
        <v>0</v>
      </c>
      <c r="D5" t="str">
        <f>+PCS!C88</f>
        <v>Commune_PeopleCommittee</v>
      </c>
      <c r="E5" t="str">
        <f>+PCS!D88</f>
        <v>Default</v>
      </c>
      <c r="F5">
        <f>+PCS!E88</f>
        <v>50</v>
      </c>
      <c r="G5">
        <f>+PCS!F88</f>
        <v>10</v>
      </c>
      <c r="H5" s="11">
        <f>PCS!G88</f>
        <v>1</v>
      </c>
      <c r="I5" t="s">
        <v>194</v>
      </c>
      <c r="M5" s="18">
        <f>PCS!C96</f>
        <v>4</v>
      </c>
      <c r="N5" s="18" t="str">
        <f>PCS!D96</f>
        <v>adm_centroids</v>
      </c>
      <c r="O5" s="18" t="str">
        <f>PCS!E96</f>
        <v>Local_gov_building</v>
      </c>
      <c r="P5" t="str">
        <f>PCS!C68</f>
        <v>Local_gov_building</v>
      </c>
      <c r="Q5" t="str">
        <f>PCS!D68</f>
        <v>yes</v>
      </c>
    </row>
    <row r="6" spans="1:17" x14ac:dyDescent="0.3">
      <c r="A6">
        <v>4</v>
      </c>
      <c r="B6">
        <f>+PCS!C81</f>
        <v>0</v>
      </c>
      <c r="C6">
        <f>+PCS!D81</f>
        <v>0</v>
      </c>
      <c r="D6" t="str">
        <f>+PCS!C89</f>
        <v>Health_Facilities</v>
      </c>
      <c r="E6" t="str">
        <f>+PCS!D89</f>
        <v>Default</v>
      </c>
      <c r="F6">
        <f>+PCS!E89</f>
        <v>1000</v>
      </c>
      <c r="G6">
        <f>+PCS!F89</f>
        <v>3</v>
      </c>
      <c r="H6" s="11">
        <f>PCS!G89</f>
        <v>5</v>
      </c>
      <c r="I6" t="s">
        <v>194</v>
      </c>
      <c r="M6" s="18">
        <f>PCS!C97</f>
        <v>5</v>
      </c>
      <c r="N6" s="18" t="str">
        <f>PCS!D97</f>
        <v>adm_centroids</v>
      </c>
      <c r="O6" s="18" t="str">
        <f>PCS!E97</f>
        <v>Commune_PeopleCommittee</v>
      </c>
      <c r="P6" t="str">
        <f>PCS!C69</f>
        <v>Major_cities</v>
      </c>
      <c r="Q6" t="str">
        <f>PCS!D69</f>
        <v>yes</v>
      </c>
    </row>
    <row r="7" spans="1:17" x14ac:dyDescent="0.3">
      <c r="A7">
        <v>5</v>
      </c>
      <c r="M7" s="18">
        <f>PCS!C98</f>
        <v>6</v>
      </c>
      <c r="N7" s="18">
        <f>PCS!D98</f>
        <v>0</v>
      </c>
      <c r="O7" s="18">
        <f>PCS!E98</f>
        <v>0</v>
      </c>
      <c r="P7" t="str">
        <f>PCS!C70</f>
        <v>Airport</v>
      </c>
      <c r="Q7" t="str">
        <f>PCS!D70</f>
        <v>yes</v>
      </c>
    </row>
    <row r="8" spans="1:17" x14ac:dyDescent="0.3">
      <c r="A8">
        <v>6</v>
      </c>
      <c r="P8" t="str">
        <f>PCS!C71</f>
        <v>Railway_stations</v>
      </c>
      <c r="Q8" t="str">
        <f>PCS!D71</f>
        <v>yes</v>
      </c>
    </row>
    <row r="9" spans="1:17" x14ac:dyDescent="0.3">
      <c r="A9">
        <v>7</v>
      </c>
      <c r="P9" t="str">
        <f>PCS!C72</f>
        <v>Health_Facilities</v>
      </c>
      <c r="Q9" t="str">
        <f>PCS!D72</f>
        <v>yes</v>
      </c>
    </row>
    <row r="10" spans="1:17" x14ac:dyDescent="0.3">
      <c r="A10">
        <v>8</v>
      </c>
      <c r="P10" t="str">
        <f>PCS!C73</f>
        <v>Riverports_2005</v>
      </c>
      <c r="Q10" t="str">
        <f>PCS!D73</f>
        <v>yes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34998626667073579"/>
  </sheetPr>
  <dimension ref="A1:C38"/>
  <sheetViews>
    <sheetView workbookViewId="0">
      <selection activeCell="F21" sqref="F21"/>
    </sheetView>
  </sheetViews>
  <sheetFormatPr defaultRowHeight="14.4" x14ac:dyDescent="0.3"/>
  <cols>
    <col min="1" max="1" width="69.6640625" bestFit="1" customWidth="1"/>
    <col min="2" max="2" width="23.88671875" customWidth="1"/>
    <col min="3" max="3" width="13.88671875" bestFit="1" customWidth="1"/>
  </cols>
  <sheetData>
    <row r="1" spans="1:3" x14ac:dyDescent="0.3">
      <c r="A1" s="3" t="s">
        <v>150</v>
      </c>
      <c r="B1" s="3" t="s">
        <v>152</v>
      </c>
      <c r="C1" s="3" t="s">
        <v>151</v>
      </c>
    </row>
    <row r="2" spans="1:3" x14ac:dyDescent="0.3">
      <c r="A2" s="2" t="s">
        <v>10</v>
      </c>
      <c r="B2" s="2" t="s">
        <v>11</v>
      </c>
      <c r="C2">
        <v>0</v>
      </c>
    </row>
    <row r="3" spans="1:3" x14ac:dyDescent="0.3">
      <c r="A3" t="s">
        <v>20</v>
      </c>
      <c r="B3" t="s">
        <v>21</v>
      </c>
      <c r="C3">
        <v>1</v>
      </c>
    </row>
    <row r="4" spans="1:3" x14ac:dyDescent="0.3">
      <c r="A4" t="s">
        <v>22</v>
      </c>
      <c r="B4" t="s">
        <v>23</v>
      </c>
      <c r="C4">
        <v>0</v>
      </c>
    </row>
    <row r="5" spans="1:3" x14ac:dyDescent="0.3">
      <c r="A5" t="s">
        <v>0</v>
      </c>
      <c r="B5" t="s">
        <v>1</v>
      </c>
      <c r="C5">
        <v>1</v>
      </c>
    </row>
    <row r="6" spans="1:3" x14ac:dyDescent="0.3">
      <c r="A6" t="s">
        <v>24</v>
      </c>
      <c r="B6" t="s">
        <v>25</v>
      </c>
      <c r="C6">
        <v>0</v>
      </c>
    </row>
    <row r="7" spans="1:3" x14ac:dyDescent="0.3">
      <c r="A7" t="s">
        <v>2</v>
      </c>
      <c r="B7" t="s">
        <v>3</v>
      </c>
      <c r="C7">
        <v>1</v>
      </c>
    </row>
    <row r="8" spans="1:3" x14ac:dyDescent="0.3">
      <c r="A8" t="s">
        <v>26</v>
      </c>
      <c r="B8" t="s">
        <v>27</v>
      </c>
      <c r="C8">
        <v>0</v>
      </c>
    </row>
    <row r="9" spans="1:3" x14ac:dyDescent="0.3">
      <c r="A9" t="s">
        <v>19</v>
      </c>
      <c r="B9" t="s">
        <v>18</v>
      </c>
      <c r="C9">
        <v>1</v>
      </c>
    </row>
    <row r="10" spans="1:3" x14ac:dyDescent="0.3">
      <c r="A10" t="s">
        <v>28</v>
      </c>
      <c r="B10" t="s">
        <v>29</v>
      </c>
      <c r="C10">
        <v>0</v>
      </c>
    </row>
    <row r="11" spans="1:3" x14ac:dyDescent="0.3">
      <c r="A11" t="s">
        <v>30</v>
      </c>
      <c r="B11" t="s">
        <v>31</v>
      </c>
      <c r="C11">
        <v>0</v>
      </c>
    </row>
    <row r="12" spans="1:3" x14ac:dyDescent="0.3">
      <c r="A12" t="s">
        <v>32</v>
      </c>
      <c r="B12" t="s">
        <v>33</v>
      </c>
      <c r="C12">
        <v>0</v>
      </c>
    </row>
    <row r="13" spans="1:3" x14ac:dyDescent="0.3">
      <c r="A13" t="s">
        <v>12</v>
      </c>
      <c r="B13" t="s">
        <v>13</v>
      </c>
      <c r="C13">
        <v>1</v>
      </c>
    </row>
    <row r="14" spans="1:3" x14ac:dyDescent="0.3">
      <c r="A14" t="s">
        <v>4</v>
      </c>
      <c r="B14" t="s">
        <v>5</v>
      </c>
      <c r="C14">
        <v>0</v>
      </c>
    </row>
    <row r="15" spans="1:3" x14ac:dyDescent="0.3">
      <c r="A15" t="s">
        <v>78</v>
      </c>
      <c r="B15" t="s">
        <v>34</v>
      </c>
      <c r="C15">
        <v>1</v>
      </c>
    </row>
    <row r="16" spans="1:3" x14ac:dyDescent="0.3">
      <c r="A16" t="s">
        <v>14</v>
      </c>
      <c r="B16" t="s">
        <v>15</v>
      </c>
      <c r="C16">
        <v>1</v>
      </c>
    </row>
    <row r="17" spans="1:3" x14ac:dyDescent="0.3">
      <c r="A17" t="s">
        <v>35</v>
      </c>
      <c r="B17" t="s">
        <v>36</v>
      </c>
      <c r="C17">
        <v>1</v>
      </c>
    </row>
    <row r="18" spans="1:3" x14ac:dyDescent="0.3">
      <c r="A18" t="s">
        <v>37</v>
      </c>
      <c r="B18" t="s">
        <v>38</v>
      </c>
      <c r="C18">
        <v>1</v>
      </c>
    </row>
    <row r="19" spans="1:3" x14ac:dyDescent="0.3">
      <c r="A19" t="s">
        <v>39</v>
      </c>
      <c r="B19" t="s">
        <v>40</v>
      </c>
      <c r="C19">
        <v>1</v>
      </c>
    </row>
    <row r="20" spans="1:3" x14ac:dyDescent="0.3">
      <c r="A20" t="s">
        <v>41</v>
      </c>
      <c r="B20" t="s">
        <v>42</v>
      </c>
      <c r="C20">
        <v>1</v>
      </c>
    </row>
    <row r="21" spans="1:3" x14ac:dyDescent="0.3">
      <c r="A21" t="s">
        <v>43</v>
      </c>
      <c r="B21" t="s">
        <v>44</v>
      </c>
      <c r="C21">
        <v>1</v>
      </c>
    </row>
    <row r="22" spans="1:3" x14ac:dyDescent="0.3">
      <c r="A22" t="s">
        <v>45</v>
      </c>
      <c r="B22" t="s">
        <v>46</v>
      </c>
      <c r="C22">
        <v>0</v>
      </c>
    </row>
    <row r="23" spans="1:3" x14ac:dyDescent="0.3">
      <c r="A23" t="s">
        <v>47</v>
      </c>
      <c r="B23" t="s">
        <v>48</v>
      </c>
      <c r="C23">
        <v>1</v>
      </c>
    </row>
    <row r="24" spans="1:3" x14ac:dyDescent="0.3">
      <c r="A24" t="s">
        <v>49</v>
      </c>
      <c r="B24" t="s">
        <v>50</v>
      </c>
      <c r="C24">
        <v>1</v>
      </c>
    </row>
    <row r="25" spans="1:3" x14ac:dyDescent="0.3">
      <c r="A25" t="s">
        <v>8</v>
      </c>
      <c r="B25" t="s">
        <v>9</v>
      </c>
      <c r="C25">
        <v>0</v>
      </c>
    </row>
    <row r="26" spans="1:3" x14ac:dyDescent="0.3">
      <c r="A26" t="s">
        <v>7</v>
      </c>
      <c r="B26" t="s">
        <v>6</v>
      </c>
      <c r="C26">
        <v>0</v>
      </c>
    </row>
    <row r="27" spans="1:3" x14ac:dyDescent="0.3">
      <c r="A27" t="s">
        <v>51</v>
      </c>
      <c r="B27" t="s">
        <v>52</v>
      </c>
      <c r="C27">
        <v>1</v>
      </c>
    </row>
    <row r="28" spans="1:3" x14ac:dyDescent="0.3">
      <c r="A28" t="s">
        <v>17</v>
      </c>
      <c r="B28" t="s">
        <v>16</v>
      </c>
      <c r="C28">
        <v>1</v>
      </c>
    </row>
    <row r="29" spans="1:3" x14ac:dyDescent="0.3">
      <c r="A29" t="s">
        <v>53</v>
      </c>
      <c r="B29" t="s">
        <v>54</v>
      </c>
      <c r="C29">
        <v>1</v>
      </c>
    </row>
    <row r="30" spans="1:3" x14ac:dyDescent="0.3">
      <c r="A30" t="s">
        <v>55</v>
      </c>
      <c r="B30" t="s">
        <v>56</v>
      </c>
      <c r="C30">
        <v>0</v>
      </c>
    </row>
    <row r="31" spans="1:3" x14ac:dyDescent="0.3">
      <c r="A31" t="s">
        <v>57</v>
      </c>
      <c r="B31" t="s">
        <v>58</v>
      </c>
      <c r="C31">
        <v>0</v>
      </c>
    </row>
    <row r="32" spans="1:3" x14ac:dyDescent="0.3">
      <c r="A32" t="s">
        <v>59</v>
      </c>
      <c r="B32" t="s">
        <v>60</v>
      </c>
      <c r="C32">
        <v>0</v>
      </c>
    </row>
    <row r="33" spans="1:3" x14ac:dyDescent="0.3">
      <c r="A33" t="s">
        <v>61</v>
      </c>
      <c r="B33" t="s">
        <v>62</v>
      </c>
      <c r="C33">
        <v>0</v>
      </c>
    </row>
    <row r="34" spans="1:3" x14ac:dyDescent="0.3">
      <c r="A34" t="s">
        <v>63</v>
      </c>
      <c r="B34" t="s">
        <v>64</v>
      </c>
      <c r="C34">
        <v>0</v>
      </c>
    </row>
    <row r="35" spans="1:3" x14ac:dyDescent="0.3">
      <c r="A35" t="s">
        <v>65</v>
      </c>
      <c r="B35" t="s">
        <v>66</v>
      </c>
      <c r="C35">
        <v>0</v>
      </c>
    </row>
    <row r="36" spans="1:3" x14ac:dyDescent="0.3">
      <c r="A36" t="s">
        <v>67</v>
      </c>
      <c r="B36" t="s">
        <v>68</v>
      </c>
      <c r="C36">
        <v>0</v>
      </c>
    </row>
    <row r="37" spans="1:3" x14ac:dyDescent="0.3">
      <c r="A37" t="s">
        <v>69</v>
      </c>
      <c r="B37" t="s">
        <v>70</v>
      </c>
      <c r="C37">
        <v>0</v>
      </c>
    </row>
    <row r="38" spans="1:3" x14ac:dyDescent="0.3">
      <c r="A38" t="s">
        <v>71</v>
      </c>
      <c r="B38" t="s">
        <v>72</v>
      </c>
      <c r="C38">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PCS</vt:lpstr>
      <vt:lpstr>RONET</vt:lpstr>
      <vt:lpstr>Installation</vt:lpstr>
      <vt:lpstr>RONET_mirror</vt:lpstr>
      <vt:lpstr>AGGREGATE</vt:lpstr>
      <vt:lpstr>ROUGHNESS</vt:lpstr>
      <vt:lpstr>HAZARD</vt:lpstr>
      <vt:lpstr>POV</vt:lpstr>
      <vt:lpstr>CRITICALITY</vt:lpstr>
      <vt:lpstr>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Fox</dc:creator>
  <cp:lastModifiedBy>Charles Fox</cp:lastModifiedBy>
  <dcterms:created xsi:type="dcterms:W3CDTF">2017-07-25T13:57:56Z</dcterms:created>
  <dcterms:modified xsi:type="dcterms:W3CDTF">2017-10-16T11:57:15Z</dcterms:modified>
</cp:coreProperties>
</file>