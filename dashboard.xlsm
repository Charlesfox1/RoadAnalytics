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Analyti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 i="6" l="1"/>
  <c r="Q7" i="6"/>
  <c r="P8" i="6"/>
  <c r="Q8" i="6"/>
  <c r="P9" i="6"/>
  <c r="Q9" i="6"/>
  <c r="P10" i="6"/>
  <c r="Q10" i="6"/>
  <c r="Q6" i="6" l="1"/>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3" i="1" l="1"/>
  <c r="K82" i="1"/>
  <c r="K81" i="1"/>
  <c r="K80" i="1"/>
  <c r="M75" i="1"/>
  <c r="K75" i="1" s="1"/>
  <c r="D105" i="1"/>
  <c r="D111"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6"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6"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4"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4"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4"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4"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4"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2" authorId="0" shapeId="0">
      <text>
        <r>
          <rPr>
            <b/>
            <sz val="9"/>
            <color indexed="81"/>
            <rFont val="Tahoma"/>
            <family val="2"/>
          </rPr>
          <t>Charles Fox:</t>
        </r>
        <r>
          <rPr>
            <sz val="9"/>
            <color indexed="81"/>
            <rFont val="Tahoma"/>
            <family val="2"/>
          </rPr>
          <t xml:space="preserve">
factor contributing to per km cost of driving along the road</t>
        </r>
      </text>
    </comment>
    <comment ref="C109"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10"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<sst xmlns="http://schemas.openxmlformats.org/spreadsheetml/2006/main" count="572" uniqueCount="392">
  <si>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</si>
  <si>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</si>
  <si>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</si>
  <si>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</si>
  <si>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</si>
  <si>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</si>
  <si>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</si>
  <si>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</si>
  <si>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</si>
  <si>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</si>
  <si>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</si>
  <si>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</si>
  <si>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</si>
  <si>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</si>
  <si>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</si>
  <si>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</si>
  <si>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</si>
  <si>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</si>
  <si>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</si>
  <si>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</si>
  <si>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</si>
  <si>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</si>
  <si>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</si>
  <si>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</si>
  <si>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</si>
  <si>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</si>
  <si>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</si>
  <si>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</si>
  <si>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</si>
  <si>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</si>
  <si>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</si>
  <si>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</si>
  <si>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</si>
  <si>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</si>
  <si>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</si>
  <si>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</si>
  <si>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</si>
  <si>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</si>
  <si>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</si>
  <si>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</si>
  <si>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</si>
  <si>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</si>
  <si>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</si>
  <si>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</si>
  <si>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</si>
  <si>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</si>
  <si>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</si>
  <si>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</si>
  <si>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</si>
  <si>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</si>
  <si>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</si>
  <si>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</si>
  <si>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</si>
  <si>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</si>
  <si>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</si>
  <si>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</si>
  <si>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</si>
  <si>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</si>
  <si>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</si>
  <si>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</si>
  <si>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</si>
  <si>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</si>
  <si>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</si>
  <si>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</si>
  <si>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</si>
  <si>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</si>
  <si>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</si>
  <si>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</si>
  <si>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</si>
  <si>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</si>
  <si>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</si>
  <si>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</si>
  <si>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</si>
  <si>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</si>
  <si>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</si>
  <si>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</si>
  <si>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</si>
  <si>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</si>
  <si>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</si>
  <si>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</si>
  <si>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</si>
  <si>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</si>
  <si>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</si>
  <si>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</si>
  <si>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</si>
  <si>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</si>
  <si>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</si>
  <si>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</si>
  <si>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</si>
  <si>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</si>
  <si>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</si>
  <si>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</si>
  <si>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</si>
  <si>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</si>
  <si>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</si>
  <si>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</si>
  <si>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</si>
  <si>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</si>
  <si>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</si>
  <si>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</si>
  <si>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</si>
  <si>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</si>
  <si>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</si>
  <si>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</si>
  <si>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</si>
  <si>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</si>
  <si>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</si>
  <si>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</si>
  <si>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</si>
  <si>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</si>
  <si>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</si>
  <si>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</si>
  <si>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</si>
  <si>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</si>
  <si>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</si>
  <si>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</si>
  <si>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</si>
  <si>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</si>
  <si>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</si>
  <si>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</si>
  <si>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</si>
  <si>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</si>
  <si>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</si>
  <si>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</si>
  <si>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</si>
  <si>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</si>
  <si>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</si>
  <si>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</si>
  <si>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</si>
  <si>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</si>
  <si>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</si>
  <si>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</si>
  <si>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</si>
  <si>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</si>
  <si>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</si>
  <si>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</si>
  <si>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</si>
  <si>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</si>
  <si>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</si>
  <si>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</si>
  <si>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</si>
  <si>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</si>
  <si>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</si>
  <si>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</si>
  <si>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</si>
  <si>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</si>
  <si>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</si>
  <si>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</si>
  <si>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</si>
  <si>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</si>
  <si>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</si>
  <si>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</si>
  <si>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</si>
  <si>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</si>
  <si>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</si>
  <si>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</si>
  <si>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</si>
  <si>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</si>
  <si>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</si>
  <si>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</si>
  <si>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</si>
  <si>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</si>
  <si>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</si>
  <si>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</si>
  <si>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</si>
  <si>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</si>
  <si>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</si>
  <si>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</si>
  <si>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</si>
  <si>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</si>
  <si>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</si>
  <si>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</si>
  <si>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</si>
  <si>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</si>
  <si>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</si>
  <si>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</si>
  <si>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</si>
  <si>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</si>
  <si>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</si>
  <si>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</si>
  <si>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</si>
  <si>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</si>
  <si>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</si>
  <si>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</si>
  <si>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</si>
  <si>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</si>
  <si>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</si>
  <si>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</si>
  <si>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</si>
  <si>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</si>
  <si>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</si>
  <si>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</si>
  <si>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</si>
  <si>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</si>
  <si>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</si>
  <si>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</si>
  <si>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</si>
  <si>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</si>
  <si>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</si>
  <si>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</si>
  <si>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</si>
  <si>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</si>
  <si>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</si>
  <si>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</si>
  <si>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</si>
  <si>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</si>
  <si>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</si>
  <si>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</si>
  <si>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</si>
  <si>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</si>
  <si>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</si>
  <si>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</si>
  <si>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</si>
  <si>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</si>
  <si>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</si>
  <si>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</si>
  <si>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</si>
  <si>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</si>
  <si>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</si>
  <si>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</si>
  <si>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</si>
  <si>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</si>
  <si>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</si>
  <si>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</si>
  <si>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</si>
  <si>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</si>
  <si>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</si>
  <si>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</si>
  <si>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</si>
  <si>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</si>
  <si>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</si>
  <si>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</si>
  <si>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</si>
  <si>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</si>
  <si>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</si>
  <si>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</si>
  <si>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</si>
  <si>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</si>
  <si>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</si>
  <si>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</si>
  <si>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</si>
  <si>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</si>
  <si>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</si>
  <si>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</si>
  <si>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</si>
  <si>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</si>
  <si>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</si>
  <si>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</si>
  <si>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</si>
  <si>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</si>
  <si>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</si>
  <si>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</si>
  <si>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</si>
  <si>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</si>
  <si>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</si>
  <si>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</si>
  <si>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</si>
  <si>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</si>
  <si>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</si>
  <si>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</si>
  <si>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</si>
  <si>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</si>
  <si>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</si>
  <si>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</si>
  <si>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</si>
  <si>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</si>
  <si>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</si>
  <si>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</si>
  <si>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</si>
  <si>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</si>
  <si>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</si>
  <si>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</si>
  <si>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</si>
  <si>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</si>
  <si>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</si>
  <si>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</si>
  <si>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</si>
  <si>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</si>
  <si>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</si>
  <si>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</si>
  <si>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</si>
  <si>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</si>
  <si>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</si>
  <si>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</si>
  <si>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</si>
  <si>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</si>
  <si>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</si>
  <si>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</si>
  <si>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</si>
  <si>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</si>
  <si>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</si>
  <si>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</si>
  <si>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</si>
  <si>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</si>
  <si>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</si>
  <si>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</si>
  <si>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</si>
  <si>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</si>
  <si>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</si>
  <si>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</si>
  <si>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</si>
  <si>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</si>
  <si>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</si>
  <si>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</si>
  <si>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</si>
  <si>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</si>
  <si>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</si>
  <si>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</si>
  <si>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</si>
  <si>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</si>
  <si>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</si>
  <si>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</si>
  <si>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</si>
  <si>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</si>
  <si>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</si>
  <si>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</si>
  <si>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</si>
  <si>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</si>
  <si>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</si>
  <si>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</si>
  <si>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</si>
  <si>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</si>
  <si>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</si>
  <si>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</si>
  <si>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</si>
  <si>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</si>
  <si>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</si>
  <si>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</si>
  <si>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</si>
  <si>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</si>
  <si>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</si>
  <si>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</si>
  <si>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</si>
  <si>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</si>
  <si>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</si>
  <si>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</si>
  <si>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</si>
  <si>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</si>
  <si>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</si>
  <si>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</si>
  <si>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</si>
  <si>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</si>
  <si>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</si>
  <si>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</si>
  <si>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</si>
  <si>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</si>
  <si>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</si>
  <si>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</si>
  <si>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</si>
  <si>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</si>
  <si>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</si>
  <si>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</si>
  <si>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</si>
  <si>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</si>
  <si>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</si>
  <si>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</si>
  <si>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</si>
  <si>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</si>
  <si>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</si>
  <si>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</si>
  <si>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</si>
  <si>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</si>
  <si>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</si>
  <si>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</si>
  <si>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</si>
  <si>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</si>
  <si>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</si>
  <si>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</si>
  <si>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</si>
  <si>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</si>
  <si>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</si>
  <si>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</si>
  <si>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DISTRICT</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</si>
  <si>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</si>
  <si>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</si>
  <si>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</si>
  <si>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</si>
  <si>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</si>
  <si>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</si>
  <si>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</si>
  <si>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</si>
  <si>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</si>
  <si>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</si>
  <si>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</si>
  <si>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</si>
  <si>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</si>
  <si>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</si>
  <si>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</si>
  <si>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</si>
  <si>
    <t>TT</t>
  </si>
  <si>
    <t>Destinations</t>
  </si>
  <si>
    <t>Health_Facilities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</si>
</sst>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4">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6" fillId="19" borderId="5" xfId="0" applyFont="1" applyFill="1" applyBorder="1"/>
    <xf numFmtId="1" fontId="27" fillId="0" borderId="61" xfId="0" applyNumberFormat="1" applyFont="1" applyBorder="1"/>
    <xf numFmtId="1" fontId="27" fillId="0" borderId="62" xfId="0" applyNumberFormat="1" applyFont="1" applyBorder="1"/>
    <xf numFmtId="1" fontId="27" fillId="0" borderId="63" xfId="0" applyNumberFormat="1" applyFont="1" applyBorder="1"/>
    <xf numFmtId="1" fontId="27" fillId="0" borderId="64" xfId="0" applyNumberFormat="1" applyFont="1" applyBorder="1"/>
    <xf numFmtId="0" fontId="30" fillId="13" borderId="0" xfId="0" applyFont="1" applyFill="1" applyBorder="1" applyAlignment="1">
      <alignment horizontal="center"/>
    </xf>
    <xf numFmtId="0" fontId="30" fillId="13" borderId="0" xfId="0" applyFont="1" applyFill="1" applyAlignment="1">
      <alignment horizontal="center"/>
    </xf>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 fontId="27" fillId="0" borderId="65" xfId="0" applyNumberFormat="1" applyFont="1" applyBorder="1"/>
    <xf numFmtId="1" fontId="27" fillId="0" borderId="66" xfId="0" applyNumberFormat="1" applyFont="1" applyBorder="1"/>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7" fillId="14" borderId="67" xfId="0" applyFont="1" applyFill="1" applyBorder="1"/>
    <xf numFmtId="0" fontId="27" fillId="14" borderId="68" xfId="0" applyFont="1" applyFill="1" applyBorder="1"/>
    <xf numFmtId="0" fontId="27" fillId="14" borderId="69" xfId="0" applyFont="1" applyFill="1" applyBorder="1"/>
    <xf numFmtId="0" fontId="27" fillId="14" borderId="70" xfId="0" applyFont="1" applyFill="1" applyBorder="1"/>
    <xf numFmtId="1" fontId="27" fillId="0" borderId="0" xfId="0" applyNumberFormat="1" applyFont="1" applyBorder="1"/>
    <xf numFmtId="0" fontId="27" fillId="14" borderId="71" xfId="0" applyFont="1" applyFill="1" applyBorder="1"/>
    <xf numFmtId="0" fontId="27" fillId="14" borderId="72" xfId="0"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167" fontId="28" fillId="2" borderId="1" xfId="0" applyNumberFormat="1" applyFont="1" applyFill="1" applyBorder="1" applyAlignment="1">
      <alignment horizontal="center"/>
    </xf>
    <xf numFmtId="0" fontId="28" fillId="2" borderId="5" xfId="0" applyFont="1" applyFill="1" applyBorder="1" applyAlignment="1">
      <alignment horizontal="left"/>
    </xf>
    <xf numFmtId="9" fontId="33" fillId="0" borderId="0" xfId="0" applyNumberFormat="1" applyFont="1" applyFill="1" applyBorder="1"/>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9" fontId="34" fillId="0" borderId="0" xfId="0" applyNumberFormat="1" applyFont="1" applyBorder="1" applyAlignment="1">
      <alignment horizontal="center"/>
    </xf>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0.25</c:v>
                </c:pt>
                <c:pt idx="1">
                  <c:v>0.25</c:v>
                </c:pt>
                <c:pt idx="2">
                  <c:v>0.25</c:v>
                </c:pt>
                <c:pt idx="3">
                  <c:v>0</c:v>
                </c:pt>
                <c:pt idx="4">
                  <c:v>0.25</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107</xdr:row>
          <xdr:rowOff>76200</xdr:rowOff>
        </xdr:from>
        <xdr:to>
          <xdr:col>6</xdr:col>
          <xdr:colOff>1348740</xdr:colOff>
          <xdr:row>110</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79</xdr:row>
          <xdr:rowOff>68580</xdr:rowOff>
        </xdr:from>
        <xdr:to>
          <xdr:col>12</xdr:col>
          <xdr:colOff>1028700</xdr:colOff>
          <xdr:row>82</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7"/>
  <sheetViews>
    <sheetView showGridLines="0" tabSelected="1" topLeftCell="A13" zoomScale="70" zoomScaleNormal="70" workbookViewId="0">
      <selection activeCell="K98" sqref="K98"/>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371</v>
      </c>
      <c r="C3" s="79"/>
      <c r="D3" s="80" t="s">
        <v>389</v>
      </c>
    </row>
    <row r="4" spans="1:15" ht="19.8" customHeight="1" x14ac:dyDescent="0.3">
      <c r="B4" s="78" t="s">
        <v>214</v>
      </c>
      <c r="C4" s="79"/>
      <c r="D4" s="81" t="s">
        <v>357</v>
      </c>
      <c r="E4" s="77" t="s">
        <v>194</v>
      </c>
    </row>
    <row r="5" spans="1:15" ht="19.8" customHeight="1" x14ac:dyDescent="0.3">
      <c r="B5" s="78" t="s">
        <v>388</v>
      </c>
      <c r="C5" s="79"/>
      <c r="D5" s="81" t="s">
        <v>387</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0.25</v>
      </c>
      <c r="N14" s="94"/>
    </row>
    <row r="15" spans="1:15" x14ac:dyDescent="0.3">
      <c r="B15" s="89"/>
      <c r="C15" s="102" t="s">
        <v>0</v>
      </c>
      <c r="D15" s="103">
        <v>0.1</v>
      </c>
      <c r="E15" s="90"/>
      <c r="F15" s="90"/>
      <c r="G15" s="90"/>
      <c r="H15" s="91"/>
      <c r="J15" s="92"/>
      <c r="K15" s="92" t="s">
        <v>182</v>
      </c>
      <c r="L15" s="104"/>
      <c r="M15" s="105">
        <v>0.25</v>
      </c>
      <c r="N15" s="94"/>
    </row>
    <row r="16" spans="1:15" x14ac:dyDescent="0.3">
      <c r="B16" s="89"/>
      <c r="C16" s="102" t="s">
        <v>2</v>
      </c>
      <c r="D16" s="103">
        <v>0.1</v>
      </c>
      <c r="E16" s="90"/>
      <c r="F16" s="90"/>
      <c r="G16" s="90"/>
      <c r="H16" s="91"/>
      <c r="J16" s="92"/>
      <c r="K16" s="92" t="s">
        <v>183</v>
      </c>
      <c r="L16" s="104"/>
      <c r="M16" s="105">
        <v>0.25</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0.25</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17</v>
      </c>
      <c r="D22" s="103">
        <v>0.3</v>
      </c>
      <c r="E22" s="90"/>
      <c r="F22" s="113"/>
      <c r="G22" s="114"/>
      <c r="H22" s="91"/>
      <c r="J22" s="92"/>
      <c r="K22" s="93"/>
      <c r="L22" s="93"/>
      <c r="M22" s="93"/>
      <c r="N22" s="94"/>
    </row>
    <row r="23" spans="2:14" x14ac:dyDescent="0.3">
      <c r="B23" s="89"/>
      <c r="C23" s="115" t="s">
        <v>78</v>
      </c>
      <c r="D23" s="116">
        <v>0.05</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112</v>
      </c>
      <c r="F40" s="133">
        <v>50</v>
      </c>
      <c r="G40" s="129"/>
      <c r="H40" s="130"/>
      <c r="J40" s="92"/>
      <c r="K40" s="93"/>
      <c r="L40" s="93"/>
      <c r="M40" s="93"/>
      <c r="N40" s="94"/>
    </row>
    <row r="41" spans="2:14" x14ac:dyDescent="0.3">
      <c r="B41" s="128"/>
      <c r="C41" s="102" t="s">
        <v>82</v>
      </c>
      <c r="D41" s="103">
        <v>0.01</v>
      </c>
      <c r="E41" s="103" t="s">
        <v>112</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373</v>
      </c>
      <c r="D63" s="162"/>
      <c r="E63" s="93"/>
      <c r="H63" s="157"/>
      <c r="J63" s="158"/>
      <c r="K63" s="159" t="s">
        <v>174</v>
      </c>
      <c r="L63" s="159"/>
      <c r="M63" s="159"/>
      <c r="N63" s="160"/>
    </row>
    <row r="64" spans="2:14" x14ac:dyDescent="0.3">
      <c r="B64" s="156"/>
      <c r="C64" s="163"/>
      <c r="D64" s="164" t="s">
        <v>374</v>
      </c>
      <c r="E64" s="93"/>
      <c r="H64" s="157"/>
      <c r="J64" s="158"/>
      <c r="K64" s="159"/>
      <c r="L64" s="159"/>
      <c r="M64" s="159"/>
      <c r="N64" s="160"/>
    </row>
    <row r="65" spans="2:14" x14ac:dyDescent="0.3">
      <c r="B65" s="156"/>
      <c r="C65" s="165" t="s">
        <v>378</v>
      </c>
      <c r="D65" s="103" t="s">
        <v>375</v>
      </c>
      <c r="E65" s="93"/>
      <c r="H65" s="157"/>
      <c r="J65" s="158"/>
      <c r="K65" s="159" t="s">
        <v>180</v>
      </c>
      <c r="L65" s="159"/>
      <c r="M65" s="159"/>
      <c r="N65" s="160"/>
    </row>
    <row r="66" spans="2:14" x14ac:dyDescent="0.3">
      <c r="B66" s="156"/>
      <c r="C66" s="165" t="s">
        <v>379</v>
      </c>
      <c r="D66" s="103" t="s">
        <v>375</v>
      </c>
      <c r="E66" s="93"/>
      <c r="H66" s="157"/>
      <c r="J66" s="158"/>
      <c r="K66" s="159"/>
      <c r="L66" s="159"/>
      <c r="M66" s="159"/>
      <c r="N66" s="160"/>
    </row>
    <row r="67" spans="2:14" x14ac:dyDescent="0.3">
      <c r="B67" s="156"/>
      <c r="C67" s="165" t="s">
        <v>380</v>
      </c>
      <c r="D67" s="103" t="s">
        <v>375</v>
      </c>
      <c r="E67" s="93"/>
      <c r="F67" s="93"/>
      <c r="G67" s="93"/>
      <c r="H67" s="157"/>
      <c r="J67" s="158"/>
      <c r="K67" s="159"/>
      <c r="L67" s="159"/>
      <c r="M67" s="159"/>
      <c r="N67" s="160"/>
    </row>
    <row r="68" spans="2:14" x14ac:dyDescent="0.3">
      <c r="B68" s="156"/>
      <c r="C68" s="165" t="s">
        <v>381</v>
      </c>
      <c r="D68" s="103" t="s">
        <v>375</v>
      </c>
      <c r="E68" s="93"/>
      <c r="F68" s="166"/>
      <c r="G68" s="167"/>
      <c r="H68" s="157"/>
      <c r="J68" s="158"/>
      <c r="K68" s="159"/>
      <c r="L68" s="159"/>
      <c r="M68" s="159"/>
      <c r="N68" s="160"/>
    </row>
    <row r="69" spans="2:14" x14ac:dyDescent="0.3">
      <c r="B69" s="156"/>
      <c r="C69" s="165" t="s">
        <v>382</v>
      </c>
      <c r="D69" s="103" t="s">
        <v>375</v>
      </c>
      <c r="E69" s="93"/>
      <c r="F69" s="168"/>
      <c r="G69" s="169"/>
      <c r="H69" s="157"/>
      <c r="J69" s="158"/>
      <c r="K69" s="170" t="s">
        <v>166</v>
      </c>
      <c r="L69" s="171"/>
      <c r="M69" s="170" t="s">
        <v>73</v>
      </c>
      <c r="N69" s="160"/>
    </row>
    <row r="70" spans="2:14" x14ac:dyDescent="0.3">
      <c r="B70" s="156"/>
      <c r="C70" s="165" t="s">
        <v>383</v>
      </c>
      <c r="D70" s="103" t="s">
        <v>375</v>
      </c>
      <c r="E70" s="93"/>
      <c r="F70" s="168"/>
      <c r="G70" s="169"/>
      <c r="H70" s="157"/>
      <c r="J70" s="158"/>
      <c r="K70" s="172" t="s">
        <v>175</v>
      </c>
      <c r="L70" s="173"/>
      <c r="M70" s="103">
        <v>0.6</v>
      </c>
      <c r="N70" s="160"/>
    </row>
    <row r="71" spans="2:14" x14ac:dyDescent="0.3">
      <c r="B71" s="156"/>
      <c r="C71" s="165" t="s">
        <v>384</v>
      </c>
      <c r="D71" s="103" t="s">
        <v>375</v>
      </c>
      <c r="E71" s="93"/>
      <c r="F71" s="174"/>
      <c r="G71" s="175"/>
      <c r="H71" s="157"/>
      <c r="J71" s="158"/>
      <c r="K71" s="172" t="s">
        <v>177</v>
      </c>
      <c r="L71" s="173"/>
      <c r="M71" s="103">
        <v>0.1</v>
      </c>
      <c r="N71" s="160"/>
    </row>
    <row r="72" spans="2:14" x14ac:dyDescent="0.3">
      <c r="B72" s="156"/>
      <c r="C72" s="165" t="s">
        <v>391</v>
      </c>
      <c r="D72" s="103" t="s">
        <v>375</v>
      </c>
      <c r="E72" s="93"/>
      <c r="F72" s="184"/>
      <c r="G72" s="184"/>
      <c r="H72" s="157"/>
      <c r="J72" s="158"/>
      <c r="K72" s="172"/>
      <c r="L72" s="173"/>
      <c r="M72" s="103"/>
      <c r="N72" s="160"/>
    </row>
    <row r="73" spans="2:14" x14ac:dyDescent="0.3">
      <c r="B73" s="156"/>
      <c r="C73" s="165" t="s">
        <v>385</v>
      </c>
      <c r="D73" s="103" t="s">
        <v>375</v>
      </c>
      <c r="E73" s="93"/>
      <c r="F73" s="93"/>
      <c r="G73" s="93"/>
      <c r="H73" s="157"/>
      <c r="J73" s="158"/>
      <c r="K73" s="172" t="s">
        <v>178</v>
      </c>
      <c r="L73" s="173"/>
      <c r="M73" s="103">
        <v>0.2</v>
      </c>
      <c r="N73" s="160"/>
    </row>
    <row r="74" spans="2:14" x14ac:dyDescent="0.3">
      <c r="B74" s="156"/>
      <c r="C74" s="93"/>
      <c r="D74" s="93"/>
      <c r="E74" s="93"/>
      <c r="F74" s="93"/>
      <c r="G74" s="93"/>
      <c r="H74" s="157"/>
      <c r="J74" s="158"/>
      <c r="K74" s="172" t="s">
        <v>179</v>
      </c>
      <c r="L74" s="173"/>
      <c r="M74" s="103">
        <v>0.1</v>
      </c>
      <c r="N74" s="160"/>
    </row>
    <row r="75" spans="2:14" x14ac:dyDescent="0.3">
      <c r="B75" s="156"/>
      <c r="C75" s="161" t="s">
        <v>157</v>
      </c>
      <c r="D75" s="162"/>
      <c r="E75" s="93"/>
      <c r="F75" s="93"/>
      <c r="G75" s="93"/>
      <c r="H75" s="157"/>
      <c r="J75" s="158"/>
      <c r="K75" s="176" t="str">
        <f>IF(M75=1,"OK","ERROR! Ensure Weighting total = 100%")</f>
        <v>OK</v>
      </c>
      <c r="L75" s="159"/>
      <c r="M75" s="177">
        <f>SUM(M70:M74)</f>
        <v>0.99999999999999989</v>
      </c>
      <c r="N75" s="160"/>
    </row>
    <row r="76" spans="2:14" x14ac:dyDescent="0.3">
      <c r="B76" s="156"/>
      <c r="C76" s="163" t="s">
        <v>158</v>
      </c>
      <c r="D76" s="164" t="s">
        <v>159</v>
      </c>
      <c r="E76" s="93"/>
      <c r="F76" s="93"/>
      <c r="G76" s="93"/>
      <c r="H76" s="157"/>
      <c r="J76" s="158"/>
      <c r="K76" s="176"/>
      <c r="L76" s="159"/>
      <c r="M76" s="177"/>
      <c r="N76" s="160"/>
    </row>
    <row r="77" spans="2:14" x14ac:dyDescent="0.3">
      <c r="B77" s="156"/>
      <c r="C77" s="102" t="s">
        <v>162</v>
      </c>
      <c r="D77" s="103" t="s">
        <v>163</v>
      </c>
      <c r="E77" s="93"/>
      <c r="F77" s="93"/>
      <c r="G77" s="93"/>
      <c r="H77" s="157"/>
      <c r="J77" s="158"/>
      <c r="K77" s="176"/>
      <c r="L77" s="159"/>
      <c r="M77" s="177"/>
      <c r="N77" s="160"/>
    </row>
    <row r="78" spans="2:14" x14ac:dyDescent="0.3">
      <c r="B78" s="156"/>
      <c r="C78" s="102"/>
      <c r="D78" s="103"/>
      <c r="E78" s="93"/>
      <c r="F78" s="93"/>
      <c r="G78" s="93"/>
      <c r="H78" s="157"/>
      <c r="J78" s="158"/>
      <c r="K78" s="178"/>
      <c r="L78" s="159"/>
      <c r="M78" s="159"/>
      <c r="N78" s="160"/>
    </row>
    <row r="79" spans="2:14" x14ac:dyDescent="0.3">
      <c r="B79" s="156"/>
      <c r="C79" s="102"/>
      <c r="D79" s="103"/>
      <c r="E79" s="93"/>
      <c r="F79" s="93"/>
      <c r="G79" s="93"/>
      <c r="H79" s="157"/>
      <c r="J79" s="158"/>
      <c r="K79" s="179" t="s">
        <v>176</v>
      </c>
      <c r="L79" s="159"/>
      <c r="M79" s="159"/>
      <c r="N79" s="160"/>
    </row>
    <row r="80" spans="2:14" x14ac:dyDescent="0.3">
      <c r="B80" s="156"/>
      <c r="C80" s="102"/>
      <c r="D80" s="103"/>
      <c r="E80" s="93"/>
      <c r="F80" s="93"/>
      <c r="G80" s="93"/>
      <c r="H80" s="157"/>
      <c r="J80" s="158"/>
      <c r="K80" s="178" t="str">
        <f>"          "&amp;M70&amp;" * "&amp;K70&amp;" +"</f>
        <v xml:space="preserve">          0.6 * Median IRI +</v>
      </c>
      <c r="L80" s="180"/>
      <c r="M80" s="181"/>
      <c r="N80" s="160"/>
    </row>
    <row r="81" spans="2:14" x14ac:dyDescent="0.3">
      <c r="B81" s="156"/>
      <c r="C81" s="102"/>
      <c r="D81" s="103"/>
      <c r="E81" s="93"/>
      <c r="F81" s="93"/>
      <c r="G81" s="93"/>
      <c r="H81" s="157"/>
      <c r="J81" s="158"/>
      <c r="K81" s="178" t="str">
        <f>"          "&amp;M71&amp;" * "&amp;K71&amp;" +"</f>
        <v xml:space="preserve">          0.1 * Minimum IRI  +</v>
      </c>
      <c r="L81" s="182"/>
      <c r="M81" s="183"/>
      <c r="N81" s="160"/>
    </row>
    <row r="82" spans="2:14" x14ac:dyDescent="0.3">
      <c r="B82" s="156"/>
      <c r="C82" s="93"/>
      <c r="D82" s="93"/>
      <c r="E82" s="184"/>
      <c r="F82" s="184"/>
      <c r="G82" s="184"/>
      <c r="H82" s="157"/>
      <c r="J82" s="158"/>
      <c r="K82" s="178" t="str">
        <f>"          "&amp;M73&amp;" * "&amp;K73&amp;" +"</f>
        <v xml:space="preserve">          0.2 * Maximum IRI +</v>
      </c>
      <c r="L82" s="182"/>
      <c r="M82" s="183"/>
      <c r="N82" s="160"/>
    </row>
    <row r="83" spans="2:14" x14ac:dyDescent="0.3">
      <c r="B83" s="156"/>
      <c r="C83" s="161" t="s">
        <v>390</v>
      </c>
      <c r="D83" s="162"/>
      <c r="E83" s="162"/>
      <c r="F83" s="162"/>
      <c r="G83" s="162"/>
      <c r="H83" s="157"/>
      <c r="J83" s="158"/>
      <c r="K83" s="178" t="str">
        <f>"          "&amp;M74&amp;" * "&amp;K74&amp;" )"</f>
        <v xml:space="preserve">          0.1 * Mean IRI )</v>
      </c>
      <c r="L83" s="185"/>
      <c r="M83" s="186"/>
      <c r="N83" s="160"/>
    </row>
    <row r="84" spans="2:14" x14ac:dyDescent="0.3">
      <c r="B84" s="156"/>
      <c r="C84" s="163" t="s">
        <v>158</v>
      </c>
      <c r="D84" s="164" t="s">
        <v>159</v>
      </c>
      <c r="E84" s="164" t="s">
        <v>160</v>
      </c>
      <c r="F84" s="164" t="s">
        <v>161</v>
      </c>
      <c r="G84" s="164" t="s">
        <v>204</v>
      </c>
      <c r="H84" s="157"/>
      <c r="J84" s="187"/>
      <c r="K84" s="188"/>
      <c r="L84" s="188"/>
      <c r="M84" s="188"/>
      <c r="N84" s="189"/>
    </row>
    <row r="85" spans="2:14" x14ac:dyDescent="0.3">
      <c r="B85" s="156"/>
      <c r="C85" s="102" t="s">
        <v>162</v>
      </c>
      <c r="D85" s="103" t="s">
        <v>163</v>
      </c>
      <c r="E85" s="190">
        <v>100</v>
      </c>
      <c r="F85" s="173">
        <v>50</v>
      </c>
      <c r="G85" s="173">
        <v>1</v>
      </c>
      <c r="H85" s="157"/>
    </row>
    <row r="86" spans="2:14" x14ac:dyDescent="0.3">
      <c r="B86" s="156"/>
      <c r="C86" s="102" t="s">
        <v>381</v>
      </c>
      <c r="D86" s="103" t="s">
        <v>262</v>
      </c>
      <c r="E86" s="190">
        <v>200</v>
      </c>
      <c r="F86" s="173">
        <v>20</v>
      </c>
      <c r="G86" s="173">
        <v>2</v>
      </c>
      <c r="H86" s="157"/>
    </row>
    <row r="87" spans="2:14" x14ac:dyDescent="0.3">
      <c r="B87" s="156"/>
      <c r="C87" s="102" t="s">
        <v>380</v>
      </c>
      <c r="D87" s="103" t="s">
        <v>262</v>
      </c>
      <c r="E87" s="190">
        <v>50</v>
      </c>
      <c r="F87" s="173">
        <v>10</v>
      </c>
      <c r="G87" s="173">
        <v>1</v>
      </c>
      <c r="H87" s="157"/>
    </row>
    <row r="88" spans="2:14" x14ac:dyDescent="0.3">
      <c r="B88" s="156"/>
      <c r="C88" s="102" t="s">
        <v>391</v>
      </c>
      <c r="D88" s="103" t="s">
        <v>262</v>
      </c>
      <c r="E88" s="190">
        <v>1000</v>
      </c>
      <c r="F88" s="173">
        <v>2</v>
      </c>
      <c r="G88" s="173">
        <v>5</v>
      </c>
      <c r="H88" s="157"/>
    </row>
    <row r="89" spans="2:14" x14ac:dyDescent="0.3">
      <c r="B89" s="156"/>
      <c r="C89" s="102"/>
      <c r="D89" s="103"/>
      <c r="E89" s="190"/>
      <c r="F89" s="173"/>
      <c r="G89" s="173"/>
      <c r="H89" s="157"/>
    </row>
    <row r="90" spans="2:14" x14ac:dyDescent="0.3">
      <c r="B90" s="156"/>
      <c r="C90" s="93"/>
      <c r="D90" s="93"/>
      <c r="E90" s="184"/>
      <c r="F90" s="184"/>
      <c r="G90" s="184"/>
      <c r="H90" s="157"/>
    </row>
    <row r="91" spans="2:14" x14ac:dyDescent="0.3">
      <c r="B91" s="156"/>
      <c r="C91" s="161" t="s">
        <v>207</v>
      </c>
      <c r="D91" s="162"/>
      <c r="E91" s="162"/>
      <c r="F91" s="184"/>
      <c r="G91" s="184"/>
      <c r="H91" s="157"/>
    </row>
    <row r="92" spans="2:14" x14ac:dyDescent="0.3">
      <c r="B92" s="156"/>
      <c r="C92" s="163" t="s">
        <v>208</v>
      </c>
      <c r="D92" s="164" t="s">
        <v>209</v>
      </c>
      <c r="E92" s="164" t="s">
        <v>210</v>
      </c>
      <c r="F92" s="184" t="s">
        <v>194</v>
      </c>
      <c r="G92" s="184"/>
      <c r="H92" s="157"/>
    </row>
    <row r="93" spans="2:14" x14ac:dyDescent="0.3">
      <c r="B93" s="156"/>
      <c r="C93" s="191">
        <v>1</v>
      </c>
      <c r="D93" s="102" t="s">
        <v>162</v>
      </c>
      <c r="E93" s="102" t="s">
        <v>162</v>
      </c>
      <c r="F93" s="184" t="s">
        <v>194</v>
      </c>
      <c r="G93" s="184"/>
      <c r="H93" s="157"/>
    </row>
    <row r="94" spans="2:14" x14ac:dyDescent="0.3">
      <c r="B94" s="156"/>
      <c r="C94" s="191">
        <v>2</v>
      </c>
      <c r="D94" s="102" t="s">
        <v>162</v>
      </c>
      <c r="E94" s="102" t="s">
        <v>381</v>
      </c>
      <c r="F94" s="184" t="s">
        <v>194</v>
      </c>
      <c r="G94" s="184"/>
      <c r="H94" s="157"/>
    </row>
    <row r="95" spans="2:14" x14ac:dyDescent="0.3">
      <c r="B95" s="156"/>
      <c r="C95" s="191">
        <v>3</v>
      </c>
      <c r="D95" s="102" t="s">
        <v>162</v>
      </c>
      <c r="E95" s="102" t="s">
        <v>380</v>
      </c>
      <c r="F95" s="184" t="s">
        <v>194</v>
      </c>
      <c r="G95" s="184"/>
      <c r="H95" s="157"/>
    </row>
    <row r="96" spans="2:14" x14ac:dyDescent="0.3">
      <c r="B96" s="156"/>
      <c r="C96" s="191">
        <v>4</v>
      </c>
      <c r="D96" s="102" t="s">
        <v>162</v>
      </c>
      <c r="E96" s="102" t="s">
        <v>391</v>
      </c>
      <c r="F96" s="184" t="s">
        <v>194</v>
      </c>
      <c r="G96" s="184"/>
      <c r="H96" s="157"/>
    </row>
    <row r="97" spans="2:14" x14ac:dyDescent="0.3">
      <c r="B97" s="156"/>
      <c r="C97" s="191">
        <v>5</v>
      </c>
      <c r="D97" s="102"/>
      <c r="E97" s="102"/>
      <c r="F97" s="184" t="s">
        <v>194</v>
      </c>
      <c r="G97" s="184"/>
      <c r="H97" s="157"/>
    </row>
    <row r="98" spans="2:14" x14ac:dyDescent="0.3">
      <c r="B98" s="156"/>
      <c r="C98" s="191">
        <v>6</v>
      </c>
      <c r="D98" s="102"/>
      <c r="E98" s="102"/>
      <c r="F98" s="184" t="s">
        <v>386</v>
      </c>
      <c r="G98" s="184"/>
      <c r="H98" s="157"/>
    </row>
    <row r="99" spans="2:14" x14ac:dyDescent="0.3">
      <c r="B99" s="156"/>
      <c r="C99" s="93"/>
      <c r="D99" s="93"/>
      <c r="E99" s="184"/>
      <c r="F99" s="184"/>
      <c r="G99" s="184"/>
      <c r="H99" s="157"/>
      <c r="J99" s="111"/>
      <c r="K99" s="192"/>
      <c r="L99" s="111"/>
      <c r="M99" s="111"/>
      <c r="N99" s="111"/>
    </row>
    <row r="100" spans="2:14" x14ac:dyDescent="0.3">
      <c r="B100" s="156"/>
      <c r="C100" s="193" t="s">
        <v>168</v>
      </c>
      <c r="D100" s="184"/>
      <c r="E100" s="184"/>
      <c r="F100" s="184"/>
      <c r="G100" s="184"/>
      <c r="H100" s="157"/>
      <c r="J100" s="111"/>
      <c r="K100" s="192"/>
      <c r="L100" s="111"/>
      <c r="M100" s="111"/>
      <c r="N100" s="111"/>
    </row>
    <row r="101" spans="2:14" x14ac:dyDescent="0.3">
      <c r="B101" s="156"/>
      <c r="C101" s="93" t="s">
        <v>172</v>
      </c>
      <c r="D101" s="93"/>
      <c r="E101" s="184"/>
      <c r="F101" s="184"/>
      <c r="G101" s="184"/>
      <c r="H101" s="157"/>
      <c r="J101" s="111"/>
      <c r="K101" s="192"/>
      <c r="L101" s="111"/>
      <c r="M101" s="111"/>
      <c r="N101" s="111"/>
    </row>
    <row r="102" spans="2:14" x14ac:dyDescent="0.3">
      <c r="B102" s="156"/>
      <c r="C102" s="163" t="s">
        <v>158</v>
      </c>
      <c r="D102" s="163"/>
      <c r="E102" s="164" t="s">
        <v>166</v>
      </c>
      <c r="F102" s="184"/>
      <c r="G102" s="184"/>
      <c r="H102" s="157"/>
      <c r="J102" s="111"/>
      <c r="K102" s="192"/>
      <c r="L102" s="111"/>
      <c r="M102" s="111"/>
      <c r="N102" s="111"/>
    </row>
    <row r="103" spans="2:14" x14ac:dyDescent="0.3">
      <c r="B103" s="156"/>
      <c r="C103" s="102" t="s">
        <v>170</v>
      </c>
      <c r="D103" s="103"/>
      <c r="E103" s="194">
        <v>0.5</v>
      </c>
      <c r="F103" s="184"/>
      <c r="G103" s="184"/>
      <c r="H103" s="157"/>
      <c r="J103" s="111"/>
      <c r="K103" s="192"/>
      <c r="L103" s="111"/>
      <c r="M103" s="111"/>
      <c r="N103" s="111"/>
    </row>
    <row r="104" spans="2:14" x14ac:dyDescent="0.3">
      <c r="B104" s="156"/>
      <c r="C104" s="102" t="s">
        <v>169</v>
      </c>
      <c r="D104" s="103"/>
      <c r="E104" s="194">
        <v>0.2</v>
      </c>
      <c r="F104" s="184"/>
      <c r="G104" s="184"/>
      <c r="H104" s="157"/>
      <c r="J104" s="111"/>
      <c r="K104" s="192"/>
      <c r="L104" s="111"/>
      <c r="M104" s="111"/>
      <c r="N104" s="111"/>
    </row>
    <row r="105" spans="2:14" x14ac:dyDescent="0.3">
      <c r="B105" s="156"/>
      <c r="C105" s="195" t="s">
        <v>171</v>
      </c>
      <c r="D105" s="196" t="str">
        <f>"Length (km) * ("&amp;E103&amp;" + "&amp;E104&amp;" * IRI)"</f>
        <v>Length (km) * (0.5 + 0.2 * IRI)</v>
      </c>
      <c r="E105" s="197"/>
      <c r="F105" s="184"/>
      <c r="G105" s="184"/>
      <c r="H105" s="157"/>
      <c r="J105" s="111"/>
      <c r="K105" s="192"/>
      <c r="L105" s="111"/>
      <c r="M105" s="111"/>
      <c r="N105" s="111"/>
    </row>
    <row r="106" spans="2:14" x14ac:dyDescent="0.3">
      <c r="B106" s="156"/>
      <c r="C106" s="93"/>
      <c r="D106" s="93"/>
      <c r="E106" s="184"/>
      <c r="F106" s="184"/>
      <c r="G106" s="184"/>
      <c r="H106" s="157"/>
      <c r="J106" s="111"/>
      <c r="K106" s="111"/>
      <c r="L106" s="111"/>
      <c r="M106" s="111"/>
      <c r="N106" s="111"/>
    </row>
    <row r="107" spans="2:14" x14ac:dyDescent="0.3">
      <c r="B107" s="156"/>
      <c r="C107" s="198" t="s">
        <v>164</v>
      </c>
      <c r="D107" s="93"/>
      <c r="E107" s="184"/>
      <c r="F107" s="184"/>
      <c r="G107" s="184"/>
      <c r="H107" s="157"/>
      <c r="J107" s="111"/>
      <c r="K107" s="111"/>
      <c r="L107" s="111"/>
      <c r="M107" s="111"/>
      <c r="N107" s="111"/>
    </row>
    <row r="108" spans="2:14" x14ac:dyDescent="0.3">
      <c r="B108" s="156"/>
      <c r="C108" s="163" t="s">
        <v>158</v>
      </c>
      <c r="D108" s="164" t="s">
        <v>73</v>
      </c>
      <c r="E108" s="184"/>
      <c r="F108" s="166"/>
      <c r="G108" s="167"/>
      <c r="H108" s="157"/>
      <c r="J108" s="111"/>
      <c r="K108" s="111"/>
      <c r="L108" s="111"/>
      <c r="M108" s="111"/>
      <c r="N108" s="111"/>
    </row>
    <row r="109" spans="2:14" x14ac:dyDescent="0.3">
      <c r="B109" s="156"/>
      <c r="C109" s="102" t="s">
        <v>165</v>
      </c>
      <c r="D109" s="103">
        <v>1</v>
      </c>
      <c r="E109" s="184"/>
      <c r="F109" s="168"/>
      <c r="G109" s="169"/>
      <c r="H109" s="157"/>
      <c r="J109" s="111"/>
      <c r="K109" s="111"/>
      <c r="L109" s="111"/>
      <c r="M109" s="111"/>
      <c r="N109" s="111"/>
    </row>
    <row r="110" spans="2:14" x14ac:dyDescent="0.3">
      <c r="B110" s="156"/>
      <c r="C110" s="102" t="s">
        <v>167</v>
      </c>
      <c r="D110" s="103">
        <v>0</v>
      </c>
      <c r="E110" s="184"/>
      <c r="F110" s="168"/>
      <c r="G110" s="169"/>
      <c r="H110" s="157"/>
      <c r="J110" s="111"/>
      <c r="K110" s="111"/>
      <c r="L110" s="111"/>
      <c r="M110" s="111"/>
      <c r="N110" s="111"/>
    </row>
    <row r="111" spans="2:14" x14ac:dyDescent="0.3">
      <c r="B111" s="156"/>
      <c r="C111" s="184"/>
      <c r="D111" s="199">
        <f>SUM(D109:D110)</f>
        <v>1</v>
      </c>
      <c r="E111" s="184"/>
      <c r="F111" s="174"/>
      <c r="G111" s="175"/>
      <c r="H111" s="157"/>
      <c r="J111" s="111"/>
      <c r="K111" s="111"/>
      <c r="L111" s="111"/>
      <c r="M111" s="111"/>
      <c r="N111" s="111"/>
    </row>
    <row r="112" spans="2:14" x14ac:dyDescent="0.3">
      <c r="B112" s="200"/>
      <c r="C112" s="201"/>
      <c r="D112" s="201"/>
      <c r="E112" s="201"/>
      <c r="F112" s="201"/>
      <c r="G112" s="201"/>
      <c r="H112" s="202"/>
    </row>
    <row r="114" spans="2:14" x14ac:dyDescent="0.3">
      <c r="B114" s="203"/>
      <c r="C114" s="204"/>
      <c r="D114" s="204"/>
      <c r="E114" s="204"/>
      <c r="F114" s="204"/>
      <c r="G114" s="204"/>
      <c r="H114" s="204"/>
      <c r="I114" s="204"/>
      <c r="J114" s="204"/>
      <c r="K114" s="204"/>
      <c r="L114" s="204"/>
      <c r="M114" s="204"/>
      <c r="N114" s="205"/>
    </row>
    <row r="115" spans="2:14" x14ac:dyDescent="0.3">
      <c r="B115" s="206"/>
      <c r="C115" s="207" t="s">
        <v>346</v>
      </c>
      <c r="D115" s="208"/>
      <c r="E115" s="208"/>
      <c r="F115" s="208"/>
      <c r="G115" s="208"/>
      <c r="H115" s="208"/>
      <c r="I115" s="208"/>
      <c r="J115" s="208"/>
      <c r="K115" s="208"/>
      <c r="L115" s="208"/>
      <c r="M115" s="208"/>
      <c r="N115" s="209"/>
    </row>
    <row r="116" spans="2:14" x14ac:dyDescent="0.3">
      <c r="B116" s="206"/>
      <c r="C116" s="210" t="s">
        <v>347</v>
      </c>
      <c r="D116" s="208"/>
      <c r="E116" s="208"/>
      <c r="F116" s="208"/>
      <c r="G116" s="208"/>
      <c r="H116" s="208"/>
      <c r="I116" s="208"/>
      <c r="J116" s="208"/>
      <c r="K116" s="208"/>
      <c r="L116" s="208"/>
      <c r="M116" s="208"/>
      <c r="N116" s="209"/>
    </row>
    <row r="117" spans="2:14" x14ac:dyDescent="0.3">
      <c r="B117" s="206"/>
      <c r="C117" s="208" t="s">
        <v>356</v>
      </c>
      <c r="D117" s="208"/>
      <c r="E117" s="208"/>
      <c r="F117" s="208"/>
      <c r="G117" s="208"/>
      <c r="H117" s="208"/>
      <c r="I117" s="208"/>
      <c r="J117" s="208"/>
      <c r="K117" s="208"/>
      <c r="L117" s="208"/>
      <c r="M117" s="208"/>
      <c r="N117" s="209"/>
    </row>
    <row r="118" spans="2:14" x14ac:dyDescent="0.3">
      <c r="B118" s="206"/>
      <c r="C118" s="208" t="s">
        <v>348</v>
      </c>
      <c r="D118" s="208"/>
      <c r="E118" s="208"/>
      <c r="F118" s="208"/>
      <c r="G118" s="208"/>
      <c r="H118" s="208"/>
      <c r="I118" s="208"/>
      <c r="J118" s="208"/>
      <c r="K118" s="208"/>
      <c r="L118" s="208"/>
      <c r="M118" s="208"/>
      <c r="N118" s="209"/>
    </row>
    <row r="119" spans="2:14" x14ac:dyDescent="0.3">
      <c r="B119" s="206"/>
      <c r="C119" s="208" t="s">
        <v>349</v>
      </c>
      <c r="D119" s="208"/>
      <c r="E119" s="208"/>
      <c r="F119" s="208"/>
      <c r="G119" s="208"/>
      <c r="H119" s="208"/>
      <c r="I119" s="208"/>
      <c r="J119" s="208"/>
      <c r="K119" s="208"/>
      <c r="L119" s="208"/>
      <c r="M119" s="208"/>
      <c r="N119" s="209"/>
    </row>
    <row r="120" spans="2:14" x14ac:dyDescent="0.3">
      <c r="B120" s="206"/>
      <c r="C120" s="208" t="s">
        <v>351</v>
      </c>
      <c r="D120" s="208"/>
      <c r="E120" s="208"/>
      <c r="F120" s="208"/>
      <c r="G120" s="208"/>
      <c r="H120" s="208"/>
      <c r="I120" s="208"/>
      <c r="J120" s="208"/>
      <c r="K120" s="208"/>
      <c r="L120" s="208"/>
      <c r="M120" s="208"/>
      <c r="N120" s="209"/>
    </row>
    <row r="121" spans="2:14" x14ac:dyDescent="0.3">
      <c r="B121" s="206"/>
      <c r="C121" s="208" t="s">
        <v>352</v>
      </c>
      <c r="D121" s="208"/>
      <c r="E121" s="208"/>
      <c r="F121" s="208"/>
      <c r="G121" s="208"/>
      <c r="H121" s="208"/>
      <c r="I121" s="208"/>
      <c r="J121" s="208"/>
      <c r="K121" s="208"/>
      <c r="L121" s="208"/>
      <c r="M121" s="208"/>
      <c r="N121" s="209"/>
    </row>
    <row r="122" spans="2:14" x14ac:dyDescent="0.3">
      <c r="B122" s="206"/>
      <c r="C122" s="208" t="s">
        <v>350</v>
      </c>
      <c r="D122" s="208"/>
      <c r="E122" s="208"/>
      <c r="F122" s="208"/>
      <c r="G122" s="208"/>
      <c r="H122" s="208"/>
      <c r="I122" s="208"/>
      <c r="J122" s="208"/>
      <c r="K122" s="208"/>
      <c r="L122" s="208"/>
      <c r="M122" s="208"/>
      <c r="N122" s="209"/>
    </row>
    <row r="123" spans="2:14" x14ac:dyDescent="0.3">
      <c r="B123" s="206"/>
      <c r="C123" s="208"/>
      <c r="D123" s="208"/>
      <c r="E123" s="208"/>
      <c r="F123" s="208"/>
      <c r="G123" s="208"/>
      <c r="H123" s="208"/>
      <c r="I123" s="208"/>
      <c r="J123" s="208"/>
      <c r="K123" s="208"/>
      <c r="L123" s="208"/>
      <c r="M123" s="208"/>
      <c r="N123" s="209"/>
    </row>
    <row r="124" spans="2:14" x14ac:dyDescent="0.3">
      <c r="B124" s="206"/>
      <c r="C124" s="210" t="s">
        <v>353</v>
      </c>
      <c r="D124" s="208"/>
      <c r="E124" s="208"/>
      <c r="F124" s="208"/>
      <c r="G124" s="208"/>
      <c r="H124" s="208"/>
      <c r="I124" s="208"/>
      <c r="J124" s="208"/>
      <c r="K124" s="208"/>
      <c r="L124" s="208"/>
      <c r="M124" s="208"/>
      <c r="N124" s="209"/>
    </row>
    <row r="125" spans="2:14" x14ac:dyDescent="0.3">
      <c r="B125" s="206"/>
      <c r="C125" s="208" t="s">
        <v>354</v>
      </c>
      <c r="D125" s="208"/>
      <c r="E125" s="208"/>
      <c r="F125" s="208"/>
      <c r="G125" s="208"/>
      <c r="H125" s="208"/>
      <c r="I125" s="208"/>
      <c r="J125" s="208"/>
      <c r="K125" s="208"/>
      <c r="L125" s="208"/>
      <c r="M125" s="208"/>
      <c r="N125" s="209"/>
    </row>
    <row r="126" spans="2:14" x14ac:dyDescent="0.3">
      <c r="B126" s="206"/>
      <c r="C126" s="208" t="s">
        <v>355</v>
      </c>
      <c r="D126" s="208"/>
      <c r="E126" s="208"/>
      <c r="F126" s="208"/>
      <c r="G126" s="208"/>
      <c r="H126" s="208"/>
      <c r="I126" s="208"/>
      <c r="J126" s="208"/>
      <c r="K126" s="208"/>
      <c r="L126" s="208"/>
      <c r="M126" s="208"/>
      <c r="N126" s="209"/>
    </row>
    <row r="127" spans="2:14" x14ac:dyDescent="0.3">
      <c r="B127" s="211"/>
      <c r="C127" s="212"/>
      <c r="D127" s="212"/>
      <c r="E127" s="212"/>
      <c r="F127" s="212"/>
      <c r="G127" s="212"/>
      <c r="H127" s="212"/>
      <c r="I127" s="212"/>
      <c r="J127" s="212"/>
      <c r="K127" s="212"/>
      <c r="L127" s="212"/>
      <c r="M127" s="212"/>
      <c r="N127" s="213"/>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5:K77">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5:G89">
      <formula1>"1,2,3,4,5"</formula1>
    </dataValidation>
    <dataValidation type="list" allowBlank="1" showInputMessage="1" showErrorMessage="1" sqref="D93:D98">
      <formula1>$C$77:$C$81</formula1>
    </dataValidation>
    <dataValidation type="list" allowBlank="1" showInputMessage="1" showErrorMessage="1" sqref="E93:E98">
      <formula1>$C$85:$C$89</formula1>
    </dataValidation>
    <dataValidation type="list" allowBlank="1" showInputMessage="1" showErrorMessage="1" sqref="D65:D7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107</xdr:row>
                    <xdr:rowOff>76200</xdr:rowOff>
                  </from>
                  <to>
                    <xdr:col>6</xdr:col>
                    <xdr:colOff>1348740</xdr:colOff>
                    <xdr:row>110</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79</xdr:row>
                    <xdr:rowOff>68580</xdr:rowOff>
                  </from>
                  <to>
                    <xdr:col>12</xdr:col>
                    <xdr:colOff>1028700</xdr:colOff>
                    <xdr:row>82</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85" zoomScaleNormal="85" workbookViewId="0">
      <selection activeCell="J24" sqref="J24"/>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343</v>
      </c>
      <c r="B1" s="29"/>
      <c r="C1" s="29"/>
      <c r="D1" s="29"/>
      <c r="E1" s="29"/>
      <c r="F1" s="29"/>
      <c r="G1" s="29"/>
      <c r="H1" s="29"/>
      <c r="I1" s="29"/>
      <c r="J1" s="29"/>
    </row>
    <row r="3" spans="1:10" x14ac:dyDescent="0.3">
      <c r="B3" s="22" t="s">
        <v>371</v>
      </c>
      <c r="C3" s="69"/>
      <c r="D3" s="69"/>
      <c r="E3" s="70" t="str">
        <f>PCS!D3</f>
        <v>TT</v>
      </c>
    </row>
    <row r="4" spans="1:10" x14ac:dyDescent="0.3">
      <c r="B4" s="22" t="s">
        <v>214</v>
      </c>
      <c r="C4" s="23"/>
      <c r="D4" s="23"/>
      <c r="E4" s="68" t="str">
        <f>PCS!D4</f>
        <v>C:\Users\charl\Anaconda2\Python.exe</v>
      </c>
    </row>
    <row r="5" spans="1:10" x14ac:dyDescent="0.3">
      <c r="B5" s="65" t="s">
        <v>369</v>
      </c>
      <c r="C5" s="23"/>
      <c r="D5" s="23"/>
      <c r="E5" s="68" t="str">
        <f>PCS!D5</f>
        <v>C:\Users\charl\Documents\GitHub\RoadAnalytics</v>
      </c>
    </row>
    <row r="7" spans="1:10" x14ac:dyDescent="0.3">
      <c r="B7" s="31" t="s">
        <v>341</v>
      </c>
      <c r="C7" s="32"/>
      <c r="D7" s="32"/>
      <c r="E7" s="32"/>
      <c r="F7" s="32"/>
      <c r="G7" s="32"/>
      <c r="H7" s="32"/>
      <c r="I7" s="32"/>
      <c r="J7" s="33"/>
    </row>
    <row r="8" spans="1:10" x14ac:dyDescent="0.3">
      <c r="B8" s="34"/>
      <c r="C8" s="35"/>
      <c r="D8" s="35"/>
      <c r="E8" s="35"/>
      <c r="F8" s="35"/>
      <c r="G8" s="35"/>
      <c r="H8" s="36"/>
      <c r="I8" s="36"/>
      <c r="J8" s="37"/>
    </row>
    <row r="9" spans="1:10" x14ac:dyDescent="0.3">
      <c r="B9" s="34"/>
      <c r="C9" s="35" t="s">
        <v>344</v>
      </c>
      <c r="D9" s="35"/>
      <c r="E9" s="35"/>
      <c r="F9" s="35"/>
      <c r="G9" s="35"/>
      <c r="H9" s="36"/>
      <c r="I9" s="36"/>
      <c r="J9" s="37"/>
    </row>
    <row r="10" spans="1:10" x14ac:dyDescent="0.3">
      <c r="B10" s="34"/>
      <c r="C10" s="35" t="s">
        <v>345</v>
      </c>
      <c r="D10" s="35"/>
      <c r="E10" s="35"/>
      <c r="F10" s="35"/>
      <c r="G10" s="35"/>
      <c r="H10" s="36"/>
      <c r="I10" s="36"/>
      <c r="J10" s="37"/>
    </row>
    <row r="11" spans="1:10" x14ac:dyDescent="0.3">
      <c r="B11" s="34"/>
      <c r="C11" s="35" t="s">
        <v>361</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360</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36" t="s">
        <v>309</v>
      </c>
      <c r="J78" s="37"/>
    </row>
    <row r="79" spans="2:10" x14ac:dyDescent="0.3">
      <c r="B79" s="34"/>
      <c r="C79" s="35"/>
      <c r="D79" s="35" t="s">
        <v>265</v>
      </c>
      <c r="E79" s="35"/>
      <c r="F79" s="43">
        <v>4</v>
      </c>
      <c r="G79" s="35"/>
      <c r="H79" s="46">
        <v>3</v>
      </c>
      <c r="I79" s="36" t="s">
        <v>310</v>
      </c>
      <c r="J79" s="37"/>
    </row>
    <row r="80" spans="2:10" x14ac:dyDescent="0.3">
      <c r="B80" s="34"/>
      <c r="C80" s="35"/>
      <c r="D80" s="35" t="s">
        <v>273</v>
      </c>
      <c r="E80" s="35"/>
      <c r="F80" s="43">
        <v>4</v>
      </c>
      <c r="G80" s="35"/>
      <c r="H80" s="46">
        <v>4</v>
      </c>
      <c r="I80" s="36" t="s">
        <v>311</v>
      </c>
      <c r="J80" s="37"/>
    </row>
    <row r="81" spans="2:10" x14ac:dyDescent="0.3">
      <c r="B81" s="34"/>
      <c r="C81" s="24" t="s">
        <v>362</v>
      </c>
      <c r="D81" s="35"/>
      <c r="E81" s="35"/>
      <c r="F81" s="35"/>
      <c r="G81" s="35"/>
      <c r="H81" s="46">
        <v>5</v>
      </c>
      <c r="I81" s="36" t="s">
        <v>312</v>
      </c>
      <c r="J81" s="37"/>
    </row>
    <row r="82" spans="2:10" x14ac:dyDescent="0.3">
      <c r="B82" s="34"/>
      <c r="C82" s="24" t="s">
        <v>363</v>
      </c>
      <c r="D82" s="35"/>
      <c r="E82" s="35"/>
      <c r="F82" s="35"/>
      <c r="G82" s="35"/>
      <c r="H82" s="46">
        <v>6</v>
      </c>
      <c r="I82" s="36" t="s">
        <v>313</v>
      </c>
      <c r="J82" s="37"/>
    </row>
    <row r="83" spans="2:10" x14ac:dyDescent="0.3">
      <c r="B83" s="34"/>
      <c r="C83" s="35"/>
      <c r="D83" s="35"/>
      <c r="E83" s="35"/>
      <c r="F83" s="35"/>
      <c r="G83" s="35"/>
      <c r="H83" s="46">
        <v>7</v>
      </c>
      <c r="I83" s="36" t="s">
        <v>314</v>
      </c>
      <c r="J83" s="37"/>
    </row>
    <row r="84" spans="2:10" x14ac:dyDescent="0.3">
      <c r="B84" s="34"/>
      <c r="C84" s="35"/>
      <c r="D84" s="35"/>
      <c r="E84" s="35"/>
      <c r="F84" s="35"/>
      <c r="G84" s="35"/>
      <c r="H84" s="44">
        <v>8</v>
      </c>
      <c r="I84" s="36" t="s">
        <v>315</v>
      </c>
      <c r="J84" s="37"/>
    </row>
    <row r="85" spans="2:10" x14ac:dyDescent="0.3">
      <c r="B85" s="34"/>
      <c r="C85" s="35"/>
      <c r="D85" s="35"/>
      <c r="E85" s="35"/>
      <c r="F85" s="35"/>
      <c r="G85" s="35"/>
      <c r="H85" s="44">
        <v>9</v>
      </c>
      <c r="I85" s="36" t="s">
        <v>316</v>
      </c>
      <c r="J85" s="37"/>
    </row>
    <row r="86" spans="2:10" x14ac:dyDescent="0.3">
      <c r="B86" s="34"/>
      <c r="C86" s="35"/>
      <c r="D86" s="35"/>
      <c r="E86" s="35"/>
      <c r="F86" s="35"/>
      <c r="G86" s="35"/>
      <c r="H86" s="46">
        <v>10</v>
      </c>
      <c r="I86" s="36" t="s">
        <v>317</v>
      </c>
      <c r="J86" s="37"/>
    </row>
    <row r="87" spans="2:10" x14ac:dyDescent="0.3">
      <c r="B87" s="34"/>
      <c r="C87" s="35"/>
      <c r="D87" s="35"/>
      <c r="E87" s="35"/>
      <c r="F87" s="35"/>
      <c r="G87" s="35"/>
      <c r="H87" s="46">
        <v>11</v>
      </c>
      <c r="I87" s="36" t="s">
        <v>318</v>
      </c>
      <c r="J87" s="37"/>
    </row>
    <row r="88" spans="2:10" x14ac:dyDescent="0.3">
      <c r="B88" s="34"/>
      <c r="C88" s="35"/>
      <c r="D88" s="35"/>
      <c r="E88" s="35"/>
      <c r="F88" s="35"/>
      <c r="G88" s="35"/>
      <c r="H88" s="46">
        <v>12</v>
      </c>
      <c r="I88" s="36" t="s">
        <v>319</v>
      </c>
      <c r="J88" s="37"/>
    </row>
    <row r="89" spans="2:10" x14ac:dyDescent="0.3">
      <c r="B89" s="34"/>
      <c r="C89" s="35"/>
      <c r="D89" s="35"/>
      <c r="E89" s="35"/>
      <c r="F89" s="35"/>
      <c r="G89" s="35"/>
      <c r="H89" s="46">
        <v>13</v>
      </c>
      <c r="I89" s="36" t="s">
        <v>320</v>
      </c>
      <c r="J89" s="37"/>
    </row>
    <row r="90" spans="2:10" x14ac:dyDescent="0.3">
      <c r="B90" s="34"/>
      <c r="C90" s="35"/>
      <c r="D90" s="35"/>
      <c r="E90" s="35"/>
      <c r="F90" s="35"/>
      <c r="G90" s="35"/>
      <c r="H90" s="44">
        <v>14</v>
      </c>
      <c r="I90" s="36" t="s">
        <v>321</v>
      </c>
      <c r="J90" s="37"/>
    </row>
    <row r="91" spans="2:10" x14ac:dyDescent="0.3">
      <c r="B91" s="34"/>
      <c r="C91" s="35"/>
      <c r="D91" s="35"/>
      <c r="E91" s="35"/>
      <c r="F91" s="35"/>
      <c r="G91" s="35"/>
      <c r="H91" s="44">
        <v>15</v>
      </c>
      <c r="I91" s="36" t="s">
        <v>322</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323</v>
      </c>
      <c r="J94" s="37"/>
    </row>
    <row r="95" spans="2:10" x14ac:dyDescent="0.3">
      <c r="B95" s="34"/>
      <c r="C95" s="35"/>
      <c r="D95" s="35" t="s">
        <v>264</v>
      </c>
      <c r="E95" s="35"/>
      <c r="F95" s="43">
        <v>3</v>
      </c>
      <c r="G95" s="35"/>
      <c r="H95" s="47">
        <v>2</v>
      </c>
      <c r="I95" s="36" t="s">
        <v>324</v>
      </c>
      <c r="J95" s="37"/>
    </row>
    <row r="96" spans="2:10" x14ac:dyDescent="0.3">
      <c r="B96" s="34"/>
      <c r="C96" s="35"/>
      <c r="D96" s="35" t="s">
        <v>265</v>
      </c>
      <c r="E96" s="35"/>
      <c r="F96" s="43">
        <v>3</v>
      </c>
      <c r="G96" s="35"/>
      <c r="H96" s="47">
        <v>3</v>
      </c>
      <c r="I96" s="36" t="s">
        <v>325</v>
      </c>
      <c r="J96" s="37"/>
    </row>
    <row r="97" spans="2:10" x14ac:dyDescent="0.3">
      <c r="B97" s="34"/>
      <c r="C97" s="35"/>
      <c r="D97" s="35" t="s">
        <v>273</v>
      </c>
      <c r="E97" s="35"/>
      <c r="F97" s="43">
        <v>3</v>
      </c>
      <c r="G97" s="35"/>
      <c r="H97" s="47">
        <v>4</v>
      </c>
      <c r="I97" s="36" t="s">
        <v>326</v>
      </c>
      <c r="J97" s="37"/>
    </row>
    <row r="98" spans="2:10" x14ac:dyDescent="0.3">
      <c r="B98" s="34"/>
      <c r="C98" s="35"/>
      <c r="D98" s="35"/>
      <c r="E98" s="35"/>
      <c r="F98" s="35"/>
      <c r="G98" s="35"/>
      <c r="H98" s="47">
        <v>5</v>
      </c>
      <c r="I98" s="36" t="s">
        <v>327</v>
      </c>
      <c r="J98" s="37"/>
    </row>
    <row r="99" spans="2:10" x14ac:dyDescent="0.3">
      <c r="B99" s="34"/>
      <c r="C99" s="35"/>
      <c r="D99" s="35"/>
      <c r="E99" s="35"/>
      <c r="F99" s="35"/>
      <c r="G99" s="35"/>
      <c r="H99" s="36"/>
      <c r="I99" s="36"/>
      <c r="J99" s="37"/>
    </row>
    <row r="100" spans="2:10" x14ac:dyDescent="0.3">
      <c r="B100" s="38"/>
      <c r="C100" s="39" t="s">
        <v>259</v>
      </c>
      <c r="D100" s="40"/>
      <c r="E100" s="40"/>
      <c r="F100" s="48" t="s">
        <v>338</v>
      </c>
      <c r="G100" s="39"/>
      <c r="H100" s="41" t="s">
        <v>260</v>
      </c>
      <c r="I100" s="41" t="s">
        <v>261</v>
      </c>
      <c r="J100" s="42"/>
    </row>
    <row r="101" spans="2:10" x14ac:dyDescent="0.3">
      <c r="B101" s="34"/>
      <c r="C101" s="35"/>
      <c r="D101" s="49" t="s">
        <v>337</v>
      </c>
      <c r="E101" s="35"/>
      <c r="F101" s="43">
        <v>4</v>
      </c>
      <c r="G101" s="35"/>
      <c r="H101" s="47">
        <v>1</v>
      </c>
      <c r="I101" s="36" t="s">
        <v>336</v>
      </c>
      <c r="J101" s="37"/>
    </row>
    <row r="102" spans="2:10" x14ac:dyDescent="0.3">
      <c r="B102" s="34"/>
      <c r="C102" s="35"/>
      <c r="D102" s="49" t="s">
        <v>337</v>
      </c>
      <c r="E102" s="35"/>
      <c r="F102" s="43">
        <v>6</v>
      </c>
      <c r="G102" s="35"/>
      <c r="H102" s="47">
        <v>2</v>
      </c>
      <c r="I102" s="36" t="s">
        <v>332</v>
      </c>
      <c r="J102" s="37"/>
    </row>
    <row r="103" spans="2:10" x14ac:dyDescent="0.3">
      <c r="B103" s="34"/>
      <c r="C103" s="35"/>
      <c r="D103" s="49" t="s">
        <v>337</v>
      </c>
      <c r="E103" s="35"/>
      <c r="F103" s="43">
        <v>8</v>
      </c>
      <c r="G103" s="35"/>
      <c r="H103" s="47">
        <v>3</v>
      </c>
      <c r="I103" s="36" t="s">
        <v>333</v>
      </c>
      <c r="J103" s="37"/>
    </row>
    <row r="104" spans="2:10" x14ac:dyDescent="0.3">
      <c r="B104" s="34"/>
      <c r="C104" s="35"/>
      <c r="D104" s="49" t="s">
        <v>337</v>
      </c>
      <c r="E104" s="35"/>
      <c r="F104" s="43">
        <v>12</v>
      </c>
      <c r="G104" s="35"/>
      <c r="H104" s="47">
        <v>4</v>
      </c>
      <c r="I104" s="36" t="s">
        <v>334</v>
      </c>
      <c r="J104" s="37"/>
    </row>
    <row r="105" spans="2:10" x14ac:dyDescent="0.3">
      <c r="B105" s="34"/>
      <c r="C105" s="35"/>
      <c r="D105" s="49"/>
      <c r="E105" s="35"/>
      <c r="F105" s="35"/>
      <c r="G105" s="35"/>
      <c r="H105" s="47">
        <v>5</v>
      </c>
      <c r="I105" s="36" t="s">
        <v>335</v>
      </c>
      <c r="J105" s="37"/>
    </row>
    <row r="106" spans="2:10" x14ac:dyDescent="0.3">
      <c r="B106" s="34"/>
      <c r="C106" s="35"/>
      <c r="D106" s="49" t="s">
        <v>342</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365</v>
      </c>
    </row>
    <row r="2" spans="1:1" x14ac:dyDescent="0.3">
      <c r="A2" s="2" t="s">
        <v>366</v>
      </c>
    </row>
    <row r="3" spans="1:1" x14ac:dyDescent="0.3">
      <c r="A3" s="2" t="s">
        <v>364</v>
      </c>
    </row>
    <row r="4" spans="1:1" x14ac:dyDescent="0.3">
      <c r="A4" s="67" t="s">
        <v>367</v>
      </c>
    </row>
    <row r="5" spans="1:1" x14ac:dyDescent="0.3">
      <c r="A5" s="67" t="s">
        <v>368</v>
      </c>
    </row>
    <row r="9" spans="1:1" x14ac:dyDescent="0.3">
      <c r="A9" s="67"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360</v>
      </c>
      <c r="C1" t="s">
        <v>250</v>
      </c>
      <c r="D1" t="s">
        <v>251</v>
      </c>
      <c r="E1" t="s">
        <v>252</v>
      </c>
      <c r="F1" t="s">
        <v>253</v>
      </c>
      <c r="G1" t="s">
        <v>254</v>
      </c>
      <c r="H1" t="s">
        <v>255</v>
      </c>
      <c r="I1" t="s">
        <v>256</v>
      </c>
      <c r="J1" t="s">
        <v>257</v>
      </c>
      <c r="K1" t="s">
        <v>258</v>
      </c>
      <c r="L1" t="s">
        <v>328</v>
      </c>
      <c r="M1" t="s">
        <v>329</v>
      </c>
      <c r="N1" t="s">
        <v>330</v>
      </c>
      <c r="O1" t="s">
        <v>331</v>
      </c>
      <c r="P1" t="s">
        <v>339</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340</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0.25</v>
      </c>
    </row>
    <row r="3" spans="1:2" x14ac:dyDescent="0.3">
      <c r="A3" s="72" t="s">
        <v>107</v>
      </c>
      <c r="B3" s="73">
        <f>+PCS!M15</f>
        <v>0.25</v>
      </c>
    </row>
    <row r="4" spans="1:2" x14ac:dyDescent="0.3">
      <c r="A4" s="72" t="s">
        <v>108</v>
      </c>
      <c r="B4" s="73">
        <f>+PCS!M16</f>
        <v>0.25</v>
      </c>
    </row>
    <row r="5" spans="1:2" x14ac:dyDescent="0.3">
      <c r="A5" s="72" t="s">
        <v>109</v>
      </c>
      <c r="B5" s="73">
        <f>+PCS!M17</f>
        <v>0</v>
      </c>
    </row>
    <row r="6" spans="1:2" x14ac:dyDescent="0.3">
      <c r="A6" s="72" t="s">
        <v>110</v>
      </c>
      <c r="B6" s="73">
        <f>+PCS!M18</f>
        <v>0.25</v>
      </c>
    </row>
    <row r="7" spans="1:2" x14ac:dyDescent="0.3">
      <c r="A7" s="72" t="s">
        <v>372</v>
      </c>
      <c r="B7" s="74" t="str">
        <f>PCS!D3</f>
        <v>TT</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+PCS!M73</f>
        <v>0.2</v>
      </c>
    </row>
    <row r="5" spans="1:3" x14ac:dyDescent="0.3">
      <c r="A5" s="20" t="s">
        <v>190</v>
      </c>
      <c r="B5" s="20" t="s">
        <v>179</v>
      </c>
      <c r="C5" s="21">
        <f>+PCS!M74</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358</v>
      </c>
      <c r="D2" s="15">
        <v>1</v>
      </c>
      <c r="E2" s="15">
        <v>100</v>
      </c>
      <c r="F2" s="16">
        <f>+PCS!D40</f>
        <v>0.03</v>
      </c>
      <c r="G2" s="16" t="str">
        <f>PCS!E40</f>
        <v>Relative</v>
      </c>
      <c r="H2" s="17">
        <f>+PCS!F40</f>
        <v>50</v>
      </c>
      <c r="I2" s="13" t="s">
        <v>128</v>
      </c>
    </row>
    <row r="3" spans="1:9" x14ac:dyDescent="0.3">
      <c r="A3" s="2" t="s">
        <v>233</v>
      </c>
      <c r="B3" s="2" t="s">
        <v>233</v>
      </c>
      <c r="C3" s="55" t="s">
        <v>359</v>
      </c>
      <c r="D3" s="15">
        <v>1</v>
      </c>
      <c r="E3" s="15">
        <v>100</v>
      </c>
      <c r="F3" s="16">
        <f>+PCS!D41</f>
        <v>0.01</v>
      </c>
      <c r="G3" s="16" t="str">
        <f>PCS!E41</f>
        <v>Relative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0.1</v>
      </c>
      <c r="D3" s="26">
        <f>VLOOKUP(PCS!C15,Ref!$A$2:$C$38,3,0)</f>
        <v>1</v>
      </c>
      <c r="E3" s="26" t="str">
        <f>VLOOKUP(PCS!C15,Ref!$A$2:$B$38,2,0)</f>
        <v>roof_1cm</v>
      </c>
    </row>
    <row r="4" spans="1:5" x14ac:dyDescent="0.3">
      <c r="A4" s="26" t="s">
        <v>98</v>
      </c>
      <c r="B4" s="26" t="str">
        <f t="shared" si="0"/>
        <v>__water_1c</v>
      </c>
      <c r="C4" s="27">
        <f>PCS!D16</f>
        <v>0.1</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__mean</v>
      </c>
      <c r="C10" s="27">
        <f>PCS!D22</f>
        <v>0.3</v>
      </c>
      <c r="D10" s="26">
        <f>VLOOKUP(PCS!C22,Ref!$A$2:$C$38,3,0)</f>
        <v>1</v>
      </c>
      <c r="E10" s="26" t="str">
        <f>VLOOKUP(PCS!C22,Ref!$A$2:$B$38,2,0)</f>
        <v>mean</v>
      </c>
    </row>
    <row r="11" spans="1:5" x14ac:dyDescent="0.3">
      <c r="A11" s="26" t="s">
        <v>105</v>
      </c>
      <c r="B11" s="26" t="str">
        <f t="shared" si="0"/>
        <v>__livingar</v>
      </c>
      <c r="C11" s="27">
        <f>PCS!D23</f>
        <v>0.05</v>
      </c>
      <c r="D11" s="26">
        <f>VLOOKUP(PCS!C23,Ref!$A$2:$C$38,3,0)</f>
        <v>1</v>
      </c>
      <c r="E11" s="26" t="str">
        <f>VLOOKUP(PCS!C23,Ref!$A$2:$B$38,2,0)</f>
        <v>livingareapc</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10"/>
  <sheetViews>
    <sheetView showGridLines="0" workbookViewId="0">
      <selection activeCell="C29" sqref="C29"/>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376</v>
      </c>
      <c r="Q1" s="9" t="s">
        <v>377</v>
      </c>
    </row>
    <row r="2" spans="1:17" x14ac:dyDescent="0.3">
      <c r="A2">
        <v>0</v>
      </c>
      <c r="B2" t="str">
        <f>+PCS!C77</f>
        <v>adm_centroids</v>
      </c>
      <c r="C2" t="str">
        <f>+PCS!D77</f>
        <v>Pop</v>
      </c>
      <c r="D2" t="str">
        <f>+PCS!C85</f>
        <v>adm_centroids</v>
      </c>
      <c r="E2" t="str">
        <f>+PCS!D85</f>
        <v>Pop</v>
      </c>
      <c r="F2">
        <f>+PCS!E85</f>
        <v>100</v>
      </c>
      <c r="G2">
        <f>+PCS!F85</f>
        <v>50</v>
      </c>
      <c r="H2" s="11">
        <f>PCS!G85</f>
        <v>1</v>
      </c>
      <c r="I2" s="1">
        <f>+PCS!E103</f>
        <v>0.5</v>
      </c>
      <c r="J2" s="1">
        <f>+PCS!E104</f>
        <v>0.2</v>
      </c>
      <c r="K2" s="4">
        <f>+PCS!D109</f>
        <v>1</v>
      </c>
      <c r="L2" s="4">
        <f>+PCS!D110</f>
        <v>0</v>
      </c>
      <c r="M2" s="18">
        <f>PCS!C93</f>
        <v>1</v>
      </c>
      <c r="N2" s="18" t="str">
        <f>PCS!D93</f>
        <v>adm_centroids</v>
      </c>
      <c r="O2" s="18" t="str">
        <f>PCS!E93</f>
        <v>adm_centroids</v>
      </c>
      <c r="P2" t="str">
        <f>PCS!C65</f>
        <v>Province_PeopleCommittee_61</v>
      </c>
      <c r="Q2" t="str">
        <f>PCS!D65</f>
        <v>yes</v>
      </c>
    </row>
    <row r="3" spans="1:17" x14ac:dyDescent="0.3">
      <c r="A3">
        <v>1</v>
      </c>
      <c r="B3">
        <f>+PCS!C78</f>
        <v>0</v>
      </c>
      <c r="C3">
        <f>+PCS!D78</f>
        <v>0</v>
      </c>
      <c r="D3" t="str">
        <f>+PCS!C86</f>
        <v>Local_gov_building</v>
      </c>
      <c r="E3" t="str">
        <f>+PCS!D86</f>
        <v>Default</v>
      </c>
      <c r="F3">
        <f>+PCS!E86</f>
        <v>200</v>
      </c>
      <c r="G3">
        <f>+PCS!F86</f>
        <v>20</v>
      </c>
      <c r="H3" s="11">
        <f>PCS!G86</f>
        <v>2</v>
      </c>
      <c r="M3" s="18">
        <f>PCS!C94</f>
        <v>2</v>
      </c>
      <c r="N3" s="18" t="str">
        <f>PCS!D94</f>
        <v>adm_centroids</v>
      </c>
      <c r="O3" s="18" t="str">
        <f>PCS!E94</f>
        <v>Local_gov_building</v>
      </c>
      <c r="P3" t="str">
        <f>PCS!C66</f>
        <v>District_PeopleCommittee</v>
      </c>
      <c r="Q3" t="str">
        <f>PCS!D66</f>
        <v>yes</v>
      </c>
    </row>
    <row r="4" spans="1:17" x14ac:dyDescent="0.3">
      <c r="A4">
        <v>2</v>
      </c>
      <c r="B4">
        <f>+PCS!C79</f>
        <v>0</v>
      </c>
      <c r="C4">
        <f>+PCS!D79</f>
        <v>0</v>
      </c>
      <c r="D4" t="str">
        <f>+PCS!C87</f>
        <v>Commune_PeopleCommittee</v>
      </c>
      <c r="E4" t="str">
        <f>+PCS!D87</f>
        <v>Default</v>
      </c>
      <c r="F4">
        <f>+PCS!E87</f>
        <v>50</v>
      </c>
      <c r="G4">
        <f>+PCS!F87</f>
        <v>10</v>
      </c>
      <c r="H4" s="11">
        <f>PCS!G87</f>
        <v>1</v>
      </c>
      <c r="M4" s="18">
        <f>PCS!C95</f>
        <v>3</v>
      </c>
      <c r="N4" s="18" t="str">
        <f>PCS!D95</f>
        <v>adm_centroids</v>
      </c>
      <c r="O4" s="18" t="str">
        <f>PCS!E95</f>
        <v>Commune_PeopleCommittee</v>
      </c>
      <c r="P4" t="str">
        <f>PCS!C67</f>
        <v>Commune_PeopleCommittee</v>
      </c>
      <c r="Q4" t="str">
        <f>PCS!D67</f>
        <v>yes</v>
      </c>
    </row>
    <row r="5" spans="1:17" x14ac:dyDescent="0.3">
      <c r="A5">
        <v>3</v>
      </c>
      <c r="B5">
        <f>+PCS!C80</f>
        <v>0</v>
      </c>
      <c r="C5">
        <f>+PCS!D80</f>
        <v>0</v>
      </c>
      <c r="D5" t="str">
        <f>+PCS!C88</f>
        <v>Health_Facilities</v>
      </c>
      <c r="E5" t="str">
        <f>+PCS!D88</f>
        <v>Default</v>
      </c>
      <c r="F5">
        <f>+PCS!E88</f>
        <v>1000</v>
      </c>
      <c r="G5">
        <f>+PCS!F88</f>
        <v>2</v>
      </c>
      <c r="H5" s="11">
        <f>PCS!G88</f>
        <v>5</v>
      </c>
      <c r="I5" t="s">
        <v>194</v>
      </c>
      <c r="M5" s="18">
        <f>PCS!C96</f>
        <v>4</v>
      </c>
      <c r="N5" s="18" t="str">
        <f>PCS!D96</f>
        <v>adm_centroids</v>
      </c>
      <c r="O5" s="18" t="str">
        <f>PCS!E96</f>
        <v>Health_Facilities</v>
      </c>
      <c r="P5" t="str">
        <f>PCS!C68</f>
        <v>Local_gov_building</v>
      </c>
      <c r="Q5" t="str">
        <f>PCS!D68</f>
        <v>yes</v>
      </c>
    </row>
    <row r="6" spans="1:17" x14ac:dyDescent="0.3">
      <c r="A6">
        <v>4</v>
      </c>
      <c r="B6">
        <f>+PCS!C81</f>
        <v>0</v>
      </c>
      <c r="C6">
        <f>+PCS!D81</f>
        <v>0</v>
      </c>
      <c r="D6">
        <f>+PCS!C89</f>
        <v>0</v>
      </c>
      <c r="E6">
        <f>+PCS!D89</f>
        <v>0</v>
      </c>
      <c r="F6">
        <f>+PCS!E89</f>
        <v>0</v>
      </c>
      <c r="G6">
        <f>+PCS!F89</f>
        <v>0</v>
      </c>
      <c r="H6" s="11">
        <f>PCS!G89</f>
        <v>0</v>
      </c>
      <c r="I6" t="s">
        <v>194</v>
      </c>
      <c r="M6" s="18">
        <f>PCS!C97</f>
        <v>5</v>
      </c>
      <c r="N6" s="18">
        <f>PCS!D97</f>
        <v>0</v>
      </c>
      <c r="O6" s="18">
        <f>PCS!E97</f>
        <v>0</v>
      </c>
      <c r="P6" t="str">
        <f>PCS!C69</f>
        <v>Major_cities</v>
      </c>
      <c r="Q6" t="str">
        <f>PCS!D69</f>
        <v>yes</v>
      </c>
    </row>
    <row r="7" spans="1:17" x14ac:dyDescent="0.3">
      <c r="A7">
        <v>5</v>
      </c>
      <c r="M7" s="18">
        <f>PCS!C98</f>
        <v>6</v>
      </c>
      <c r="N7" s="18">
        <f>PCS!D98</f>
        <v>0</v>
      </c>
      <c r="O7" s="18">
        <f>PCS!E98</f>
        <v>0</v>
      </c>
      <c r="P7" t="str">
        <f>PCS!C70</f>
        <v>Airport</v>
      </c>
      <c r="Q7" t="str">
        <f>PCS!D70</f>
        <v>yes</v>
      </c>
    </row>
    <row r="8" spans="1:17" x14ac:dyDescent="0.3">
      <c r="A8">
        <v>6</v>
      </c>
      <c r="P8" t="str">
        <f>PCS!C71</f>
        <v>Railway_stations</v>
      </c>
      <c r="Q8" t="str">
        <f>PCS!D71</f>
        <v>yes</v>
      </c>
    </row>
    <row r="9" spans="1:17" x14ac:dyDescent="0.3">
      <c r="A9">
        <v>7</v>
      </c>
      <c r="P9" t="str">
        <f>PCS!C72</f>
        <v>Health_Facilities</v>
      </c>
      <c r="Q9" t="str">
        <f>PCS!D72</f>
        <v>yes</v>
      </c>
    </row>
    <row r="10" spans="1:17" x14ac:dyDescent="0.3">
      <c r="A10">
        <v>8</v>
      </c>
      <c r="P10" t="str">
        <f>PCS!C73</f>
        <v>Riverports_2005</v>
      </c>
      <c r="Q10" t="str">
        <f>PCS!D73</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2017-10-15T06:43:55Z</dcterms:modified>
</cp:coreProperties>
</file>